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"/>
    </mc:Choice>
  </mc:AlternateContent>
  <xr:revisionPtr revIDLastSave="34" documentId="8_{0BD7573E-0A5F-49DD-BE5B-98A691F3AC65}" xr6:coauthVersionLast="47" xr6:coauthVersionMax="47" xr10:uidLastSave="{06DC26A2-5E33-4E1E-8DB4-CED0A0716135}"/>
  <bookViews>
    <workbookView xWindow="-110" yWindow="-110" windowWidth="19420" windowHeight="10300" xr2:uid="{00000000-000D-0000-FFFF-FFFF00000000}"/>
  </bookViews>
  <sheets>
    <sheet name="Copper" sheetId="1" r:id="rId1"/>
    <sheet name="Nickel" sheetId="2" r:id="rId2"/>
    <sheet name="Cobalt" sheetId="3" r:id="rId3"/>
    <sheet name="Graphi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4" l="1"/>
  <c r="G13" i="4"/>
  <c r="F13" i="4"/>
  <c r="E13" i="4"/>
  <c r="D13" i="4"/>
  <c r="C13" i="4"/>
  <c r="B13" i="4"/>
  <c r="H12" i="4"/>
  <c r="G12" i="4"/>
  <c r="F12" i="4"/>
  <c r="E12" i="4"/>
  <c r="D12" i="4"/>
  <c r="C12" i="4"/>
  <c r="B12" i="4"/>
  <c r="H11" i="4"/>
  <c r="G11" i="4"/>
  <c r="F11" i="4"/>
  <c r="E11" i="4"/>
  <c r="D11" i="4"/>
  <c r="C11" i="4"/>
  <c r="B11" i="4"/>
  <c r="H10" i="4"/>
  <c r="G10" i="4"/>
  <c r="F10" i="4"/>
  <c r="E10" i="4"/>
  <c r="D10" i="4"/>
  <c r="C10" i="4"/>
  <c r="B10" i="4"/>
  <c r="H13" i="3"/>
  <c r="G13" i="3"/>
  <c r="F13" i="3"/>
  <c r="E13" i="3"/>
  <c r="D13" i="3"/>
  <c r="C13" i="3"/>
  <c r="B13" i="3"/>
  <c r="H12" i="3"/>
  <c r="G12" i="3"/>
  <c r="F12" i="3"/>
  <c r="E12" i="3"/>
  <c r="D12" i="3"/>
  <c r="C12" i="3"/>
  <c r="B12" i="3"/>
  <c r="H11" i="3"/>
  <c r="G11" i="3"/>
  <c r="F11" i="3"/>
  <c r="E11" i="3"/>
  <c r="D11" i="3"/>
  <c r="C11" i="3"/>
  <c r="B11" i="3"/>
  <c r="H10" i="3"/>
  <c r="G10" i="3"/>
  <c r="F10" i="3"/>
  <c r="E10" i="3"/>
  <c r="D10" i="3"/>
  <c r="C10" i="3"/>
  <c r="B10" i="3"/>
  <c r="H13" i="2"/>
  <c r="G13" i="2"/>
  <c r="F13" i="2"/>
  <c r="E13" i="2"/>
  <c r="D13" i="2"/>
  <c r="C13" i="2"/>
  <c r="B13" i="2"/>
  <c r="H12" i="2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13" i="1"/>
  <c r="H12" i="1"/>
  <c r="H11" i="1"/>
  <c r="H10" i="1"/>
  <c r="G13" i="1"/>
  <c r="G12" i="1"/>
  <c r="G11" i="1"/>
  <c r="G10" i="1"/>
  <c r="F13" i="1"/>
  <c r="F12" i="1"/>
  <c r="F11" i="1"/>
  <c r="F10" i="1"/>
  <c r="E13" i="1"/>
  <c r="E12" i="1"/>
  <c r="E11" i="1"/>
  <c r="E10" i="1"/>
  <c r="D13" i="1"/>
  <c r="D12" i="1"/>
  <c r="D11" i="1"/>
  <c r="D10" i="1"/>
  <c r="C13" i="1"/>
  <c r="C12" i="1"/>
  <c r="C11" i="1"/>
  <c r="C10" i="1"/>
  <c r="B13" i="1"/>
  <c r="B12" i="1"/>
  <c r="B11" i="1"/>
  <c r="B10" i="1"/>
  <c r="B5" i="4" l="1"/>
  <c r="B3" i="4"/>
  <c r="B4" i="4"/>
  <c r="B2" i="4"/>
  <c r="C5" i="4"/>
  <c r="C3" i="4"/>
  <c r="C4" i="4"/>
  <c r="C2" i="4"/>
  <c r="C5" i="3"/>
  <c r="C3" i="3"/>
  <c r="C4" i="3"/>
  <c r="C2" i="3"/>
  <c r="B5" i="3"/>
  <c r="B3" i="3"/>
  <c r="B4" i="3"/>
  <c r="B2" i="3"/>
  <c r="B5" i="2"/>
  <c r="B4" i="2"/>
  <c r="B3" i="2"/>
  <c r="B2" i="2"/>
  <c r="C4" i="2"/>
  <c r="C5" i="2"/>
  <c r="C3" i="2"/>
  <c r="C2" i="2"/>
  <c r="H7" i="4"/>
  <c r="G7" i="4"/>
  <c r="F7" i="4"/>
  <c r="E7" i="4"/>
  <c r="D7" i="4"/>
  <c r="B7" i="4"/>
  <c r="H7" i="3"/>
  <c r="G7" i="3"/>
  <c r="F7" i="3"/>
  <c r="E7" i="3"/>
  <c r="D7" i="3"/>
  <c r="B7" i="3"/>
  <c r="G7" i="2"/>
  <c r="F7" i="2"/>
  <c r="E7" i="2"/>
  <c r="D7" i="2"/>
  <c r="B7" i="2"/>
  <c r="D7" i="1"/>
  <c r="E7" i="1"/>
  <c r="F7" i="1"/>
  <c r="G7" i="1"/>
  <c r="H7" i="1"/>
  <c r="B7" i="1"/>
  <c r="C5" i="1"/>
  <c r="H7" i="2" l="1"/>
  <c r="C7" i="4"/>
  <c r="C7" i="3"/>
  <c r="C7" i="2"/>
  <c r="C7" i="1"/>
</calcChain>
</file>

<file path=xl/sharedStrings.xml><?xml version="1.0" encoding="utf-8"?>
<sst xmlns="http://schemas.openxmlformats.org/spreadsheetml/2006/main" count="88" uniqueCount="22">
  <si>
    <t>EQ</t>
  </si>
  <si>
    <t>HH</t>
  </si>
  <si>
    <t>1 Labor rights &amp; decent work</t>
  </si>
  <si>
    <t>2 Health &amp; safety</t>
  </si>
  <si>
    <t>3 Society</t>
  </si>
  <si>
    <t>Cu mining CA + refining CA</t>
  </si>
  <si>
    <t>Cu mining CA + refining World</t>
  </si>
  <si>
    <t>Cu mining World + refining CA</t>
  </si>
  <si>
    <t>Cu mining World + refining World</t>
  </si>
  <si>
    <t>Employment (Global) (full time job equivalent/CAD)</t>
  </si>
  <si>
    <t>IO multiplier (Global economy)</t>
  </si>
  <si>
    <t>mining CA + refining CA</t>
  </si>
  <si>
    <t>mining CA + refining World</t>
  </si>
  <si>
    <t>mining World + refining CA</t>
  </si>
  <si>
    <t>mining World + refining World</t>
  </si>
  <si>
    <t>Ecosystem Quality</t>
  </si>
  <si>
    <t>Human health</t>
  </si>
  <si>
    <t>Labor rights &amp; decent work</t>
  </si>
  <si>
    <t>Health &amp; safety</t>
  </si>
  <si>
    <t>Society</t>
  </si>
  <si>
    <t>Employment</t>
  </si>
  <si>
    <t>Economic multiplier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</si>
</sst>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Copper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Copper!$A$10</c:f>
              <c:strCache>
                <c:ptCount val="1"/>
                <c:pt idx="0">
                  <c:v>mining CA + refining 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Copper!$B$9:$H$9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Copper!$B$10:$H$10</c:f>
              <c:numCache>
                <c:formatCode>0%</c:formatCode>
                <c:ptCount val="7"/>
                <c:pt idx="0">
                  <c:v>-1</c:v>
                </c:pt>
                <c:pt idx="1">
                  <c:v>-0.19231286352825602</c:v>
                </c:pt>
                <c:pt idx="2">
                  <c:v>-0.34645607814555895</c:v>
                </c:pt>
                <c:pt idx="3">
                  <c:v>-0.37743979585129739</c:v>
                </c:pt>
                <c:pt idx="4">
                  <c:v>-0.23251108867262035</c:v>
                </c:pt>
                <c:pt idx="5">
                  <c:v>8.8736933943675739E-2</c:v>
                </c:pt>
                <c:pt idx="6">
                  <c:v>0.95557497844208628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3-43ED-B48E-D03BF6C2F5BC}"/>
            </c:ext>
          </c:extLst>
        </c:ser>
        <c:ser>
          <c:idx val="1"/>
          <c:order val="1"/>
          <c:tx>
            <c:strRef>
              <c:f>Copper!$A$11</c:f>
              <c:strCache>
                <c:ptCount val="1"/>
                <c:pt idx="0">
                  <c:v>mining CA + refining World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Copper!$B$9:$H$9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Copper!$B$11:$H$11</c:f>
              <c:numCache>
                <c:formatCode>0%</c:formatCode>
                <c:ptCount val="7"/>
                <c:pt idx="0">
                  <c:v>-0.5898369651115335</c:v>
                </c:pt>
                <c:pt idx="1">
                  <c:v>-0.99792960495170391</c:v>
                </c:pt>
                <c:pt idx="2">
                  <c:v>-0.5739980619150441</c:v>
                </c:pt>
                <c:pt idx="3">
                  <c:v>-0.62596836206096995</c:v>
                </c:pt>
                <c:pt idx="4">
                  <c:v>-0.45370994326967923</c:v>
                </c:pt>
                <c:pt idx="5">
                  <c:v>0.23707431496984988</c:v>
                </c:pt>
                <c:pt idx="6">
                  <c:v>0.93158648872627126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83-43ED-B48E-D03BF6C2F5BC}"/>
            </c:ext>
          </c:extLst>
        </c:ser>
        <c:ser>
          <c:idx val="2"/>
          <c:order val="2"/>
          <c:tx>
            <c:strRef>
              <c:f>Copper!$A$12</c:f>
              <c:strCache>
                <c:ptCount val="1"/>
                <c:pt idx="0">
                  <c:v>mining World + refining CA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Copper!$B$9:$H$9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Copper!$B$12:$H$12</c:f>
              <c:numCache>
                <c:formatCode>0%</c:formatCode>
                <c:ptCount val="7"/>
                <c:pt idx="0">
                  <c:v>-0.94444697158451685</c:v>
                </c:pt>
                <c:pt idx="1">
                  <c:v>-0.19438325857655223</c:v>
                </c:pt>
                <c:pt idx="2">
                  <c:v>-0.80063307777056758</c:v>
                </c:pt>
                <c:pt idx="3">
                  <c:v>-0.80858898686997072</c:v>
                </c:pt>
                <c:pt idx="4">
                  <c:v>-0.80649847048815393</c:v>
                </c:pt>
                <c:pt idx="5">
                  <c:v>1</c:v>
                </c:pt>
                <c:pt idx="6">
                  <c:v>0.98476441067642839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83-43ED-B48E-D03BF6C2F5BC}"/>
            </c:ext>
          </c:extLst>
        </c:ser>
        <c:ser>
          <c:idx val="3"/>
          <c:order val="3"/>
          <c:tx>
            <c:strRef>
              <c:f>Copper!$A$13</c:f>
              <c:strCache>
                <c:ptCount val="1"/>
                <c:pt idx="0">
                  <c:v>mining World + refining World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Copper!$B$9:$H$9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Copper!$B$13:$H$13</c:f>
              <c:numCache>
                <c:formatCode>0%</c:formatCode>
                <c:ptCount val="7"/>
                <c:pt idx="0">
                  <c:v>-0.53428393669605045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0.84248137104786092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83-43ED-B48E-D03BF6C2F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12304"/>
        <c:axId val="1977030608"/>
      </c:barChart>
      <c:catAx>
        <c:axId val="10881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030608"/>
        <c:crosses val="autoZero"/>
        <c:auto val="1"/>
        <c:lblAlgn val="ctr"/>
        <c:lblOffset val="100"/>
        <c:noMultiLvlLbl val="0"/>
      </c:catAx>
      <c:valAx>
        <c:axId val="1977030608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Nickel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Nickel!$A$10</c:f>
              <c:strCache>
                <c:ptCount val="1"/>
                <c:pt idx="0">
                  <c:v>mining CA + refining 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Nickel!$B$9:$H$9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Nickel!$B$10:$H$10</c:f>
              <c:numCache>
                <c:formatCode>0%</c:formatCode>
                <c:ptCount val="7"/>
                <c:pt idx="0">
                  <c:v>-7.9980199575841723E-2</c:v>
                </c:pt>
                <c:pt idx="1">
                  <c:v>-0.32696692634540914</c:v>
                </c:pt>
                <c:pt idx="2">
                  <c:v>-0.18446454429876299</c:v>
                </c:pt>
                <c:pt idx="3">
                  <c:v>-0.14948054042490433</c:v>
                </c:pt>
                <c:pt idx="4">
                  <c:v>-0.13205122185219734</c:v>
                </c:pt>
                <c:pt idx="5">
                  <c:v>0.11657924808534746</c:v>
                </c:pt>
                <c:pt idx="6">
                  <c:v>0.87623478025905432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0-4AC1-98A2-EA4FFC942734}"/>
            </c:ext>
          </c:extLst>
        </c:ser>
        <c:ser>
          <c:idx val="1"/>
          <c:order val="1"/>
          <c:tx>
            <c:strRef>
              <c:f>Nickel!$A$11</c:f>
              <c:strCache>
                <c:ptCount val="1"/>
                <c:pt idx="0">
                  <c:v>mining CA + refining World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Nickel!$B$9:$H$9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Nickel!$B$11:$H$11</c:f>
              <c:numCache>
                <c:formatCode>0%</c:formatCode>
                <c:ptCount val="7"/>
                <c:pt idx="0">
                  <c:v>-0.99747862298345269</c:v>
                </c:pt>
                <c:pt idx="1">
                  <c:v>-0.98980501512384378</c:v>
                </c:pt>
                <c:pt idx="2">
                  <c:v>-0.30561533654215961</c:v>
                </c:pt>
                <c:pt idx="3">
                  <c:v>-0.24790732211669175</c:v>
                </c:pt>
                <c:pt idx="4">
                  <c:v>-0.25767782825880942</c:v>
                </c:pt>
                <c:pt idx="5">
                  <c:v>0.3506583450753008</c:v>
                </c:pt>
                <c:pt idx="6">
                  <c:v>0.97602640023337051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0-4AC1-98A2-EA4FFC942734}"/>
            </c:ext>
          </c:extLst>
        </c:ser>
        <c:ser>
          <c:idx val="2"/>
          <c:order val="2"/>
          <c:tx>
            <c:strRef>
              <c:f>Nickel!$A$12</c:f>
              <c:strCache>
                <c:ptCount val="1"/>
                <c:pt idx="0">
                  <c:v>mining World + refining CA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Nickel!$B$9:$H$9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Nickel!$B$12:$H$12</c:f>
              <c:numCache>
                <c:formatCode>0%</c:formatCode>
                <c:ptCount val="7"/>
                <c:pt idx="0">
                  <c:v>-8.250157659238895E-2</c:v>
                </c:pt>
                <c:pt idx="1">
                  <c:v>-0.33716191122156541</c:v>
                </c:pt>
                <c:pt idx="2">
                  <c:v>-0.95794312358382705</c:v>
                </c:pt>
                <c:pt idx="3">
                  <c:v>-0.96403133877072433</c:v>
                </c:pt>
                <c:pt idx="4">
                  <c:v>-0.95807137499094164</c:v>
                </c:pt>
                <c:pt idx="5">
                  <c:v>0.21905384469185007</c:v>
                </c:pt>
                <c:pt idx="6">
                  <c:v>0.88970652173471065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C0-4AC1-98A2-EA4FFC942734}"/>
            </c:ext>
          </c:extLst>
        </c:ser>
        <c:ser>
          <c:idx val="3"/>
          <c:order val="3"/>
          <c:tx>
            <c:strRef>
              <c:f>Nickel!$A$13</c:f>
              <c:strCache>
                <c:ptCount val="1"/>
                <c:pt idx="0">
                  <c:v>mining World + refining World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Nickel!$B$9:$H$9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Nickel!$B$13:$H$13</c:f>
              <c:numCache>
                <c:formatCode>0%</c:formatCode>
                <c:ptCount val="7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C0-4AC1-98A2-EA4FFC94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12304"/>
        <c:axId val="1977030608"/>
      </c:barChart>
      <c:catAx>
        <c:axId val="10881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030608"/>
        <c:crosses val="autoZero"/>
        <c:auto val="1"/>
        <c:lblAlgn val="ctr"/>
        <c:lblOffset val="100"/>
        <c:noMultiLvlLbl val="0"/>
      </c:catAx>
      <c:valAx>
        <c:axId val="1977030608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Cobalt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Cobalt!$A$10</c:f>
              <c:strCache>
                <c:ptCount val="1"/>
                <c:pt idx="0">
                  <c:v>mining CA + refining 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Cobalt!$B$9:$H$9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Cobalt!$B$10:$H$10</c:f>
              <c:numCache>
                <c:formatCode>0%</c:formatCode>
                <c:ptCount val="7"/>
                <c:pt idx="0">
                  <c:v>-0.93926927022040196</c:v>
                </c:pt>
                <c:pt idx="1">
                  <c:v>-0.9408164594455215</c:v>
                </c:pt>
                <c:pt idx="2">
                  <c:v>-0.24213113818273294</c:v>
                </c:pt>
                <c:pt idx="3">
                  <c:v>-0.23708815788815643</c:v>
                </c:pt>
                <c:pt idx="4">
                  <c:v>-0.17634799649528987</c:v>
                </c:pt>
                <c:pt idx="5">
                  <c:v>7.370175323613172E-2</c:v>
                </c:pt>
                <c:pt idx="6">
                  <c:v>0.75615979869775352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7-4DCC-B266-8ED0611C46E2}"/>
            </c:ext>
          </c:extLst>
        </c:ser>
        <c:ser>
          <c:idx val="1"/>
          <c:order val="1"/>
          <c:tx>
            <c:strRef>
              <c:f>Cobalt!$A$11</c:f>
              <c:strCache>
                <c:ptCount val="1"/>
                <c:pt idx="0">
                  <c:v>mining CA + refining World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Cobalt!$B$9:$H$9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Cobalt!$B$11:$H$11</c:f>
              <c:numCache>
                <c:formatCode>0%</c:formatCode>
                <c:ptCount val="7"/>
                <c:pt idx="0">
                  <c:v>-0.99418525313702677</c:v>
                </c:pt>
                <c:pt idx="1">
                  <c:v>-0.99374467392642407</c:v>
                </c:pt>
                <c:pt idx="2">
                  <c:v>-0.40115562350671374</c:v>
                </c:pt>
                <c:pt idx="3">
                  <c:v>-0.39320094883627987</c:v>
                </c:pt>
                <c:pt idx="4">
                  <c:v>-0.34411623093923149</c:v>
                </c:pt>
                <c:pt idx="5">
                  <c:v>0.33904506275473967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7-4DCC-B266-8ED0611C46E2}"/>
            </c:ext>
          </c:extLst>
        </c:ser>
        <c:ser>
          <c:idx val="2"/>
          <c:order val="2"/>
          <c:tx>
            <c:strRef>
              <c:f>Cobalt!$A$12</c:f>
              <c:strCache>
                <c:ptCount val="1"/>
                <c:pt idx="0">
                  <c:v>mining World + refining CA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Cobalt!$B$9:$H$9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Cobalt!$B$12:$H$12</c:f>
              <c:numCache>
                <c:formatCode>0%</c:formatCode>
                <c:ptCount val="7"/>
                <c:pt idx="0">
                  <c:v>-0.94508401708337519</c:v>
                </c:pt>
                <c:pt idx="1">
                  <c:v>-0.94707178551909743</c:v>
                </c:pt>
                <c:pt idx="2">
                  <c:v>-0.86420391047710632</c:v>
                </c:pt>
                <c:pt idx="3">
                  <c:v>-0.88111202417064227</c:v>
                </c:pt>
                <c:pt idx="4">
                  <c:v>-0.85705712954958191</c:v>
                </c:pt>
                <c:pt idx="5">
                  <c:v>0.13848650314750002</c:v>
                </c:pt>
                <c:pt idx="6">
                  <c:v>0.76778543779796005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F7-4DCC-B266-8ED0611C46E2}"/>
            </c:ext>
          </c:extLst>
        </c:ser>
        <c:ser>
          <c:idx val="3"/>
          <c:order val="3"/>
          <c:tx>
            <c:strRef>
              <c:f>Cobalt!$A$13</c:f>
              <c:strCache>
                <c:ptCount val="1"/>
                <c:pt idx="0">
                  <c:v>mining World + refining World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Cobalt!$B$9:$H$9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Cobalt!$B$13:$H$13</c:f>
              <c:numCache>
                <c:formatCode>0%</c:formatCode>
                <c:ptCount val="7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0.96623759464237258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F7-4DCC-B266-8ED0611C4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12304"/>
        <c:axId val="1977030608"/>
      </c:barChart>
      <c:catAx>
        <c:axId val="10881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030608"/>
        <c:crosses val="autoZero"/>
        <c:auto val="1"/>
        <c:lblAlgn val="ctr"/>
        <c:lblOffset val="100"/>
        <c:noMultiLvlLbl val="0"/>
      </c:catAx>
      <c:valAx>
        <c:axId val="1977030608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Graphite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Graphite!$A$10</c:f>
              <c:strCache>
                <c:ptCount val="1"/>
                <c:pt idx="0">
                  <c:v>mining CA + refining 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Graphite!$B$9:$H$9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Graphite!$B$10:$H$10</c:f>
              <c:numCache>
                <c:formatCode>0%</c:formatCode>
                <c:ptCount val="7"/>
                <c:pt idx="0">
                  <c:v>-0.61967191342842487</c:v>
                </c:pt>
                <c:pt idx="1">
                  <c:v>-0.62981777083076063</c:v>
                </c:pt>
                <c:pt idx="2">
                  <c:v>-0.29146271755535869</c:v>
                </c:pt>
                <c:pt idx="3">
                  <c:v>-0.29842737354650084</c:v>
                </c:pt>
                <c:pt idx="4">
                  <c:v>-0.21016025889532938</c:v>
                </c:pt>
                <c:pt idx="5">
                  <c:v>0.16706757400618871</c:v>
                </c:pt>
                <c:pt idx="6">
                  <c:v>0.75709675577911018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3-4608-B4B0-842C1E70A7B2}"/>
            </c:ext>
          </c:extLst>
        </c:ser>
        <c:ser>
          <c:idx val="1"/>
          <c:order val="1"/>
          <c:tx>
            <c:strRef>
              <c:f>Graphite!$A$11</c:f>
              <c:strCache>
                <c:ptCount val="1"/>
                <c:pt idx="0">
                  <c:v>mining CA + refining World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Graphite!$B$9:$H$9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Graphite!$B$11:$H$11</c:f>
              <c:numCache>
                <c:formatCode>0%</c:formatCode>
                <c:ptCount val="7"/>
                <c:pt idx="0">
                  <c:v>-0.98018197276936858</c:v>
                </c:pt>
                <c:pt idx="1">
                  <c:v>-0.9778839322002354</c:v>
                </c:pt>
                <c:pt idx="2">
                  <c:v>-0.4828867078700213</c:v>
                </c:pt>
                <c:pt idx="3">
                  <c:v>-0.49492951264380625</c:v>
                </c:pt>
                <c:pt idx="4">
                  <c:v>-0.41009570633939946</c:v>
                </c:pt>
                <c:pt idx="5">
                  <c:v>0.97227274973564959</c:v>
                </c:pt>
                <c:pt idx="6">
                  <c:v>0.99964326705055739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3-4608-B4B0-842C1E70A7B2}"/>
            </c:ext>
          </c:extLst>
        </c:ser>
        <c:ser>
          <c:idx val="2"/>
          <c:order val="2"/>
          <c:tx>
            <c:strRef>
              <c:f>Graphite!$A$12</c:f>
              <c:strCache>
                <c:ptCount val="1"/>
                <c:pt idx="0">
                  <c:v>mining World + refining CA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Graphite!$B$9:$H$9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Graphite!$B$12:$H$12</c:f>
              <c:numCache>
                <c:formatCode>0%</c:formatCode>
                <c:ptCount val="7"/>
                <c:pt idx="0">
                  <c:v>-0.63948994065905618</c:v>
                </c:pt>
                <c:pt idx="1">
                  <c:v>-0.65193383863052534</c:v>
                </c:pt>
                <c:pt idx="2">
                  <c:v>-0.87189333727680063</c:v>
                </c:pt>
                <c:pt idx="3">
                  <c:v>-0.88106496339214446</c:v>
                </c:pt>
                <c:pt idx="4">
                  <c:v>-0.85893718431161292</c:v>
                </c:pt>
                <c:pt idx="5">
                  <c:v>0.16744884342099531</c:v>
                </c:pt>
                <c:pt idx="6">
                  <c:v>0.75708425264039392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C3-4608-B4B0-842C1E70A7B2}"/>
            </c:ext>
          </c:extLst>
        </c:ser>
        <c:ser>
          <c:idx val="3"/>
          <c:order val="3"/>
          <c:tx>
            <c:strRef>
              <c:f>Graphite!$A$13</c:f>
              <c:strCache>
                <c:ptCount val="1"/>
                <c:pt idx="0">
                  <c:v>mining World + refining World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Graphite!$B$9:$H$9</c:f>
              <c:strCache>
                <c:ptCount val="7"/>
                <c:pt idx="0">
                  <c:v>Ecosystem Quality</c:v>
                </c:pt>
                <c:pt idx="1">
                  <c:v>Human health</c:v>
                </c:pt>
                <c:pt idx="2">
                  <c:v>Labor rights &amp; decent work</c:v>
                </c:pt>
                <c:pt idx="3">
                  <c:v>Health &amp; safety</c:v>
                </c:pt>
                <c:pt idx="4">
                  <c:v>Society</c:v>
                </c:pt>
                <c:pt idx="5">
                  <c:v>Employment</c:v>
                </c:pt>
                <c:pt idx="6">
                  <c:v>Economic multiplier effect</c:v>
                </c:pt>
              </c:strCache>
            </c:strRef>
          </c:cat>
          <c:val>
            <c:numRef>
              <c:f>Graphite!$B$13:$H$13</c:f>
              <c:numCache>
                <c:formatCode>0%</c:formatCode>
                <c:ptCount val="7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C3-4608-B4B0-842C1E70A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12304"/>
        <c:axId val="1977030608"/>
      </c:barChart>
      <c:catAx>
        <c:axId val="10881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030608"/>
        <c:crosses val="autoZero"/>
        <c:auto val="1"/>
        <c:lblAlgn val="ctr"/>
        <c:lblOffset val="100"/>
        <c:noMultiLvlLbl val="0"/>
      </c:catAx>
      <c:valAx>
        <c:axId val="1977030608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99060</xdr:colOff>
      <xdr:row>2</xdr:row>
      <xdr:rowOff>125730</xdr:rowOff>
    </xdr:from>
    <xdr:to>
      <xdr:col>22</xdr:col>
      <xdr:colOff>525780</xdr:colOff>
      <xdr:row>26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20B818-9A3E-E8F5-F4F5-82B192BBF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99060</xdr:colOff>
      <xdr:row>2</xdr:row>
      <xdr:rowOff>125730</xdr:rowOff>
    </xdr:from>
    <xdr:to>
      <xdr:col>22</xdr:col>
      <xdr:colOff>525780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3BA43-FCDA-4845-B75A-B5E1D4954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99060</xdr:colOff>
      <xdr:row>2</xdr:row>
      <xdr:rowOff>125730</xdr:rowOff>
    </xdr:from>
    <xdr:to>
      <xdr:col>22</xdr:col>
      <xdr:colOff>525780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AFA00-6F73-4536-B114-787039CD3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99060</xdr:colOff>
      <xdr:row>2</xdr:row>
      <xdr:rowOff>125730</xdr:rowOff>
    </xdr:from>
    <xdr:to>
      <xdr:col>22</xdr:col>
      <xdr:colOff>525780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F679E-EF18-43E0-A897-7F6824A4F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eme_Ciraig">
  <a:themeElements>
    <a:clrScheme name="CIRAIG 2022">
      <a:dk1>
        <a:srgbClr val="000000"/>
      </a:dk1>
      <a:lt1>
        <a:srgbClr val="FFFFFF"/>
      </a:lt1>
      <a:dk2>
        <a:srgbClr val="000000"/>
      </a:dk2>
      <a:lt2>
        <a:srgbClr val="D9D9D9"/>
      </a:lt2>
      <a:accent1>
        <a:srgbClr val="00A1C0"/>
      </a:accent1>
      <a:accent2>
        <a:srgbClr val="0BAC43"/>
      </a:accent2>
      <a:accent3>
        <a:srgbClr val="FA961E"/>
      </a:accent3>
      <a:accent4>
        <a:srgbClr val="B91E32"/>
      </a:accent4>
      <a:accent5>
        <a:srgbClr val="005379"/>
      </a:accent5>
      <a:accent6>
        <a:srgbClr val="FDDA64"/>
      </a:accent6>
      <a:hlink>
        <a:srgbClr val="00A1C0"/>
      </a:hlink>
      <a:folHlink>
        <a:srgbClr val="09AB41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/>
      <a:bodyPr anchor="ctr"/>
      <a:lstStyle>
        <a:defPPr algn="l">
          <a:defRPr b="1" dirty="0">
            <a:solidFill>
              <a:schemeClr val="bg1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Theme_Ciraig" id="{4A190B7C-04AA-8147-B518-35305C73CC5B}" vid="{3BDFB1DD-30E8-6647-BA69-0AC60E124183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96" workbookViewId="0">
      <selection activeCell="E2" sqref="E2"/>
    </sheetView>
  </sheetViews>
  <sheetFormatPr baseColWidth="10" defaultColWidth="8.7265625" defaultRowHeight="14.5" x14ac:dyDescent="0.35"/>
  <cols>
    <col min="1" max="1" width="28.1796875" bestFit="1" customWidth="1"/>
    <col min="3" max="3" width="12" customWidth="1"/>
  </cols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</row>
    <row r="2" spans="1:8" x14ac:dyDescent="0.35">
      <c r="A2" t="s">
        <v>5</v>
      </c>
      <c r="B2">
        <v>94.500983470000008</v>
      </c>
      <c r="C2">
        <v>7.1374399999999999E-5</v>
      </c>
      <c r="D2">
        <v>2.04772320450878E-2</v>
      </c>
      <c r="E2">
        <v>3.7015184542866002E-2</v>
      </c>
      <c r="F2">
        <v>1.2004564732378299E-2</v>
      </c>
      <c r="G2" s="1">
        <v>1.29226335075866E-5</v>
      </c>
      <c r="H2">
        <v>1.8755279124456901</v>
      </c>
    </row>
    <row r="3" spans="1:8" x14ac:dyDescent="0.35">
      <c r="A3" t="s">
        <v>6</v>
      </c>
      <c r="B3">
        <v>55.740173290000001</v>
      </c>
      <c r="C3">
        <v>3.703685E-4</v>
      </c>
      <c r="D3">
        <v>3.3926065232219103E-2</v>
      </c>
      <c r="E3">
        <v>6.13881596333073E-2</v>
      </c>
      <c r="F3">
        <v>2.34250779814353E-2</v>
      </c>
      <c r="G3" s="1">
        <v>3.4524795372827567E-5</v>
      </c>
      <c r="H3">
        <v>1.8284451789559766</v>
      </c>
    </row>
    <row r="4" spans="1:8" x14ac:dyDescent="0.35">
      <c r="A4" t="s">
        <v>7</v>
      </c>
      <c r="B4">
        <v>89.251167649999999</v>
      </c>
      <c r="C4">
        <v>7.2142800000000003E-5</v>
      </c>
      <c r="D4">
        <v>4.7321292223347002E-2</v>
      </c>
      <c r="E4">
        <v>7.92976016236316E-2</v>
      </c>
      <c r="F4">
        <v>4.1639575775979799E-2</v>
      </c>
      <c r="G4" s="1">
        <v>1.45628578014528E-4</v>
      </c>
      <c r="H4">
        <v>1.9328186495819895</v>
      </c>
    </row>
    <row r="5" spans="1:8" x14ac:dyDescent="0.35">
      <c r="A5" t="s">
        <v>8</v>
      </c>
      <c r="B5">
        <v>50.490357469999999</v>
      </c>
      <c r="C5" s="1">
        <f>0.0000161839+0.000354953</f>
        <v>3.7113689999999997E-4</v>
      </c>
      <c r="D5">
        <v>5.9104842826525797E-2</v>
      </c>
      <c r="E5">
        <v>9.8069109165820803E-2</v>
      </c>
      <c r="F5">
        <v>5.16300740790945E-2</v>
      </c>
      <c r="G5">
        <v>1.2268936406942992E-4</v>
      </c>
      <c r="H5">
        <v>1.962721874010809</v>
      </c>
    </row>
    <row r="7" spans="1:8" x14ac:dyDescent="0.35">
      <c r="B7">
        <f>MAX(B2:B5)</f>
        <v>94.500983470000008</v>
      </c>
      <c r="C7">
        <f t="shared" ref="C7:H7" si="0">MAX(C2:C5)</f>
        <v>3.7113689999999997E-4</v>
      </c>
      <c r="D7">
        <f t="shared" si="0"/>
        <v>5.9104842826525797E-2</v>
      </c>
      <c r="E7">
        <f t="shared" si="0"/>
        <v>9.8069109165820803E-2</v>
      </c>
      <c r="F7">
        <f t="shared" si="0"/>
        <v>5.16300740790945E-2</v>
      </c>
      <c r="G7">
        <f t="shared" si="0"/>
        <v>1.45628578014528E-4</v>
      </c>
      <c r="H7">
        <f t="shared" si="0"/>
        <v>1.962721874010809</v>
      </c>
    </row>
    <row r="9" spans="1:8" x14ac:dyDescent="0.35"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</row>
    <row r="10" spans="1:8" x14ac:dyDescent="0.35">
      <c r="A10" t="s">
        <v>11</v>
      </c>
      <c r="B10" s="2">
        <f>-B2/B$7</f>
        <v>-1</v>
      </c>
      <c r="C10" s="2">
        <f>-C2/C$7</f>
        <v>-0.19231286352825602</v>
      </c>
      <c r="D10" s="2">
        <f>-D2/D$7</f>
        <v>-0.34645607814555895</v>
      </c>
      <c r="E10" s="2">
        <f>-E2/E$7</f>
        <v>-0.37743979585129739</v>
      </c>
      <c r="F10" s="2">
        <f>-F2/F$7</f>
        <v>-0.23251108867262035</v>
      </c>
      <c r="G10" s="2">
        <f>G2/G$7</f>
        <v>8.8736933943675739E-2</v>
      </c>
      <c r="H10" s="2">
        <f>H2/H$7</f>
        <v>0.95557497844208628</v>
      </c>
    </row>
    <row r="11" spans="1:8" x14ac:dyDescent="0.35">
      <c r="A11" t="s">
        <v>12</v>
      </c>
      <c r="B11" s="2">
        <f>-B3/$B$7</f>
        <v>-0.5898369651115335</v>
      </c>
      <c r="C11" s="2">
        <f>-C3/C$7</f>
        <v>-0.99792960495170391</v>
      </c>
      <c r="D11" s="2">
        <f>-D3/D$7</f>
        <v>-0.5739980619150441</v>
      </c>
      <c r="E11" s="2">
        <f>-E3/E$7</f>
        <v>-0.62596836206096995</v>
      </c>
      <c r="F11" s="2">
        <f>-F3/F$7</f>
        <v>-0.45370994326967923</v>
      </c>
      <c r="G11" s="2">
        <f>G3/G$7</f>
        <v>0.23707431496984988</v>
      </c>
      <c r="H11" s="2">
        <f>H3/H$7</f>
        <v>0.93158648872627126</v>
      </c>
    </row>
    <row r="12" spans="1:8" x14ac:dyDescent="0.35">
      <c r="A12" t="s">
        <v>13</v>
      </c>
      <c r="B12" s="2">
        <f>-B4/$B$7</f>
        <v>-0.94444697158451685</v>
      </c>
      <c r="C12" s="2">
        <f>-C4/C$7</f>
        <v>-0.19438325857655223</v>
      </c>
      <c r="D12" s="2">
        <f>-D4/D$7</f>
        <v>-0.80063307777056758</v>
      </c>
      <c r="E12" s="2">
        <f>-E4/E$7</f>
        <v>-0.80858898686997072</v>
      </c>
      <c r="F12" s="2">
        <f>-F4/F$7</f>
        <v>-0.80649847048815393</v>
      </c>
      <c r="G12" s="2">
        <f>G4/G$7</f>
        <v>1</v>
      </c>
      <c r="H12" s="2">
        <f>H4/H$7</f>
        <v>0.98476441067642839</v>
      </c>
    </row>
    <row r="13" spans="1:8" x14ac:dyDescent="0.35">
      <c r="A13" t="s">
        <v>14</v>
      </c>
      <c r="B13" s="2">
        <f>-B5/$B$7</f>
        <v>-0.53428393669605045</v>
      </c>
      <c r="C13" s="2">
        <f>-C5/C$7</f>
        <v>-1</v>
      </c>
      <c r="D13" s="2">
        <f>-D5/D$7</f>
        <v>-1</v>
      </c>
      <c r="E13" s="2">
        <f>-E5/E$7</f>
        <v>-1</v>
      </c>
      <c r="F13" s="2">
        <f>-F5/F$7</f>
        <v>-1</v>
      </c>
      <c r="G13" s="2">
        <f>G5/G$7</f>
        <v>0.84248137104786092</v>
      </c>
      <c r="H13" s="2">
        <f>H5/H$7</f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0594-54BE-4CE6-98E1-F52AD5CD6645}">
  <dimension ref="A1:H13"/>
  <sheetViews>
    <sheetView workbookViewId="0">
      <selection activeCell="B10" sqref="B10:H13"/>
    </sheetView>
  </sheetViews>
  <sheetFormatPr baseColWidth="10" defaultColWidth="8.7265625" defaultRowHeight="14.5" x14ac:dyDescent="0.35"/>
  <cols>
    <col min="1" max="1" width="28.1796875" bestFit="1" customWidth="1"/>
    <col min="3" max="3" width="12" bestFit="1" customWidth="1"/>
  </cols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</row>
    <row r="2" spans="1:8" x14ac:dyDescent="0.35">
      <c r="A2" t="s">
        <v>5</v>
      </c>
      <c r="B2">
        <f>0.712726357+6.081663205</f>
        <v>6.7943895620000001</v>
      </c>
      <c r="C2">
        <f>0.00000688115+0.0000579854</f>
        <v>6.4866549999999996E-5</v>
      </c>
      <c r="D2">
        <v>2.04772320450878E-2</v>
      </c>
      <c r="E2">
        <v>3.7015184542866002E-2</v>
      </c>
      <c r="F2">
        <v>1.2004564732378299E-2</v>
      </c>
      <c r="G2" s="1">
        <v>1.0514637007840087E-5</v>
      </c>
      <c r="H2">
        <v>1.5635118336898304</v>
      </c>
    </row>
    <row r="3" spans="1:8" x14ac:dyDescent="0.35">
      <c r="A3" t="s">
        <v>6</v>
      </c>
      <c r="B3">
        <f>0.712726357+84.02397573</f>
        <v>84.736702086999998</v>
      </c>
      <c r="C3">
        <f>0.00000688115+0.000189485</f>
        <v>1.9636615000000001E-4</v>
      </c>
      <c r="D3">
        <v>3.3926065232219103E-2</v>
      </c>
      <c r="E3">
        <v>6.13881596333073E-2</v>
      </c>
      <c r="F3">
        <v>2.34250779814353E-2</v>
      </c>
      <c r="G3" s="1">
        <v>3.1626942811789609E-5</v>
      </c>
      <c r="H3">
        <v>1.7415752731333021</v>
      </c>
    </row>
    <row r="4" spans="1:8" x14ac:dyDescent="0.35">
      <c r="A4" t="s">
        <v>7</v>
      </c>
      <c r="B4">
        <f>0.926919592+6.081663205</f>
        <v>7.0085827969999999</v>
      </c>
      <c r="C4">
        <f>0.00000890372+0.0000579854</f>
        <v>6.6889119999999998E-5</v>
      </c>
      <c r="D4">
        <v>0.106340346879082</v>
      </c>
      <c r="E4">
        <v>0.23871868410611799</v>
      </c>
      <c r="F4">
        <v>8.7096731692422893E-2</v>
      </c>
      <c r="G4" s="1">
        <v>1.9757132593790281E-5</v>
      </c>
      <c r="H4">
        <v>1.5875501710077939</v>
      </c>
    </row>
    <row r="5" spans="1:8" x14ac:dyDescent="0.35">
      <c r="A5" t="s">
        <v>8</v>
      </c>
      <c r="B5">
        <f>0.926919592+84.02397573</f>
        <v>84.950895322000008</v>
      </c>
      <c r="C5" s="1">
        <f>0.00000890372+0.000189485</f>
        <v>1.9838871999999999E-4</v>
      </c>
      <c r="D5">
        <v>0.111009040371045</v>
      </c>
      <c r="E5">
        <v>0.24762543965688699</v>
      </c>
      <c r="F5">
        <v>9.0908395727036906E-2</v>
      </c>
      <c r="G5" s="1">
        <v>9.0193041905214035E-5</v>
      </c>
      <c r="H5">
        <v>1.7843526289011105</v>
      </c>
    </row>
    <row r="7" spans="1:8" x14ac:dyDescent="0.35">
      <c r="B7">
        <f>MAX(B2:B5)</f>
        <v>84.950895322000008</v>
      </c>
      <c r="C7">
        <f t="shared" ref="C7:H7" si="0">MAX(C2:C5)</f>
        <v>1.9838871999999999E-4</v>
      </c>
      <c r="D7">
        <f t="shared" si="0"/>
        <v>0.111009040371045</v>
      </c>
      <c r="E7">
        <f t="shared" si="0"/>
        <v>0.24762543965688699</v>
      </c>
      <c r="F7">
        <f t="shared" si="0"/>
        <v>9.0908395727036906E-2</v>
      </c>
      <c r="G7">
        <f t="shared" si="0"/>
        <v>9.0193041905214035E-5</v>
      </c>
      <c r="H7">
        <f t="shared" si="0"/>
        <v>1.7843526289011105</v>
      </c>
    </row>
    <row r="9" spans="1:8" x14ac:dyDescent="0.35"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</row>
    <row r="10" spans="1:8" x14ac:dyDescent="0.35">
      <c r="A10" t="s">
        <v>11</v>
      </c>
      <c r="B10" s="2">
        <f>-B2/B$7</f>
        <v>-7.9980199575841723E-2</v>
      </c>
      <c r="C10" s="2">
        <f>-C2/C$7</f>
        <v>-0.32696692634540914</v>
      </c>
      <c r="D10" s="2">
        <f>-D2/D$7</f>
        <v>-0.18446454429876299</v>
      </c>
      <c r="E10" s="2">
        <f>-E2/E$7</f>
        <v>-0.14948054042490433</v>
      </c>
      <c r="F10" s="2">
        <f>-F2/F$7</f>
        <v>-0.13205122185219734</v>
      </c>
      <c r="G10" s="2">
        <f>G2/G$7</f>
        <v>0.11657924808534746</v>
      </c>
      <c r="H10" s="2">
        <f>H2/H$7</f>
        <v>0.87623478025905432</v>
      </c>
    </row>
    <row r="11" spans="1:8" x14ac:dyDescent="0.35">
      <c r="A11" t="s">
        <v>12</v>
      </c>
      <c r="B11" s="2">
        <f>-B3/$B$7</f>
        <v>-0.99747862298345269</v>
      </c>
      <c r="C11" s="2">
        <f>-C3/C$7</f>
        <v>-0.98980501512384378</v>
      </c>
      <c r="D11" s="2">
        <f>-D3/D$7</f>
        <v>-0.30561533654215961</v>
      </c>
      <c r="E11" s="2">
        <f>-E3/E$7</f>
        <v>-0.24790732211669175</v>
      </c>
      <c r="F11" s="2">
        <f>-F3/F$7</f>
        <v>-0.25767782825880942</v>
      </c>
      <c r="G11" s="2">
        <f>G3/G$7</f>
        <v>0.3506583450753008</v>
      </c>
      <c r="H11" s="2">
        <f>H3/H$7</f>
        <v>0.97602640023337051</v>
      </c>
    </row>
    <row r="12" spans="1:8" x14ac:dyDescent="0.35">
      <c r="A12" t="s">
        <v>13</v>
      </c>
      <c r="B12" s="2">
        <f>-B4/$B$7</f>
        <v>-8.250157659238895E-2</v>
      </c>
      <c r="C12" s="2">
        <f>-C4/C$7</f>
        <v>-0.33716191122156541</v>
      </c>
      <c r="D12" s="2">
        <f>-D4/D$7</f>
        <v>-0.95794312358382705</v>
      </c>
      <c r="E12" s="2">
        <f>-E4/E$7</f>
        <v>-0.96403133877072433</v>
      </c>
      <c r="F12" s="2">
        <f>-F4/F$7</f>
        <v>-0.95807137499094164</v>
      </c>
      <c r="G12" s="2">
        <f>G4/G$7</f>
        <v>0.21905384469185007</v>
      </c>
      <c r="H12" s="2">
        <f>H4/H$7</f>
        <v>0.88970652173471065</v>
      </c>
    </row>
    <row r="13" spans="1:8" x14ac:dyDescent="0.35">
      <c r="A13" t="s">
        <v>14</v>
      </c>
      <c r="B13" s="2">
        <f>-B5/$B$7</f>
        <v>-1</v>
      </c>
      <c r="C13" s="2">
        <f>-C5/C$7</f>
        <v>-1</v>
      </c>
      <c r="D13" s="2">
        <f>-D5/D$7</f>
        <v>-1</v>
      </c>
      <c r="E13" s="2">
        <f>-E5/E$7</f>
        <v>-1</v>
      </c>
      <c r="F13" s="2">
        <f>-F5/F$7</f>
        <v>-1</v>
      </c>
      <c r="G13" s="2">
        <f>G5/G$7</f>
        <v>1</v>
      </c>
      <c r="H13" s="2">
        <f>H5/H$7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6010-4E57-430E-AB93-2C476DB073EC}">
  <dimension ref="A1:H13"/>
  <sheetViews>
    <sheetView workbookViewId="0">
      <selection activeCell="B10" sqref="B10:H13"/>
    </sheetView>
  </sheetViews>
  <sheetFormatPr baseColWidth="10" defaultColWidth="8.7265625" defaultRowHeight="14.5" x14ac:dyDescent="0.35"/>
  <cols>
    <col min="1" max="1" width="28.1796875" bestFit="1" customWidth="1"/>
    <col min="3" max="3" width="12" bestFit="1" customWidth="1"/>
  </cols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</row>
    <row r="2" spans="1:8" x14ac:dyDescent="0.35">
      <c r="A2" t="s">
        <v>5</v>
      </c>
      <c r="B2">
        <f>0.047741441+16.58982684</f>
        <v>16.637568281</v>
      </c>
      <c r="C2">
        <f>0.000000470478+0.000153375</f>
        <v>1.5384547799999999E-4</v>
      </c>
      <c r="D2">
        <v>2.04772320450878E-2</v>
      </c>
      <c r="E2">
        <v>3.7015184542866002E-2</v>
      </c>
      <c r="F2">
        <v>1.2004564732378299E-2</v>
      </c>
      <c r="G2" s="1">
        <v>1.0514637007840087E-5</v>
      </c>
      <c r="H2">
        <v>1.5635118336898304</v>
      </c>
    </row>
    <row r="3" spans="1:8" x14ac:dyDescent="0.35">
      <c r="A3" t="s">
        <v>6</v>
      </c>
      <c r="B3">
        <f>0.047741441+17.5625707</f>
        <v>17.610312140999998</v>
      </c>
      <c r="C3">
        <f>0.000000470478+0.00016203</f>
        <v>1.6250047799999998E-4</v>
      </c>
      <c r="D3">
        <v>3.3926065232219103E-2</v>
      </c>
      <c r="E3">
        <v>6.13881596333073E-2</v>
      </c>
      <c r="F3">
        <v>2.34250779814353E-2</v>
      </c>
      <c r="G3" s="1">
        <v>4.8369755231531831E-5</v>
      </c>
      <c r="H3">
        <v>2.0677002881963387</v>
      </c>
    </row>
    <row r="4" spans="1:8" x14ac:dyDescent="0.35">
      <c r="A4" t="s">
        <v>7</v>
      </c>
      <c r="B4">
        <f>0.150739858+16.58982684</f>
        <v>16.740566698000002</v>
      </c>
      <c r="C4">
        <f>0.00000149337+0.000153375</f>
        <v>1.5486836999999999E-4</v>
      </c>
      <c r="D4">
        <v>7.3086444568549E-2</v>
      </c>
      <c r="E4">
        <v>0.13756285623088799</v>
      </c>
      <c r="F4">
        <v>5.8342583956144299E-2</v>
      </c>
      <c r="G4" s="1">
        <v>1.9757132593790281E-5</v>
      </c>
      <c r="H4">
        <v>1.5875501710077939</v>
      </c>
    </row>
    <row r="5" spans="1:8" x14ac:dyDescent="0.35">
      <c r="A5" t="s">
        <v>8</v>
      </c>
      <c r="B5">
        <f>0.150739858+17.5625707</f>
        <v>17.713310558</v>
      </c>
      <c r="C5" s="1">
        <f>0.00000149337+0.00016203</f>
        <v>1.6352336999999998E-4</v>
      </c>
      <c r="D5">
        <v>8.4570832974129595E-2</v>
      </c>
      <c r="E5">
        <v>0.15612413910747699</v>
      </c>
      <c r="F5">
        <v>6.8073156321336106E-2</v>
      </c>
      <c r="G5">
        <v>1.4266467955182058E-4</v>
      </c>
      <c r="H5">
        <v>1.9978897529081707</v>
      </c>
    </row>
    <row r="7" spans="1:8" x14ac:dyDescent="0.35">
      <c r="B7">
        <f>MAX(B2:B5)</f>
        <v>17.713310558</v>
      </c>
      <c r="C7">
        <f t="shared" ref="C7:H7" si="0">MAX(C2:C5)</f>
        <v>1.6352336999999998E-4</v>
      </c>
      <c r="D7">
        <f t="shared" si="0"/>
        <v>8.4570832974129595E-2</v>
      </c>
      <c r="E7">
        <f t="shared" si="0"/>
        <v>0.15612413910747699</v>
      </c>
      <c r="F7">
        <f t="shared" si="0"/>
        <v>6.8073156321336106E-2</v>
      </c>
      <c r="G7">
        <f t="shared" si="0"/>
        <v>1.4266467955182058E-4</v>
      </c>
      <c r="H7">
        <f t="shared" si="0"/>
        <v>2.0677002881963387</v>
      </c>
    </row>
    <row r="9" spans="1:8" x14ac:dyDescent="0.35"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</row>
    <row r="10" spans="1:8" x14ac:dyDescent="0.35">
      <c r="A10" t="s">
        <v>11</v>
      </c>
      <c r="B10" s="2">
        <f>-B2/B$7</f>
        <v>-0.93926927022040196</v>
      </c>
      <c r="C10" s="2">
        <f>-C2/C$7</f>
        <v>-0.9408164594455215</v>
      </c>
      <c r="D10" s="2">
        <f>-D2/D$7</f>
        <v>-0.24213113818273294</v>
      </c>
      <c r="E10" s="2">
        <f>-E2/E$7</f>
        <v>-0.23708815788815643</v>
      </c>
      <c r="F10" s="2">
        <f>-F2/F$7</f>
        <v>-0.17634799649528987</v>
      </c>
      <c r="G10" s="2">
        <f>G2/G$7</f>
        <v>7.370175323613172E-2</v>
      </c>
      <c r="H10" s="2">
        <f>H2/H$7</f>
        <v>0.75615979869775352</v>
      </c>
    </row>
    <row r="11" spans="1:8" x14ac:dyDescent="0.35">
      <c r="A11" t="s">
        <v>12</v>
      </c>
      <c r="B11" s="2">
        <f>-B3/$B$7</f>
        <v>-0.99418525313702677</v>
      </c>
      <c r="C11" s="2">
        <f>-C3/C$7</f>
        <v>-0.99374467392642407</v>
      </c>
      <c r="D11" s="2">
        <f>-D3/D$7</f>
        <v>-0.40115562350671374</v>
      </c>
      <c r="E11" s="2">
        <f>-E3/E$7</f>
        <v>-0.39320094883627987</v>
      </c>
      <c r="F11" s="2">
        <f>-F3/F$7</f>
        <v>-0.34411623093923149</v>
      </c>
      <c r="G11" s="2">
        <f>G3/G$7</f>
        <v>0.33904506275473967</v>
      </c>
      <c r="H11" s="2">
        <f>H3/H$7</f>
        <v>1</v>
      </c>
    </row>
    <row r="12" spans="1:8" x14ac:dyDescent="0.35">
      <c r="A12" t="s">
        <v>13</v>
      </c>
      <c r="B12" s="2">
        <f>-B4/$B$7</f>
        <v>-0.94508401708337519</v>
      </c>
      <c r="C12" s="2">
        <f>-C4/C$7</f>
        <v>-0.94707178551909743</v>
      </c>
      <c r="D12" s="2">
        <f>-D4/D$7</f>
        <v>-0.86420391047710632</v>
      </c>
      <c r="E12" s="2">
        <f>-E4/E$7</f>
        <v>-0.88111202417064227</v>
      </c>
      <c r="F12" s="2">
        <f>-F4/F$7</f>
        <v>-0.85705712954958191</v>
      </c>
      <c r="G12" s="2">
        <f>G4/G$7</f>
        <v>0.13848650314750002</v>
      </c>
      <c r="H12" s="2">
        <f>H4/H$7</f>
        <v>0.76778543779796005</v>
      </c>
    </row>
    <row r="13" spans="1:8" x14ac:dyDescent="0.35">
      <c r="A13" t="s">
        <v>14</v>
      </c>
      <c r="B13" s="2">
        <f>-B5/$B$7</f>
        <v>-1</v>
      </c>
      <c r="C13" s="2">
        <f>-C5/C$7</f>
        <v>-1</v>
      </c>
      <c r="D13" s="2">
        <f>-D5/D$7</f>
        <v>-1</v>
      </c>
      <c r="E13" s="2">
        <f>-E5/E$7</f>
        <v>-1</v>
      </c>
      <c r="F13" s="2">
        <f>-F5/F$7</f>
        <v>-1</v>
      </c>
      <c r="G13" s="2">
        <f>G5/G$7</f>
        <v>1</v>
      </c>
      <c r="H13" s="2">
        <f>H5/H$7</f>
        <v>0.96623759464237258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9597-62D5-4519-9F64-E182F75A2CC6}">
  <dimension ref="A1:H13"/>
  <sheetViews>
    <sheetView workbookViewId="0">
      <selection activeCell="E7" sqref="E7"/>
    </sheetView>
  </sheetViews>
  <sheetFormatPr baseColWidth="10" defaultColWidth="8.7265625" defaultRowHeight="14.5" x14ac:dyDescent="0.35"/>
  <cols>
    <col min="1" max="1" width="28.1796875" bestFit="1" customWidth="1"/>
    <col min="3" max="3" width="12" bestFit="1" customWidth="1"/>
  </cols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</row>
    <row r="2" spans="1:8" x14ac:dyDescent="0.35">
      <c r="A2" t="s">
        <v>5</v>
      </c>
      <c r="B2">
        <f>0.016187057+5.936670649</f>
        <v>5.9528577059999996</v>
      </c>
      <c r="C2">
        <f>0.000000158623+0.0000534437</f>
        <v>5.3602322999999996E-5</v>
      </c>
      <c r="D2">
        <v>2.04772320450878E-2</v>
      </c>
      <c r="E2">
        <v>3.7015184542866002E-2</v>
      </c>
      <c r="F2">
        <v>1.2004564732378299E-2</v>
      </c>
      <c r="G2">
        <v>1.2635303130269687E-5</v>
      </c>
      <c r="H2">
        <v>1.4893735100622627</v>
      </c>
    </row>
    <row r="3" spans="1:8" x14ac:dyDescent="0.35">
      <c r="A3" t="s">
        <v>6</v>
      </c>
      <c r="B3">
        <f>0.016187057+9.39989859</f>
        <v>9.4160856469999992</v>
      </c>
      <c r="C3">
        <f>0.000000158623+0.0000830668</f>
        <v>8.3225422999999994E-5</v>
      </c>
      <c r="D3">
        <v>3.3926065232219103E-2</v>
      </c>
      <c r="E3">
        <v>6.13881596333073E-2</v>
      </c>
      <c r="F3">
        <v>2.34250779814353E-2</v>
      </c>
      <c r="G3">
        <v>7.3532886266461831E-5</v>
      </c>
      <c r="H3">
        <v>1.9665150987538766</v>
      </c>
    </row>
    <row r="4" spans="1:8" x14ac:dyDescent="0.35">
      <c r="A4" t="s">
        <v>7</v>
      </c>
      <c r="B4">
        <f>0.206568279+5.936670649</f>
        <v>6.1432389279999997</v>
      </c>
      <c r="C4">
        <f>0.00000204087+0.0000534437</f>
        <v>5.5484569999999999E-5</v>
      </c>
      <c r="D4">
        <v>6.1256418439150702E-2</v>
      </c>
      <c r="E4">
        <v>0.10928214066506201</v>
      </c>
      <c r="F4">
        <v>4.9063353291979903E-2</v>
      </c>
      <c r="G4">
        <v>1.266413849619296E-5</v>
      </c>
      <c r="H4">
        <v>1.4893489136768541</v>
      </c>
    </row>
    <row r="5" spans="1:8" x14ac:dyDescent="0.35">
      <c r="A5" t="s">
        <v>8</v>
      </c>
      <c r="B5">
        <f>0.206568279+9.39989859</f>
        <v>9.6064668690000001</v>
      </c>
      <c r="C5" s="1">
        <f>0.00000204087+0.0000830668</f>
        <v>8.5107669999999989E-5</v>
      </c>
      <c r="D5">
        <v>7.0256780067242994E-2</v>
      </c>
      <c r="E5">
        <v>0.124034146408819</v>
      </c>
      <c r="F5">
        <v>5.7121002778918302E-2</v>
      </c>
      <c r="G5">
        <v>7.5629895300937544E-5</v>
      </c>
      <c r="H5">
        <v>1.9672168698300443</v>
      </c>
    </row>
    <row r="7" spans="1:8" x14ac:dyDescent="0.35">
      <c r="B7">
        <f>MAX(B2:B5)</f>
        <v>9.6064668690000001</v>
      </c>
      <c r="C7">
        <f t="shared" ref="C7:H7" si="0">MAX(C2:C5)</f>
        <v>8.5107669999999989E-5</v>
      </c>
      <c r="D7">
        <f t="shared" si="0"/>
        <v>7.0256780067242994E-2</v>
      </c>
      <c r="E7">
        <f t="shared" si="0"/>
        <v>0.124034146408819</v>
      </c>
      <c r="F7">
        <f t="shared" si="0"/>
        <v>5.7121002778918302E-2</v>
      </c>
      <c r="G7">
        <f t="shared" si="0"/>
        <v>7.5629895300937544E-5</v>
      </c>
      <c r="H7">
        <f t="shared" si="0"/>
        <v>1.9672168698300443</v>
      </c>
    </row>
    <row r="9" spans="1:8" x14ac:dyDescent="0.35"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</row>
    <row r="10" spans="1:8" x14ac:dyDescent="0.35">
      <c r="A10" t="s">
        <v>11</v>
      </c>
      <c r="B10" s="2">
        <f>-B2/B$7</f>
        <v>-0.61967191342842487</v>
      </c>
      <c r="C10" s="2">
        <f>-C2/C$7</f>
        <v>-0.62981777083076063</v>
      </c>
      <c r="D10" s="2">
        <f>-D2/D$7</f>
        <v>-0.29146271755535869</v>
      </c>
      <c r="E10" s="2">
        <f>-E2/E$7</f>
        <v>-0.29842737354650084</v>
      </c>
      <c r="F10" s="2">
        <f>-F2/F$7</f>
        <v>-0.21016025889532938</v>
      </c>
      <c r="G10" s="2">
        <f>G2/G$7</f>
        <v>0.16706757400618871</v>
      </c>
      <c r="H10" s="2">
        <f>H2/H$7</f>
        <v>0.75709675577911018</v>
      </c>
    </row>
    <row r="11" spans="1:8" x14ac:dyDescent="0.35">
      <c r="A11" t="s">
        <v>12</v>
      </c>
      <c r="B11" s="2">
        <f>-B3/$B$7</f>
        <v>-0.98018197276936858</v>
      </c>
      <c r="C11" s="2">
        <f>-C3/C$7</f>
        <v>-0.9778839322002354</v>
      </c>
      <c r="D11" s="2">
        <f>-D3/D$7</f>
        <v>-0.4828867078700213</v>
      </c>
      <c r="E11" s="2">
        <f>-E3/E$7</f>
        <v>-0.49492951264380625</v>
      </c>
      <c r="F11" s="2">
        <f>-F3/F$7</f>
        <v>-0.41009570633939946</v>
      </c>
      <c r="G11" s="2">
        <f>G3/G$7</f>
        <v>0.97227274973564959</v>
      </c>
      <c r="H11" s="2">
        <f>H3/H$7</f>
        <v>0.99964326705055739</v>
      </c>
    </row>
    <row r="12" spans="1:8" x14ac:dyDescent="0.35">
      <c r="A12" t="s">
        <v>13</v>
      </c>
      <c r="B12" s="2">
        <f>-B4/$B$7</f>
        <v>-0.63948994065905618</v>
      </c>
      <c r="C12" s="2">
        <f>-C4/C$7</f>
        <v>-0.65193383863052534</v>
      </c>
      <c r="D12" s="2">
        <f>-D4/D$7</f>
        <v>-0.87189333727680063</v>
      </c>
      <c r="E12" s="2">
        <f>-E4/E$7</f>
        <v>-0.88106496339214446</v>
      </c>
      <c r="F12" s="2">
        <f>-F4/F$7</f>
        <v>-0.85893718431161292</v>
      </c>
      <c r="G12" s="2">
        <f>G4/G$7</f>
        <v>0.16744884342099531</v>
      </c>
      <c r="H12" s="2">
        <f>H4/H$7</f>
        <v>0.75708425264039392</v>
      </c>
    </row>
    <row r="13" spans="1:8" x14ac:dyDescent="0.35">
      <c r="A13" t="s">
        <v>14</v>
      </c>
      <c r="B13" s="2">
        <f>-B5/$B$7</f>
        <v>-1</v>
      </c>
      <c r="C13" s="2">
        <f>-C5/C$7</f>
        <v>-1</v>
      </c>
      <c r="D13" s="2">
        <f>-D5/D$7</f>
        <v>-1</v>
      </c>
      <c r="E13" s="2">
        <f>-E5/E$7</f>
        <v>-1</v>
      </c>
      <c r="F13" s="2">
        <f>-F5/F$7</f>
        <v>-1</v>
      </c>
      <c r="G13" s="2">
        <f>G5/G$7</f>
        <v>1</v>
      </c>
      <c r="H13" s="2">
        <f>H5/H$7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Copper</vt:lpstr>
      <vt:lpstr>Nickel</vt:lpstr>
      <vt:lpstr>Cobalt</vt:lpstr>
      <vt:lpstr>Graphite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Marin Pellan</cp:lastModifiedBy>
  <dcterms:created xsi:type="dcterms:W3CDTF">2015-06-05T18:17:20Z</dcterms:created>
  <dcterms:modified xsi:type="dcterms:W3CDTF">2026-05-20T14:02:09Z</dcterms:modified>
</cp:coreProperties>
</file>