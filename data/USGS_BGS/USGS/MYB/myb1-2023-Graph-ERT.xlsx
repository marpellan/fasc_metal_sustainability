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ebPosts\todo20250325\"/>
    </mc:Choice>
  </mc:AlternateContent>
  <xr:revisionPtr revIDLastSave="0" documentId="13_ncr:1_{00334A8B-D19A-4C3D-8BA8-21331FBDFEA7}" xr6:coauthVersionLast="47" xr6:coauthVersionMax="47" xr10:uidLastSave="{00000000-0000-0000-0000-000000000000}"/>
  <bookViews>
    <workbookView xWindow="2085" yWindow="255" windowWidth="18885" windowHeight="14175" xr2:uid="{00000000-000D-0000-FFFF-FFFF00000000}"/>
  </bookViews>
  <sheets>
    <sheet name="Note" sheetId="20" r:id="rId1"/>
    <sheet name="T1" sheetId="1" r:id="rId2"/>
    <sheet name="T2" sheetId="2" r:id="rId3"/>
    <sheet name="T3" sheetId="3" r:id="rId4"/>
    <sheet name="T4" sheetId="4" r:id="rId5"/>
    <sheet name="T5" sheetId="5" r:id="rId6"/>
    <sheet name="T6" sheetId="11" r:id="rId7"/>
    <sheet name="T7" sheetId="8" r:id="rId8"/>
    <sheet name="T8" sheetId="12" r:id="rId9"/>
    <sheet name="T9" sheetId="19" r:id="rId10"/>
  </sheets>
  <calcPr calcId="191028"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1" i="19" l="1"/>
</calcChain>
</file>

<file path=xl/sharedStrings.xml><?xml version="1.0" encoding="utf-8"?>
<sst xmlns="http://schemas.openxmlformats.org/spreadsheetml/2006/main" count="895" uniqueCount="233">
  <si>
    <t>TABLE 1</t>
  </si>
  <si>
    <r>
      <t>SALIENT NATURAL AND SYNTHETIC GRAPHITE STATISTICS</t>
    </r>
    <r>
      <rPr>
        <vertAlign val="superscript"/>
        <sz val="8"/>
        <color indexed="8"/>
        <rFont val="Times New Roman"/>
        <family val="1"/>
      </rPr>
      <t>1</t>
    </r>
  </si>
  <si>
    <t>2019</t>
  </si>
  <si>
    <t>2020</t>
  </si>
  <si>
    <t>2021</t>
  </si>
  <si>
    <t>2022</t>
  </si>
  <si>
    <t>2023</t>
  </si>
  <si>
    <t>United States:</t>
  </si>
  <si>
    <t>Natural:</t>
  </si>
  <si>
    <t>Exports:</t>
  </si>
  <si>
    <t xml:space="preserve">Quantity                                                        </t>
  </si>
  <si>
    <t xml:space="preserve"> </t>
  </si>
  <si>
    <t>metric tons</t>
  </si>
  <si>
    <t xml:space="preserve">Value                                 </t>
  </si>
  <si>
    <t>thousands</t>
  </si>
  <si>
    <t>Imports for consumption:</t>
  </si>
  <si>
    <t xml:space="preserve">Quantity                                                       </t>
  </si>
  <si>
    <r>
      <t>Apparent consumption:</t>
    </r>
    <r>
      <rPr>
        <vertAlign val="superscript"/>
        <sz val="8"/>
        <color indexed="8"/>
        <rFont val="Times New Roman"/>
        <family val="1"/>
      </rPr>
      <t>2</t>
    </r>
  </si>
  <si>
    <t>Synthetic:</t>
  </si>
  <si>
    <t>Production:</t>
  </si>
  <si>
    <t>r</t>
  </si>
  <si>
    <t xml:space="preserve">Value                                </t>
  </si>
  <si>
    <t xml:space="preserve">Quantity                                                         </t>
  </si>
  <si>
    <r>
      <t>Apparent consumption:</t>
    </r>
    <r>
      <rPr>
        <vertAlign val="superscript"/>
        <sz val="8"/>
        <color indexed="8"/>
        <rFont val="Times New Roman"/>
        <family val="1"/>
      </rPr>
      <t>3</t>
    </r>
  </si>
  <si>
    <r>
      <t>World production, natural</t>
    </r>
    <r>
      <rPr>
        <vertAlign val="superscript"/>
        <sz val="8"/>
        <color indexed="8"/>
        <rFont val="Times New Roman"/>
        <family val="1"/>
      </rPr>
      <t>4</t>
    </r>
  </si>
  <si>
    <r>
      <rPr>
        <vertAlign val="superscript"/>
        <sz val="8"/>
        <color indexed="8"/>
        <rFont val="Times New Roman"/>
        <family val="1"/>
      </rPr>
      <t>r</t>
    </r>
    <r>
      <rPr>
        <sz val="8"/>
        <color indexed="8"/>
        <rFont val="Times New Roman"/>
        <family val="1"/>
      </rPr>
      <t>Revised.</t>
    </r>
  </si>
  <si>
    <r>
      <rPr>
        <vertAlign val="superscript"/>
        <sz val="8"/>
        <color theme="1"/>
        <rFont val="Times New Roman"/>
        <family val="1"/>
      </rPr>
      <t>1</t>
    </r>
    <r>
      <rPr>
        <sz val="8"/>
        <color theme="1"/>
        <rFont val="Times New Roman"/>
        <family val="1"/>
      </rPr>
      <t>Table includes data available through August 27, 2024. Data are rounded to no more than three significant digits; may not add to totals shown.</t>
    </r>
  </si>
  <si>
    <r>
      <rPr>
        <vertAlign val="superscript"/>
        <sz val="8"/>
        <color indexed="8"/>
        <rFont val="Times New Roman"/>
        <family val="1"/>
      </rPr>
      <t>2</t>
    </r>
    <r>
      <rPr>
        <sz val="8"/>
        <color indexed="8"/>
        <rFont val="Times New Roman"/>
        <family val="1"/>
      </rPr>
      <t>I</t>
    </r>
    <r>
      <rPr>
        <sz val="8"/>
        <color theme="1"/>
        <rFont val="Times New Roman"/>
        <family val="1"/>
      </rPr>
      <t>mports minus exports.</t>
    </r>
  </si>
  <si>
    <r>
      <rPr>
        <vertAlign val="superscript"/>
        <sz val="8"/>
        <color indexed="8"/>
        <rFont val="Times New Roman"/>
        <family val="1"/>
      </rPr>
      <t>3</t>
    </r>
    <r>
      <rPr>
        <sz val="8"/>
        <color rgb="FF000000"/>
        <rFont val="Times New Roman"/>
        <family val="1"/>
      </rPr>
      <t>Production plus imports minus exports.</t>
    </r>
  </si>
  <si>
    <r>
      <rPr>
        <vertAlign val="superscript"/>
        <sz val="8"/>
        <color theme="1"/>
        <rFont val="Times New Roman"/>
        <family val="1"/>
      </rPr>
      <t>4</t>
    </r>
    <r>
      <rPr>
        <sz val="8"/>
        <color theme="1"/>
        <rFont val="Times New Roman"/>
        <family val="2"/>
      </rPr>
      <t>May include estimated data.</t>
    </r>
  </si>
  <si>
    <t>TABLE 2</t>
  </si>
  <si>
    <r>
      <t>U.S. CONSUMPTION OF NATURAL GRAPHITE, BY END USE</t>
    </r>
    <r>
      <rPr>
        <vertAlign val="superscript"/>
        <sz val="8"/>
        <color indexed="8"/>
        <rFont val="Times New Roman"/>
        <family val="1"/>
      </rPr>
      <t>1</t>
    </r>
  </si>
  <si>
    <t>Crystalline</t>
  </si>
  <si>
    <r>
      <t>Amorphous</t>
    </r>
    <r>
      <rPr>
        <vertAlign val="superscript"/>
        <sz val="8"/>
        <color indexed="8"/>
        <rFont val="Times New Roman"/>
        <family val="1"/>
      </rPr>
      <t>2</t>
    </r>
  </si>
  <si>
    <t>Total</t>
  </si>
  <si>
    <t>Quantity</t>
  </si>
  <si>
    <t>Value</t>
  </si>
  <si>
    <t>End use</t>
  </si>
  <si>
    <t>(metric tons)</t>
  </si>
  <si>
    <t>(thousands)</t>
  </si>
  <si>
    <t>Batteries</t>
  </si>
  <si>
    <t>W</t>
  </si>
  <si>
    <t>Brake linings</t>
  </si>
  <si>
    <r>
      <t>Carbon products</t>
    </r>
    <r>
      <rPr>
        <vertAlign val="superscript"/>
        <sz val="8"/>
        <color indexed="8"/>
        <rFont val="Times New Roman"/>
        <family val="1"/>
      </rPr>
      <t>3</t>
    </r>
  </si>
  <si>
    <r>
      <t>Foundries</t>
    </r>
    <r>
      <rPr>
        <vertAlign val="superscript"/>
        <sz val="8"/>
        <color indexed="8"/>
        <rFont val="Times New Roman"/>
        <family val="1"/>
      </rPr>
      <t>4</t>
    </r>
  </si>
  <si>
    <r>
      <t>Lubricants</t>
    </r>
    <r>
      <rPr>
        <vertAlign val="superscript"/>
        <sz val="8"/>
        <color indexed="8"/>
        <rFont val="Times New Roman"/>
        <family val="1"/>
      </rPr>
      <t>5</t>
    </r>
  </si>
  <si>
    <t>Powdered metals</t>
  </si>
  <si>
    <t>Refractories</t>
  </si>
  <si>
    <t>Rubber</t>
  </si>
  <si>
    <r>
      <t>Other</t>
    </r>
    <r>
      <rPr>
        <vertAlign val="superscript"/>
        <sz val="8"/>
        <color theme="1"/>
        <rFont val="Times New Roman"/>
        <family val="1"/>
      </rPr>
      <t>6</t>
    </r>
  </si>
  <si>
    <r>
      <rPr>
        <vertAlign val="superscript"/>
        <sz val="8"/>
        <color theme="1"/>
        <rFont val="Times New Roman"/>
        <family val="1"/>
      </rPr>
      <t>r</t>
    </r>
    <r>
      <rPr>
        <sz val="8"/>
        <color theme="1"/>
        <rFont val="Times New Roman"/>
        <family val="2"/>
      </rPr>
      <t>Revised.  W Withheld to avoid disclosing company proprietary data; included in “Total.”</t>
    </r>
  </si>
  <si>
    <r>
      <rPr>
        <vertAlign val="superscript"/>
        <sz val="8"/>
        <color indexed="8"/>
        <rFont val="Times New Roman"/>
        <family val="1"/>
      </rPr>
      <t>2</t>
    </r>
    <r>
      <rPr>
        <sz val="8"/>
        <color theme="1"/>
        <rFont val="Times New Roman"/>
        <family val="2"/>
      </rPr>
      <t>Includes mixtures of natural and manufactured graphite.</t>
    </r>
  </si>
  <si>
    <r>
      <rPr>
        <vertAlign val="superscript"/>
        <sz val="8"/>
        <color indexed="8"/>
        <rFont val="Times New Roman"/>
        <family val="1"/>
      </rPr>
      <t>3</t>
    </r>
    <r>
      <rPr>
        <sz val="8"/>
        <color theme="1"/>
        <rFont val="Times New Roman"/>
        <family val="2"/>
      </rPr>
      <t>Includes bearings and carbon brushes.</t>
    </r>
  </si>
  <si>
    <r>
      <rPr>
        <vertAlign val="superscript"/>
        <sz val="8"/>
        <color indexed="8"/>
        <rFont val="Times New Roman"/>
        <family val="1"/>
      </rPr>
      <t>4</t>
    </r>
    <r>
      <rPr>
        <sz val="8"/>
        <color theme="1"/>
        <rFont val="Times New Roman"/>
        <family val="2"/>
      </rPr>
      <t>Includes foundries (other) and foundry facings.</t>
    </r>
  </si>
  <si>
    <r>
      <rPr>
        <vertAlign val="superscript"/>
        <sz val="8"/>
        <color indexed="8"/>
        <rFont val="Times New Roman"/>
        <family val="1"/>
      </rPr>
      <t>5</t>
    </r>
    <r>
      <rPr>
        <sz val="8"/>
        <color theme="1"/>
        <rFont val="Times New Roman"/>
        <family val="2"/>
      </rPr>
      <t>Includes ammunition packings.</t>
    </r>
  </si>
  <si>
    <r>
      <rPr>
        <vertAlign val="superscript"/>
        <sz val="8"/>
        <color indexed="8"/>
        <rFont val="Times New Roman"/>
        <family val="1"/>
      </rPr>
      <t>6</t>
    </r>
    <r>
      <rPr>
        <sz val="8"/>
        <color theme="1"/>
        <rFont val="Times New Roman"/>
        <family val="2"/>
      </rPr>
      <t>Includes antiknock gasoline additives and other compounds, crucibles, drilling mud, electrical and electronic devices, industrial diamonds, magnetic tape, mechanical products, nozzles, paints and polishes, pencils, retorts, sleeves, small packages, soldering and welding, steelmaking, stoppers, and other end-use categories.</t>
    </r>
  </si>
  <si>
    <t>TABLE 3</t>
  </si>
  <si>
    <r>
      <t>SHIPMENTS OF SYNTHETIC GRAPHITE BY U.S. COMPANIES, BY END USE</t>
    </r>
    <r>
      <rPr>
        <vertAlign val="superscript"/>
        <sz val="8"/>
        <color indexed="8"/>
        <rFont val="Times New Roman"/>
        <family val="1"/>
      </rPr>
      <t>1</t>
    </r>
  </si>
  <si>
    <t>2022:</t>
  </si>
  <si>
    <t>Cloth and fibers (low modulus)</t>
  </si>
  <si>
    <t>Electrodes</t>
  </si>
  <si>
    <t>Unmachined graphite shapes</t>
  </si>
  <si>
    <r>
      <t>Other</t>
    </r>
    <r>
      <rPr>
        <vertAlign val="superscript"/>
        <sz val="8"/>
        <color indexed="8"/>
        <rFont val="Times New Roman"/>
        <family val="1"/>
      </rPr>
      <t>2</t>
    </r>
  </si>
  <si>
    <t>2023:</t>
  </si>
  <si>
    <r>
      <rPr>
        <vertAlign val="superscript"/>
        <sz val="8"/>
        <color theme="1"/>
        <rFont val="Times New Roman"/>
        <family val="1"/>
      </rPr>
      <t>r</t>
    </r>
    <r>
      <rPr>
        <sz val="8"/>
        <color theme="1"/>
        <rFont val="Times New Roman"/>
        <family val="2"/>
      </rPr>
      <t>Revised.  W Withheld to avoid disclosing company proprietary data; included in “Other.”</t>
    </r>
  </si>
  <si>
    <r>
      <rPr>
        <vertAlign val="superscript"/>
        <sz val="8"/>
        <color indexed="8"/>
        <rFont val="Times New Roman"/>
        <family val="1"/>
      </rPr>
      <t>2</t>
    </r>
    <r>
      <rPr>
        <sz val="8"/>
        <color theme="1"/>
        <rFont val="Times New Roman"/>
        <family val="2"/>
      </rPr>
      <t>Includes anodes, crucibles and vessels, electric motor brushes and machined shapes, graphite articles, high-modulus fibers, lubricants (solid or semisolid), refractories, steelmaking, carbon raisers, additives in metallurgy, and other powder data.</t>
    </r>
  </si>
  <si>
    <t>TABLE 4</t>
  </si>
  <si>
    <r>
      <t>REPRESENTATIVE YEAREND GRAPHITE PRICES</t>
    </r>
    <r>
      <rPr>
        <vertAlign val="superscript"/>
        <sz val="8"/>
        <color indexed="8"/>
        <rFont val="Times New Roman"/>
        <family val="1"/>
      </rPr>
      <t>1</t>
    </r>
    <r>
      <rPr>
        <vertAlign val="superscript"/>
        <sz val="8"/>
        <color theme="1"/>
        <rFont val="Times New Roman"/>
        <family val="1"/>
      </rPr>
      <t>, 2</t>
    </r>
  </si>
  <si>
    <t>(Dollars per metric ton)</t>
  </si>
  <si>
    <t>Type</t>
  </si>
  <si>
    <t>Amorphous powder, 80% to 85% carbon</t>
  </si>
  <si>
    <t>435–500</t>
  </si>
  <si>
    <t>390–460</t>
  </si>
  <si>
    <t>Crystalline fine, 94% to 97% carbon, -100 mesh</t>
  </si>
  <si>
    <t>530–575</t>
  </si>
  <si>
    <t>Crystalline medium, 94% to 97% carbon, +100 mesh</t>
  </si>
  <si>
    <t>900–930</t>
  </si>
  <si>
    <t>Crystalline large, 94% to 97% carbon, +80 mesh</t>
  </si>
  <si>
    <t>1,083–1,131</t>
  </si>
  <si>
    <t>Graphite spherical, 99.95% carbon, 15 microns</t>
  </si>
  <si>
    <t>2,800–3,000</t>
  </si>
  <si>
    <t>2,000–2,200</t>
  </si>
  <si>
    <r>
      <rPr>
        <vertAlign val="superscript"/>
        <sz val="8"/>
        <color indexed="8"/>
        <rFont val="Times New Roman"/>
        <family val="1"/>
      </rPr>
      <t>1</t>
    </r>
    <r>
      <rPr>
        <sz val="8"/>
        <color theme="1"/>
        <rFont val="Times New Roman"/>
        <family val="2"/>
      </rPr>
      <t>Prices are cost, insurance, and freight China to main European port.</t>
    </r>
  </si>
  <si>
    <r>
      <rPr>
        <vertAlign val="superscript"/>
        <sz val="8"/>
        <color theme="1"/>
        <rFont val="Times New Roman"/>
        <family val="1"/>
      </rPr>
      <t>2</t>
    </r>
    <r>
      <rPr>
        <sz val="8"/>
        <color theme="1"/>
        <rFont val="Times New Roman"/>
        <family val="1"/>
      </rPr>
      <t>Price ranges are unavailable, unless otherwise specified.</t>
    </r>
  </si>
  <si>
    <t>Sources: Fastmarkets IM, December 2023 Price Movements.</t>
  </si>
  <si>
    <t>TABLE 5</t>
  </si>
  <si>
    <r>
      <t>U.S. EXPORTS OF NATURAL AND SYNTHETIC GRAPHITE, BY COUNTRY OR LOCALITY</t>
    </r>
    <r>
      <rPr>
        <vertAlign val="superscript"/>
        <sz val="8"/>
        <color indexed="8"/>
        <rFont val="Times New Roman"/>
        <family val="1"/>
      </rPr>
      <t>1, 2</t>
    </r>
  </si>
  <si>
    <r>
      <t>Natural</t>
    </r>
    <r>
      <rPr>
        <vertAlign val="superscript"/>
        <sz val="8"/>
        <color indexed="8"/>
        <rFont val="Times New Roman"/>
        <family val="1"/>
      </rPr>
      <t>3</t>
    </r>
  </si>
  <si>
    <r>
      <t>Synthetic</t>
    </r>
    <r>
      <rPr>
        <vertAlign val="superscript"/>
        <sz val="8"/>
        <color indexed="8"/>
        <rFont val="Times New Roman"/>
        <family val="1"/>
      </rPr>
      <t>4</t>
    </r>
  </si>
  <si>
    <r>
      <t>Value</t>
    </r>
    <r>
      <rPr>
        <vertAlign val="superscript"/>
        <sz val="8"/>
        <color indexed="8"/>
        <rFont val="Times New Roman"/>
        <family val="1"/>
      </rPr>
      <t>5</t>
    </r>
  </si>
  <si>
    <t>Country or locality</t>
  </si>
  <si>
    <t>Belgium</t>
  </si>
  <si>
    <t>Brazil</t>
  </si>
  <si>
    <t>Canada</t>
  </si>
  <si>
    <t>China</t>
  </si>
  <si>
    <t>Czechia</t>
  </si>
  <si>
    <t>--</t>
  </si>
  <si>
    <t>France</t>
  </si>
  <si>
    <t>(6)</t>
  </si>
  <si>
    <t>Germany</t>
  </si>
  <si>
    <t>India</t>
  </si>
  <si>
    <t>Italy</t>
  </si>
  <si>
    <t>Japan</t>
  </si>
  <si>
    <t>Korea, Republic of</t>
  </si>
  <si>
    <t>Mexico</t>
  </si>
  <si>
    <t>Poland</t>
  </si>
  <si>
    <t>Saudi Arabia</t>
  </si>
  <si>
    <t>Taiwan</t>
  </si>
  <si>
    <t>United Arab Emirates</t>
  </si>
  <si>
    <t>United Kingdom</t>
  </si>
  <si>
    <t>Other</t>
  </si>
  <si>
    <r>
      <rPr>
        <vertAlign val="superscript"/>
        <sz val="8"/>
        <color theme="1"/>
        <rFont val="Times New Roman"/>
        <family val="1"/>
      </rPr>
      <t>r</t>
    </r>
    <r>
      <rPr>
        <sz val="8"/>
        <color theme="1"/>
        <rFont val="Times New Roman"/>
        <family val="2"/>
      </rPr>
      <t>Revised.  -- Zero.</t>
    </r>
  </si>
  <si>
    <r>
      <rPr>
        <vertAlign val="superscript"/>
        <sz val="8"/>
        <color indexed="8"/>
        <rFont val="Times New Roman"/>
        <family val="1"/>
      </rPr>
      <t>2</t>
    </r>
    <r>
      <rPr>
        <sz val="8"/>
        <color theme="1"/>
        <rFont val="Times New Roman"/>
        <family val="2"/>
      </rPr>
      <t>Numerous countries for which data were reported have been combined in “Other.”</t>
    </r>
  </si>
  <si>
    <r>
      <rPr>
        <vertAlign val="superscript"/>
        <sz val="8"/>
        <color indexed="8"/>
        <rFont val="Times New Roman"/>
        <family val="1"/>
      </rPr>
      <t>3</t>
    </r>
    <r>
      <rPr>
        <sz val="8"/>
        <color theme="1"/>
        <rFont val="Times New Roman"/>
        <family val="2"/>
      </rPr>
      <t>Amorphous, crystalline flake, lump and chip, and natural, not elsewhere classified. The applicable Schedule B nomenclatures are “Natural graphite in powder or in flakes” and “Other,” numbers 2504.10.0000 and 2504.90.0000, respectively.</t>
    </r>
  </si>
  <si>
    <r>
      <rPr>
        <vertAlign val="superscript"/>
        <sz val="8"/>
        <color theme="1"/>
        <rFont val="Times New Roman"/>
        <family val="1"/>
      </rPr>
      <t>4</t>
    </r>
    <r>
      <rPr>
        <sz val="8"/>
        <color theme="1"/>
        <rFont val="Times New Roman"/>
        <family val="1"/>
      </rPr>
      <t>Includes data from applicable Schedule B nomenclatures “Artificial graphite,” “Colloidal or semicolloidal graphite,” “Preparations based on graphite,” and “Graphite products containing greater than 50% graphite by weight,” numbers 3801.10.0000, 3801.20.0000, 3801.90.0000, and 6903.10.0000, respectively.</t>
    </r>
  </si>
  <si>
    <r>
      <rPr>
        <vertAlign val="superscript"/>
        <sz val="8"/>
        <color indexed="8"/>
        <rFont val="Times New Roman"/>
        <family val="1"/>
      </rPr>
      <t>5</t>
    </r>
    <r>
      <rPr>
        <sz val="8"/>
        <color theme="1"/>
        <rFont val="Times New Roman"/>
        <family val="2"/>
      </rPr>
      <t>Values are free alongside ship.</t>
    </r>
  </si>
  <si>
    <r>
      <rPr>
        <vertAlign val="superscript"/>
        <sz val="8"/>
        <color theme="1"/>
        <rFont val="Times New Roman"/>
        <family val="1"/>
      </rPr>
      <t>6</t>
    </r>
    <r>
      <rPr>
        <sz val="8"/>
        <color theme="1"/>
        <rFont val="Times New Roman"/>
        <family val="1"/>
      </rPr>
      <t>Less than ½ unit.</t>
    </r>
  </si>
  <si>
    <t>Source: U.S. Census Bureau.</t>
  </si>
  <si>
    <t>TABLE 6</t>
  </si>
  <si>
    <r>
      <t>U.S. IMPORTS FOR CONSUMPTION OF NATURAL GRAPHITE, BY COUNTRY OR LOCALITY</t>
    </r>
    <r>
      <rPr>
        <vertAlign val="superscript"/>
        <sz val="8"/>
        <rFont val="Times New Roman"/>
        <family val="1"/>
      </rPr>
      <t>1</t>
    </r>
  </si>
  <si>
    <t>Crystalline flake</t>
  </si>
  <si>
    <t>Lump and</t>
  </si>
  <si>
    <t>Other natural crude,</t>
  </si>
  <si>
    <r>
      <t>and flake dust</t>
    </r>
    <r>
      <rPr>
        <vertAlign val="superscript"/>
        <sz val="8"/>
        <rFont val="Times New Roman"/>
        <family val="1"/>
      </rPr>
      <t>2</t>
    </r>
  </si>
  <si>
    <r>
      <t>chippy dust</t>
    </r>
    <r>
      <rPr>
        <vertAlign val="superscript"/>
        <sz val="8"/>
        <rFont val="Times New Roman"/>
        <family val="1"/>
      </rPr>
      <t>3</t>
    </r>
  </si>
  <si>
    <r>
      <t>high-purity, expandable</t>
    </r>
    <r>
      <rPr>
        <vertAlign val="superscript"/>
        <sz val="8"/>
        <rFont val="Times New Roman"/>
        <family val="1"/>
      </rPr>
      <t>4</t>
    </r>
  </si>
  <si>
    <r>
      <t>Amorphous</t>
    </r>
    <r>
      <rPr>
        <vertAlign val="superscript"/>
        <sz val="8"/>
        <rFont val="Times New Roman"/>
        <family val="1"/>
      </rPr>
      <t>4</t>
    </r>
  </si>
  <si>
    <r>
      <t>Value</t>
    </r>
    <r>
      <rPr>
        <vertAlign val="superscript"/>
        <sz val="8"/>
        <rFont val="Times New Roman"/>
        <family val="1"/>
      </rPr>
      <t>5</t>
    </r>
  </si>
  <si>
    <t>Australia</t>
  </si>
  <si>
    <t>Austria</t>
  </si>
  <si>
    <t>Hong Kong</t>
  </si>
  <si>
    <t>Ireland</t>
  </si>
  <si>
    <t>Madagascar</t>
  </si>
  <si>
    <t>Malaysia</t>
  </si>
  <si>
    <t>Martinique</t>
  </si>
  <si>
    <t>Mozambique</t>
  </si>
  <si>
    <t>Norway</t>
  </si>
  <si>
    <t>Sri Lanka</t>
  </si>
  <si>
    <t>Sweden</t>
  </si>
  <si>
    <t>Switzerland</t>
  </si>
  <si>
    <t>Colombia</t>
  </si>
  <si>
    <t>Denmark</t>
  </si>
  <si>
    <t>Netherlands</t>
  </si>
  <si>
    <t>South Africa</t>
  </si>
  <si>
    <t>Turkey</t>
  </si>
  <si>
    <t>-- Zero.</t>
  </si>
  <si>
    <r>
      <t>1</t>
    </r>
    <r>
      <rPr>
        <sz val="8"/>
        <rFont val="Times New Roman"/>
        <family val="1"/>
      </rPr>
      <t>Table includes data available through August 27, 2024. Data are rounded to no more than three significant digits; may not add to totals shown.</t>
    </r>
  </si>
  <si>
    <r>
      <t>2</t>
    </r>
    <r>
      <rPr>
        <sz val="8"/>
        <rFont val="Times New Roman"/>
        <family val="1"/>
      </rPr>
      <t>The applicable Harmonized Tariff Schedule of the United States (HTS) nomenclature is “Natural Graphite Except Powder Or Flakes,” code 2504.90.0000.</t>
    </r>
  </si>
  <si>
    <r>
      <t>3</t>
    </r>
    <r>
      <rPr>
        <sz val="8"/>
        <rFont val="Times New Roman"/>
        <family val="1"/>
      </rPr>
      <t>The applicable HTS nomenclature is “Natural Graphite Crystalline Flake Exc Flake Dust,” code 2504.10.1000.</t>
    </r>
  </si>
  <si>
    <r>
      <t>4</t>
    </r>
    <r>
      <rPr>
        <sz val="8"/>
        <rFont val="Times New Roman"/>
        <family val="1"/>
      </rPr>
      <t>The applicable HTS nomenclature is “Natural Graphite In Powder Or Flakes, Nesoi,” code 2504.10.5000.</t>
    </r>
  </si>
  <si>
    <r>
      <t>5</t>
    </r>
    <r>
      <rPr>
        <sz val="8"/>
        <rFont val="Times New Roman"/>
        <family val="1"/>
      </rPr>
      <t>Customs values.</t>
    </r>
  </si>
  <si>
    <r>
      <t>6</t>
    </r>
    <r>
      <rPr>
        <sz val="8"/>
        <rFont val="Times New Roman"/>
        <family val="1"/>
      </rPr>
      <t>Less than ½ unit.</t>
    </r>
  </si>
  <si>
    <t>Source: U.S. Census Bureau; data adjusted by the U.S. Geological Survey.</t>
  </si>
  <si>
    <t>TABLE 7</t>
  </si>
  <si>
    <t xml:space="preserve">U.S. IMPORTS FOR CONSUMPTION </t>
  </si>
  <si>
    <r>
      <t>OF GRAPHITE ELECTRODES, BY COUNTRY OR LOCALITY</t>
    </r>
    <r>
      <rPr>
        <vertAlign val="superscript"/>
        <sz val="8"/>
        <rFont val="Times New Roman"/>
        <family val="1"/>
      </rPr>
      <t>1, 2</t>
    </r>
  </si>
  <si>
    <t xml:space="preserve">                      </t>
  </si>
  <si>
    <t xml:space="preserve">Quantity </t>
  </si>
  <si>
    <r>
      <t>Value</t>
    </r>
    <r>
      <rPr>
        <vertAlign val="superscript"/>
        <sz val="8"/>
        <rFont val="Times New Roman"/>
        <family val="1"/>
      </rPr>
      <t>3</t>
    </r>
  </si>
  <si>
    <t xml:space="preserve">Germany </t>
  </si>
  <si>
    <t>Russia</t>
  </si>
  <si>
    <t>Spain</t>
  </si>
  <si>
    <t>Ukraine</t>
  </si>
  <si>
    <t xml:space="preserve">Other </t>
  </si>
  <si>
    <r>
      <rPr>
        <vertAlign val="superscript"/>
        <sz val="8"/>
        <rFont val="Times New Roman"/>
        <family val="1"/>
      </rPr>
      <t>1</t>
    </r>
    <r>
      <rPr>
        <sz val="8"/>
        <rFont val="Times New Roman"/>
        <family val="1"/>
      </rPr>
      <t>Table includes data available through August 27, 2024. Data are rounded to no more than three significant digits; may not add to totals shown.</t>
    </r>
  </si>
  <si>
    <r>
      <rPr>
        <vertAlign val="superscript"/>
        <sz val="8"/>
        <rFont val="Times New Roman"/>
        <family val="1"/>
      </rPr>
      <t>2</t>
    </r>
    <r>
      <rPr>
        <sz val="8"/>
        <rFont val="Times New Roman"/>
        <family val="1"/>
      </rPr>
      <t>The applicable Harmonized Tariff Schedule of the United States (HTS) nomenclature is “Graphite electrodes, not exceeding 425 mm in diameter, of a kind used for furnaces,” “Graphite electrodes, exceeding 425 mm in diameter, of a kind used for furnaces,” and “Carbon electrodes of a kind used for furnaces, excluding graphite,” codes 8545.11.0010, 8545.11.0020, and 8545.11.0050, respectively.</t>
    </r>
  </si>
  <si>
    <r>
      <t>3</t>
    </r>
    <r>
      <rPr>
        <sz val="8"/>
        <rFont val="Times New Roman"/>
        <family val="1"/>
      </rPr>
      <t>Customs values.</t>
    </r>
  </si>
  <si>
    <t>TABLE 8</t>
  </si>
  <si>
    <r>
      <t>U.S. IMPORTS FOR CONSUMPTION OF SYNTHETIC GRAPHITE, BY COUNTRY OR LOCALITY</t>
    </r>
    <r>
      <rPr>
        <vertAlign val="superscript"/>
        <sz val="8"/>
        <rFont val="Times New Roman"/>
        <family val="1"/>
      </rPr>
      <t>1, 2</t>
    </r>
  </si>
  <si>
    <t>(4)</t>
  </si>
  <si>
    <t>Singapore</t>
  </si>
  <si>
    <r>
      <rPr>
        <vertAlign val="superscript"/>
        <sz val="8"/>
        <color theme="1"/>
        <rFont val="Times New Roman"/>
        <family val="1"/>
      </rPr>
      <t>r</t>
    </r>
    <r>
      <rPr>
        <sz val="8"/>
        <color theme="1"/>
        <rFont val="Times New Roman"/>
        <family val="2"/>
      </rPr>
      <t>Revised.</t>
    </r>
  </si>
  <si>
    <r>
      <rPr>
        <vertAlign val="superscript"/>
        <sz val="8"/>
        <rFont val="Times New Roman"/>
        <family val="1"/>
      </rPr>
      <t>2</t>
    </r>
    <r>
      <rPr>
        <sz val="8"/>
        <rFont val="Times New Roman"/>
        <family val="1"/>
      </rPr>
      <t>Synthetic graphite data are for Harmonized Tariff Schedule of the United States codes 3801.10.1000, 3801.10.5000, 3801.20.0000, 3801.90.0000, and 6903.10.0000.</t>
    </r>
  </si>
  <si>
    <r>
      <t>4</t>
    </r>
    <r>
      <rPr>
        <sz val="8"/>
        <rFont val="Times New Roman"/>
        <family val="1"/>
      </rPr>
      <t>Less than ½ unit.</t>
    </r>
  </si>
  <si>
    <t>Source: U.S. Census Bureau and the U.S. International Trade Commission.</t>
  </si>
  <si>
    <t>TABLE 9</t>
  </si>
  <si>
    <r>
      <t>NATURAL GRAPHITE:  WORLD PRODUCTION, BY COUNTRY OR LOCALITY</t>
    </r>
    <r>
      <rPr>
        <vertAlign val="superscript"/>
        <sz val="8"/>
        <color theme="1"/>
        <rFont val="Times New Roman"/>
        <family val="1"/>
      </rPr>
      <t>1</t>
    </r>
  </si>
  <si>
    <t>(Metric tons)</t>
  </si>
  <si>
    <r>
      <t>Austria, amorphous</t>
    </r>
    <r>
      <rPr>
        <vertAlign val="superscript"/>
        <sz val="8"/>
        <color theme="1"/>
        <rFont val="Times New Roman"/>
        <family val="1"/>
      </rPr>
      <t>e</t>
    </r>
  </si>
  <si>
    <r>
      <t>Brazil, crystalline flake</t>
    </r>
    <r>
      <rPr>
        <vertAlign val="superscript"/>
        <sz val="8"/>
        <color theme="1"/>
        <rFont val="Times New Roman"/>
        <family val="1"/>
      </rPr>
      <t>2</t>
    </r>
  </si>
  <si>
    <r>
      <t>Canada, crystalline flake</t>
    </r>
    <r>
      <rPr>
        <vertAlign val="superscript"/>
        <sz val="8"/>
        <color theme="1"/>
        <rFont val="Times New Roman"/>
        <family val="1"/>
      </rPr>
      <t>3</t>
    </r>
  </si>
  <si>
    <t>China:</t>
  </si>
  <si>
    <t>Amorphous</t>
  </si>
  <si>
    <t>4</t>
  </si>
  <si>
    <r>
      <t>Germany, crystalline flake</t>
    </r>
    <r>
      <rPr>
        <vertAlign val="superscript"/>
        <sz val="8"/>
        <color theme="1"/>
        <rFont val="Times New Roman"/>
        <family val="1"/>
      </rPr>
      <t>e, 5</t>
    </r>
  </si>
  <si>
    <r>
      <t>India:</t>
    </r>
    <r>
      <rPr>
        <vertAlign val="superscript"/>
        <sz val="8"/>
        <color theme="1"/>
        <rFont val="Times New Roman"/>
        <family val="1"/>
      </rPr>
      <t>e, 6</t>
    </r>
  </si>
  <si>
    <r>
      <t>Korea, North:</t>
    </r>
    <r>
      <rPr>
        <vertAlign val="superscript"/>
        <sz val="8"/>
        <color theme="1"/>
        <rFont val="Times New Roman"/>
        <family val="1"/>
      </rPr>
      <t>e</t>
    </r>
  </si>
  <si>
    <r>
      <t>Korea, Republic of:</t>
    </r>
    <r>
      <rPr>
        <vertAlign val="superscript"/>
        <sz val="8"/>
        <color theme="1"/>
        <rFont val="Times New Roman"/>
        <family val="1"/>
      </rPr>
      <t>e, 7</t>
    </r>
  </si>
  <si>
    <r>
      <t>Madagascar, crystalline flake</t>
    </r>
    <r>
      <rPr>
        <vertAlign val="superscript"/>
        <sz val="8"/>
        <color theme="1"/>
        <rFont val="Times New Roman"/>
        <family val="1"/>
      </rPr>
      <t>8</t>
    </r>
  </si>
  <si>
    <t>e</t>
  </si>
  <si>
    <r>
      <t>Mexico, amorphous</t>
    </r>
    <r>
      <rPr>
        <vertAlign val="superscript"/>
        <sz val="8"/>
        <color theme="1"/>
        <rFont val="Times New Roman"/>
        <family val="1"/>
      </rPr>
      <t>9</t>
    </r>
  </si>
  <si>
    <r>
      <t>Mozambique, crystalline flake</t>
    </r>
    <r>
      <rPr>
        <vertAlign val="superscript"/>
        <sz val="8"/>
        <color theme="1"/>
        <rFont val="Times New Roman"/>
        <family val="1"/>
      </rPr>
      <t>10</t>
    </r>
  </si>
  <si>
    <r>
      <t>Norway, crystalline flake</t>
    </r>
    <r>
      <rPr>
        <vertAlign val="superscript"/>
        <sz val="8"/>
        <color theme="1"/>
        <rFont val="Times New Roman"/>
        <family val="1"/>
      </rPr>
      <t>11</t>
    </r>
  </si>
  <si>
    <r>
      <t>Russia, crystalline flake</t>
    </r>
    <r>
      <rPr>
        <vertAlign val="superscript"/>
        <sz val="8"/>
        <color theme="1"/>
        <rFont val="Times New Roman"/>
        <family val="1"/>
      </rPr>
      <t>12</t>
    </r>
  </si>
  <si>
    <t>13</t>
  </si>
  <si>
    <t>Sri Lanka, vein</t>
  </si>
  <si>
    <t>r, e</t>
  </si>
  <si>
    <t>14</t>
  </si>
  <si>
    <t>r, 14</t>
  </si>
  <si>
    <t>Tanzania, crystalline flake</t>
  </si>
  <si>
    <r>
      <t>Turkey, amorphous</t>
    </r>
    <r>
      <rPr>
        <vertAlign val="superscript"/>
        <sz val="8"/>
        <color theme="1"/>
        <rFont val="Times New Roman"/>
        <family val="1"/>
      </rPr>
      <t>15</t>
    </r>
  </si>
  <si>
    <t>Ukraine, crystalline flake</t>
  </si>
  <si>
    <t>r, 16</t>
  </si>
  <si>
    <t>16</t>
  </si>
  <si>
    <r>
      <t>Vietnam, crystalline flake</t>
    </r>
    <r>
      <rPr>
        <vertAlign val="superscript"/>
        <sz val="8"/>
        <color theme="1"/>
        <rFont val="Times New Roman"/>
        <family val="1"/>
      </rPr>
      <t>e</t>
    </r>
  </si>
  <si>
    <t>Grand total</t>
  </si>
  <si>
    <t>Of which:</t>
  </si>
  <si>
    <t>Vein or lump</t>
  </si>
  <si>
    <r>
      <t>e</t>
    </r>
    <r>
      <rPr>
        <sz val="8"/>
        <color theme="1"/>
        <rFont val="Times New Roman"/>
        <family val="1"/>
      </rPr>
      <t xml:space="preserve">Estimated.  </t>
    </r>
    <r>
      <rPr>
        <vertAlign val="superscript"/>
        <sz val="8"/>
        <color theme="1"/>
        <rFont val="Times New Roman"/>
        <family val="1"/>
      </rPr>
      <t>r</t>
    </r>
    <r>
      <rPr>
        <sz val="8"/>
        <color theme="1"/>
        <rFont val="Times New Roman"/>
        <family val="1"/>
      </rPr>
      <t>Revised.  -- Zero.</t>
    </r>
  </si>
  <si>
    <r>
      <t>1</t>
    </r>
    <r>
      <rPr>
        <sz val="8"/>
        <color theme="1"/>
        <rFont val="Times New Roman"/>
        <family val="1"/>
      </rPr>
      <t>Table includes data available through August 5, 2024. All data are reported unless otherwise noted; grand totals may include estimated data. Grand totals and estimated data are rounded to no more than three significant digits; may not add to totals shown.</t>
    </r>
  </si>
  <si>
    <r>
      <t>2</t>
    </r>
    <r>
      <rPr>
        <sz val="8"/>
        <color theme="1"/>
        <rFont val="Times New Roman"/>
        <family val="1"/>
      </rPr>
      <t>Source: National Mining Agency.</t>
    </r>
  </si>
  <si>
    <r>
      <t>3</t>
    </r>
    <r>
      <rPr>
        <sz val="8"/>
        <color theme="1"/>
        <rFont val="Times New Roman"/>
        <family val="1"/>
      </rPr>
      <t>Source: Natural Resources Canada.</t>
    </r>
  </si>
  <si>
    <r>
      <rPr>
        <vertAlign val="superscript"/>
        <sz val="8"/>
        <color theme="1"/>
        <rFont val="Times New Roman"/>
        <family val="1"/>
      </rPr>
      <t>4</t>
    </r>
    <r>
      <rPr>
        <sz val="8"/>
        <color theme="1"/>
        <rFont val="Times New Roman"/>
        <family val="1"/>
      </rPr>
      <t>Source: China Nonmetallic Mining Industry Association.</t>
    </r>
  </si>
  <si>
    <r>
      <rPr>
        <vertAlign val="superscript"/>
        <sz val="8"/>
        <color theme="1"/>
        <rFont val="Times New Roman"/>
        <family val="1"/>
      </rPr>
      <t>5</t>
    </r>
    <r>
      <rPr>
        <sz val="8"/>
        <color theme="1"/>
        <rFont val="Times New Roman"/>
        <family val="1"/>
      </rPr>
      <t>Source: The Federal Institute for Geosciences and Natural Resources.</t>
    </r>
  </si>
  <si>
    <r>
      <rPr>
        <vertAlign val="superscript"/>
        <sz val="8"/>
        <color theme="1"/>
        <rFont val="Times New Roman"/>
        <family val="1"/>
      </rPr>
      <t>6</t>
    </r>
    <r>
      <rPr>
        <sz val="8"/>
        <color theme="1"/>
        <rFont val="Times New Roman"/>
        <family val="1"/>
      </rPr>
      <t>Indian marketable production is estimated to be 10% to 20% of run-of-mine production.</t>
    </r>
  </si>
  <si>
    <r>
      <rPr>
        <vertAlign val="superscript"/>
        <sz val="8"/>
        <color theme="1"/>
        <rFont val="Times New Roman"/>
        <family val="1"/>
      </rPr>
      <t>7</t>
    </r>
    <r>
      <rPr>
        <sz val="8"/>
        <color theme="1"/>
        <rFont val="Times New Roman"/>
        <family val="1"/>
      </rPr>
      <t>Source: Korean Geological Survey.</t>
    </r>
  </si>
  <si>
    <r>
      <rPr>
        <vertAlign val="superscript"/>
        <sz val="8"/>
        <color theme="1"/>
        <rFont val="Times New Roman"/>
        <family val="1"/>
      </rPr>
      <t>8</t>
    </r>
    <r>
      <rPr>
        <sz val="8"/>
        <color theme="1"/>
        <rFont val="Times New Roman"/>
        <family val="1"/>
      </rPr>
      <t>Source: Bank of Madagascar.</t>
    </r>
  </si>
  <si>
    <r>
      <rPr>
        <vertAlign val="superscript"/>
        <sz val="8"/>
        <color theme="1"/>
        <rFont val="Times New Roman"/>
        <family val="1"/>
      </rPr>
      <t>9</t>
    </r>
    <r>
      <rPr>
        <sz val="8"/>
        <color theme="1"/>
        <rFont val="Times New Roman"/>
        <family val="1"/>
      </rPr>
      <t>Source: National Institute of Statistics and Geography.</t>
    </r>
  </si>
  <si>
    <r>
      <rPr>
        <vertAlign val="superscript"/>
        <sz val="8"/>
        <color theme="1"/>
        <rFont val="Times New Roman"/>
        <family val="1"/>
      </rPr>
      <t>10</t>
    </r>
    <r>
      <rPr>
        <sz val="8"/>
        <color theme="1"/>
        <rFont val="Times New Roman"/>
        <family val="1"/>
      </rPr>
      <t>Source: National Institute of Statistics.</t>
    </r>
  </si>
  <si>
    <r>
      <rPr>
        <vertAlign val="superscript"/>
        <sz val="8"/>
        <color theme="1"/>
        <rFont val="Times New Roman"/>
        <family val="1"/>
      </rPr>
      <t>11</t>
    </r>
    <r>
      <rPr>
        <sz val="8"/>
        <color theme="1"/>
        <rFont val="Times New Roman"/>
        <family val="1"/>
      </rPr>
      <t>Source: Mineral Commodities Ltd.</t>
    </r>
  </si>
  <si>
    <r>
      <rPr>
        <vertAlign val="superscript"/>
        <sz val="8"/>
        <color theme="1"/>
        <rFont val="Times New Roman"/>
        <family val="1"/>
      </rPr>
      <t>12</t>
    </r>
    <r>
      <rPr>
        <sz val="8"/>
        <color theme="1"/>
        <rFont val="Times New Roman"/>
        <family val="1"/>
      </rPr>
      <t>About 48% amorphous and 52% crystalline flake graphite.</t>
    </r>
  </si>
  <si>
    <r>
      <rPr>
        <vertAlign val="superscript"/>
        <sz val="8"/>
        <color theme="1"/>
        <rFont val="Times New Roman"/>
        <family val="1"/>
      </rPr>
      <t>13</t>
    </r>
    <r>
      <rPr>
        <sz val="8"/>
        <color theme="1"/>
        <rFont val="Times New Roman"/>
        <family val="1"/>
      </rPr>
      <t>Source: Federal Agency for Mineral Resources.</t>
    </r>
  </si>
  <si>
    <r>
      <rPr>
        <vertAlign val="superscript"/>
        <sz val="8"/>
        <color theme="1"/>
        <rFont val="Times New Roman"/>
        <family val="1"/>
      </rPr>
      <t>14</t>
    </r>
    <r>
      <rPr>
        <sz val="8"/>
        <color theme="1"/>
        <rFont val="Times New Roman"/>
        <family val="1"/>
      </rPr>
      <t>Source: Central Bank of Sri Lanka.</t>
    </r>
  </si>
  <si>
    <r>
      <rPr>
        <vertAlign val="superscript"/>
        <sz val="8"/>
        <color theme="1"/>
        <rFont val="Times New Roman"/>
        <family val="1"/>
      </rPr>
      <t>15</t>
    </r>
    <r>
      <rPr>
        <sz val="8"/>
        <color theme="1"/>
        <rFont val="Times New Roman"/>
        <family val="1"/>
      </rPr>
      <t>Turkish marketable production averaged approximately 5% of run-of-mine production. Almost all is for domestic consumption.</t>
    </r>
  </si>
  <si>
    <r>
      <rPr>
        <vertAlign val="superscript"/>
        <sz val="8"/>
        <color theme="1"/>
        <rFont val="Times New Roman"/>
        <family val="1"/>
      </rPr>
      <t>16</t>
    </r>
    <r>
      <rPr>
        <sz val="8"/>
        <color theme="1"/>
        <rFont val="Times New Roman"/>
        <family val="1"/>
      </rPr>
      <t>Source: Volt Resources Ltd.</t>
    </r>
  </si>
  <si>
    <t>Advance Data Release of the</t>
  </si>
  <si>
    <t>2023 Annual Tables</t>
  </si>
  <si>
    <t>These tables are an advance data release of those to be incorporated in the USGS</t>
  </si>
  <si>
    <t xml:space="preserve"> Minerals Yearbook 2023, v. I, Metals and Minerals. The full report (text and </t>
  </si>
  <si>
    <t xml:space="preserve"> tables) will be released when publication layout is complete. Substantive changes</t>
  </si>
  <si>
    <t xml:space="preserve">to tables are not anticipated, but would be incorporated into the full report, which </t>
  </si>
  <si>
    <t>will replace these advance data release tables.</t>
  </si>
  <si>
    <t>Posted:  March 25,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</si>
</sst>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quot;$&quot;#,##0"/>
    <numFmt numFmtId="165" formatCode="#,##0.00000"/>
    <numFmt numFmtId="166" formatCode="_(* #,##0_);_(* \(#,##0\);_(* &quot;-&quot;??_);_(@_)"/>
  </numFmts>
  <fonts count="23" x14ac:knownFonts="1">
    <font>
      <sz val="8"/>
      <color theme="1"/>
      <name val="Times New Roman"/>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vertAlign val="superscript"/>
      <sz val="8"/>
      <color indexed="8"/>
      <name val="Times New Roman"/>
      <family val="1"/>
    </font>
    <font>
      <sz val="8"/>
      <name val="Times"/>
      <family val="1"/>
    </font>
    <font>
      <sz val="8"/>
      <name val="Times New Roman"/>
      <family val="1"/>
    </font>
    <font>
      <vertAlign val="superscript"/>
      <sz val="8"/>
      <name val="Times New Roman"/>
      <family val="1"/>
    </font>
    <font>
      <vertAlign val="superscript"/>
      <sz val="8"/>
      <name val="Times"/>
      <family val="1"/>
    </font>
    <font>
      <sz val="8"/>
      <color indexed="8"/>
      <name val="Times New Roman"/>
      <family val="1"/>
    </font>
    <font>
      <sz val="11"/>
      <color theme="1"/>
      <name val="Calibri"/>
      <family val="2"/>
      <scheme val="minor"/>
    </font>
    <font>
      <vertAlign val="superscript"/>
      <sz val="8"/>
      <color theme="1"/>
      <name val="Times New Roman"/>
      <family val="2"/>
    </font>
    <font>
      <sz val="8"/>
      <color theme="1"/>
      <name val="Times New Roman"/>
      <family val="1"/>
    </font>
    <font>
      <vertAlign val="superscript"/>
      <sz val="8"/>
      <color theme="1"/>
      <name val="Times New Roman"/>
      <family val="1"/>
    </font>
    <font>
      <sz val="12"/>
      <color theme="1"/>
      <name val="Calibri"/>
      <family val="2"/>
      <scheme val="minor"/>
    </font>
    <font>
      <sz val="6"/>
      <color theme="1"/>
      <name val="Times New Roman"/>
      <family val="2"/>
    </font>
    <font>
      <sz val="8"/>
      <color rgb="FF000000"/>
      <name val="Times New Roman"/>
      <family val="1"/>
    </font>
    <font>
      <b/>
      <u/>
      <sz val="24"/>
      <color rgb="FF000000"/>
      <name val="Times New Roman"/>
      <family val="1"/>
    </font>
    <font>
      <b/>
      <u/>
      <sz val="36"/>
      <color rgb="FF000000"/>
      <name val="Times New Roman"/>
      <family val="1"/>
    </font>
    <font>
      <sz val="18"/>
      <color theme="1"/>
      <name val="Times New Roman"/>
      <family val="1"/>
    </font>
    <font>
      <sz val="14"/>
      <color rgb="FF000000"/>
      <name val="Times New Roman"/>
      <family val="1"/>
    </font>
    <font>
      <sz val="18"/>
      <color rgb="FF000000"/>
      <name val="Times New Roman"/>
      <family val="1"/>
    </font>
  </fonts>
  <fills count="5">
    <fill>
      <patternFill patternType="none"/>
    </fill>
    <fill>
      <patternFill patternType="gray125"/>
    </fill>
    <fill>
      <patternFill patternType="solid">
        <fgColor rgb="FFFFFFCC"/>
      </patternFill>
    </fill>
    <fill>
      <patternFill patternType="solid">
        <fgColor indexed="9"/>
      </patternFill>
    </fill>
    <fill>
      <patternFill patternType="solid">
        <fgColor rgb="FFFFFFCC"/>
        <bgColor indexed="64"/>
      </patternFill>
    </fill>
  </fills>
  <borders count="30">
    <border>
      <left/>
      <right/>
      <top/>
      <bottom/>
      <diagonal/>
    </border>
    <border>
      <left/>
      <right/>
      <top style="hair">
        <color indexed="64"/>
      </top>
      <bottom style="hair">
        <color indexed="64"/>
      </bottom>
      <diagonal/>
    </border>
    <border>
      <left/>
      <right/>
      <top/>
      <bottom style="hair">
        <color indexed="8"/>
      </bottom>
      <diagonal/>
    </border>
    <border>
      <left/>
      <right/>
      <top style="hair">
        <color indexed="8"/>
      </top>
      <bottom/>
      <diagonal/>
    </border>
    <border>
      <left style="thin">
        <color rgb="FFB2B2B2"/>
      </left>
      <right style="thin">
        <color rgb="FFB2B2B2"/>
      </right>
      <top style="thin">
        <color rgb="FFB2B2B2"/>
      </top>
      <bottom style="thin">
        <color rgb="FFB2B2B2"/>
      </bottom>
      <diagonal/>
    </border>
    <border>
      <left/>
      <right/>
      <top style="hair">
        <color auto="1"/>
      </top>
      <bottom/>
      <diagonal/>
    </border>
    <border>
      <left/>
      <right/>
      <top style="hair">
        <color indexed="8"/>
      </top>
      <bottom style="hair">
        <color auto="1"/>
      </bottom>
      <diagonal/>
    </border>
    <border>
      <left/>
      <right/>
      <top style="hair">
        <color indexed="8"/>
      </top>
      <bottom style="hair">
        <color indexed="8"/>
      </bottom>
      <diagonal/>
    </border>
    <border>
      <left/>
      <right/>
      <top style="hair">
        <color auto="1"/>
      </top>
      <bottom style="hair">
        <color auto="1"/>
      </bottom>
      <diagonal/>
    </border>
    <border>
      <left/>
      <right/>
      <top/>
      <bottom style="thin">
        <color indexed="64"/>
      </bottom>
      <diagonal/>
    </border>
    <border>
      <left/>
      <right/>
      <top style="thin">
        <color indexed="64"/>
      </top>
      <bottom/>
      <diagonal/>
    </border>
    <border>
      <left/>
      <right/>
      <top style="thin">
        <color indexed="64"/>
      </top>
      <bottom style="hair">
        <color indexed="64"/>
      </bottom>
      <diagonal/>
    </border>
    <border>
      <left/>
      <right/>
      <top style="hair">
        <color indexed="64"/>
      </top>
      <bottom style="thin">
        <color indexed="64"/>
      </bottom>
      <diagonal/>
    </border>
    <border>
      <left/>
      <right/>
      <top/>
      <bottom style="hair">
        <color auto="1"/>
      </bottom>
      <diagonal/>
    </border>
    <border>
      <left/>
      <right/>
      <top/>
      <bottom style="hair">
        <color auto="1"/>
      </bottom>
      <diagonal/>
    </border>
    <border>
      <left/>
      <right/>
      <top/>
      <bottom style="hair">
        <color indexed="8"/>
      </bottom>
      <diagonal/>
    </border>
    <border>
      <left/>
      <right/>
      <top/>
      <bottom style="hair">
        <color indexed="64"/>
      </bottom>
      <diagonal/>
    </border>
    <border>
      <left/>
      <right/>
      <top style="hair">
        <color indexed="8"/>
      </top>
      <bottom style="hair">
        <color indexed="8"/>
      </bottom>
      <diagonal/>
    </border>
    <border>
      <left/>
      <right/>
      <top style="hair">
        <color indexed="8"/>
      </top>
      <bottom style="hair">
        <color indexed="64"/>
      </bottom>
      <diagonal/>
    </border>
    <border>
      <left/>
      <right/>
      <top style="hair">
        <color auto="1"/>
      </top>
      <bottom style="thin">
        <color auto="1"/>
      </bottom>
      <diagonal/>
    </border>
    <border>
      <left/>
      <right/>
      <top style="hair">
        <color auto="1"/>
      </top>
      <bottom style="hair">
        <color auto="1"/>
      </bottom>
      <diagonal/>
    </border>
    <border>
      <left/>
      <right/>
      <top style="hair">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1">
    <xf numFmtId="0" fontId="0" fillId="0" borderId="0"/>
    <xf numFmtId="0" fontId="6" fillId="0" borderId="0"/>
    <xf numFmtId="0" fontId="11" fillId="2" borderId="4" applyNumberFormat="0" applyFont="0" applyAlignment="0" applyProtection="0"/>
    <xf numFmtId="0" fontId="6" fillId="0" borderId="0"/>
    <xf numFmtId="0" fontId="7" fillId="0" borderId="0"/>
    <xf numFmtId="0" fontId="4" fillId="0" borderId="0"/>
    <xf numFmtId="43" fontId="4" fillId="0" borderId="0" applyFont="0" applyFill="0" applyBorder="0" applyAlignment="0" applyProtection="0"/>
    <xf numFmtId="0" fontId="15" fillId="0" borderId="0"/>
    <xf numFmtId="43" fontId="15" fillId="0" borderId="0" applyFont="0" applyFill="0" applyBorder="0" applyAlignment="0" applyProtection="0"/>
    <xf numFmtId="0" fontId="3" fillId="2" borderId="4" applyNumberFormat="0" applyFont="0" applyAlignment="0" applyProtection="0"/>
    <xf numFmtId="0" fontId="3" fillId="0" borderId="0"/>
    <xf numFmtId="43" fontId="3" fillId="0" borderId="0" applyFont="0" applyFill="0" applyBorder="0" applyAlignment="0" applyProtection="0"/>
    <xf numFmtId="0" fontId="2" fillId="2" borderId="4" applyNumberFormat="0" applyFont="0" applyAlignment="0" applyProtection="0"/>
    <xf numFmtId="0" fontId="2" fillId="0" borderId="0"/>
    <xf numFmtId="43" fontId="2" fillId="0" borderId="0" applyFont="0" applyFill="0" applyBorder="0" applyAlignment="0" applyProtection="0"/>
    <xf numFmtId="0" fontId="2" fillId="2" borderId="4" applyNumberFormat="0" applyFont="0" applyAlignment="0" applyProtection="0"/>
    <xf numFmtId="0" fontId="2" fillId="0" borderId="0"/>
    <xf numFmtId="43" fontId="2" fillId="0" borderId="0" applyFont="0" applyFill="0" applyBorder="0" applyAlignment="0" applyProtection="0"/>
    <xf numFmtId="0" fontId="7" fillId="3" borderId="0"/>
    <xf numFmtId="0" fontId="1" fillId="0" borderId="0"/>
    <xf numFmtId="0" fontId="7" fillId="0" borderId="0"/>
  </cellStyleXfs>
  <cellXfs count="312">
    <xf numFmtId="0" fontId="0" fillId="0" borderId="0" xfId="0"/>
    <xf numFmtId="0" fontId="6" fillId="0" borderId="0" xfId="1" applyFill="1" applyAlignment="1">
      <alignment vertical="center"/>
    </xf>
    <xf numFmtId="3" fontId="7" fillId="0" borderId="0" xfId="1" applyNumberFormat="1" applyFont="1" applyFill="1" applyAlignment="1" applyProtection="1">
      <alignment horizontal="right" vertical="center"/>
      <protection locked="0"/>
    </xf>
    <xf numFmtId="0" fontId="6" fillId="0" borderId="0" xfId="1" applyFill="1"/>
    <xf numFmtId="3" fontId="6" fillId="0" borderId="0" xfId="1" applyNumberFormat="1" applyFill="1"/>
    <xf numFmtId="3" fontId="6" fillId="0" borderId="0" xfId="1" applyNumberFormat="1" applyFont="1" applyFill="1"/>
    <xf numFmtId="3" fontId="9" fillId="0" borderId="0" xfId="1" applyNumberFormat="1" applyFont="1" applyFill="1" applyAlignment="1">
      <alignment horizontal="left" vertical="center"/>
    </xf>
    <xf numFmtId="3" fontId="7" fillId="0" borderId="0" xfId="1" applyNumberFormat="1" applyFont="1" applyFill="1" applyAlignment="1" applyProtection="1">
      <alignment vertical="center"/>
      <protection locked="0"/>
    </xf>
    <xf numFmtId="0" fontId="0" fillId="0" borderId="0" xfId="0" applyFill="1" applyBorder="1" applyAlignment="1">
      <alignment vertical="center"/>
    </xf>
    <xf numFmtId="3" fontId="0" fillId="0" borderId="0" xfId="0" applyNumberFormat="1" applyFill="1" applyBorder="1" applyAlignment="1">
      <alignment horizontal="right" vertical="center"/>
    </xf>
    <xf numFmtId="3" fontId="0" fillId="0" borderId="0" xfId="0" applyNumberFormat="1" applyFill="1" applyAlignment="1">
      <alignment horizontal="right" vertical="center"/>
    </xf>
    <xf numFmtId="0" fontId="12" fillId="0" borderId="0" xfId="0" applyFont="1" applyFill="1" applyAlignment="1">
      <alignment horizontal="left" vertical="center"/>
    </xf>
    <xf numFmtId="0" fontId="12" fillId="0" borderId="0" xfId="0" applyFont="1" applyFill="1" applyBorder="1" applyAlignment="1">
      <alignment horizontal="left" vertical="center"/>
    </xf>
    <xf numFmtId="164" fontId="0" fillId="0" borderId="0" xfId="0" applyNumberFormat="1" applyFill="1" applyBorder="1" applyAlignment="1">
      <alignment horizontal="right" vertical="center"/>
    </xf>
    <xf numFmtId="0" fontId="0" fillId="0" borderId="0" xfId="0" applyFill="1"/>
    <xf numFmtId="49" fontId="12" fillId="0" borderId="0" xfId="0" applyNumberFormat="1" applyFont="1" applyFill="1" applyAlignment="1">
      <alignment horizontal="left" vertical="center"/>
    </xf>
    <xf numFmtId="49" fontId="7" fillId="0" borderId="0" xfId="1" applyNumberFormat="1" applyFont="1" applyFill="1" applyAlignment="1" applyProtection="1">
      <alignment vertical="center"/>
      <protection locked="0"/>
    </xf>
    <xf numFmtId="0" fontId="0" fillId="0" borderId="0" xfId="0" applyFill="1" applyAlignment="1">
      <alignment vertical="center"/>
    </xf>
    <xf numFmtId="49" fontId="0" fillId="0" borderId="0" xfId="0" applyNumberFormat="1" applyFill="1" applyAlignment="1">
      <alignment vertical="center"/>
    </xf>
    <xf numFmtId="49" fontId="6" fillId="0" borderId="0" xfId="1" applyNumberFormat="1" applyFill="1" applyAlignment="1">
      <alignment horizontal="left" vertical="center" readingOrder="1"/>
    </xf>
    <xf numFmtId="0" fontId="0" fillId="0" borderId="0" xfId="0" applyFill="1" applyAlignment="1">
      <alignment horizontal="left" vertical="center" readingOrder="1"/>
    </xf>
    <xf numFmtId="3" fontId="0" fillId="0" borderId="0" xfId="0" applyNumberFormat="1" applyFill="1" applyAlignment="1">
      <alignment vertical="center"/>
    </xf>
    <xf numFmtId="49" fontId="0" fillId="0" borderId="0" xfId="0" applyNumberFormat="1" applyFill="1" applyAlignment="1">
      <alignment horizontal="left" vertical="center" readingOrder="1"/>
    </xf>
    <xf numFmtId="49" fontId="0" fillId="0" borderId="0" xfId="0" applyNumberFormat="1" applyFill="1" applyBorder="1" applyAlignment="1">
      <alignment vertical="center"/>
    </xf>
    <xf numFmtId="49" fontId="12" fillId="0" borderId="0" xfId="0" applyNumberFormat="1" applyFont="1" applyFill="1" applyBorder="1" applyAlignment="1">
      <alignment horizontal="left" vertical="center"/>
    </xf>
    <xf numFmtId="49" fontId="0" fillId="0" borderId="0" xfId="0" applyNumberFormat="1" applyFill="1" applyBorder="1" applyAlignment="1">
      <alignment horizontal="center" vertical="center"/>
    </xf>
    <xf numFmtId="49" fontId="0" fillId="0" borderId="0" xfId="0" applyNumberFormat="1" applyFill="1" applyAlignment="1">
      <alignment horizontal="left" vertical="center"/>
    </xf>
    <xf numFmtId="3" fontId="0" fillId="0" borderId="0" xfId="0" applyNumberFormat="1" applyFill="1" applyBorder="1" applyAlignment="1">
      <alignment horizontal="center" vertical="center"/>
    </xf>
    <xf numFmtId="49" fontId="7" fillId="0" borderId="5" xfId="1" applyNumberFormat="1" applyFont="1" applyFill="1" applyBorder="1" applyAlignment="1" applyProtection="1">
      <alignment vertical="center"/>
      <protection locked="0"/>
    </xf>
    <xf numFmtId="49" fontId="8" fillId="0" borderId="5" xfId="1" applyNumberFormat="1" applyFont="1" applyFill="1" applyBorder="1" applyAlignment="1" applyProtection="1">
      <alignment horizontal="left" vertical="center" readingOrder="1"/>
      <protection locked="0"/>
    </xf>
    <xf numFmtId="49" fontId="8" fillId="0" borderId="0" xfId="1" applyNumberFormat="1" applyFont="1" applyFill="1" applyBorder="1" applyAlignment="1" applyProtection="1">
      <alignment horizontal="left" vertical="center" readingOrder="1"/>
      <protection locked="0"/>
    </xf>
    <xf numFmtId="49" fontId="7" fillId="0" borderId="7" xfId="1" quotePrefix="1" applyNumberFormat="1" applyFont="1" applyFill="1" applyBorder="1" applyAlignment="1" applyProtection="1">
      <alignment horizontal="left" vertical="center" readingOrder="1"/>
      <protection locked="0"/>
    </xf>
    <xf numFmtId="3" fontId="7" fillId="0" borderId="0" xfId="1" quotePrefix="1" applyNumberFormat="1" applyFont="1" applyFill="1" applyBorder="1" applyAlignment="1" applyProtection="1">
      <alignment horizontal="right" vertical="center" readingOrder="2"/>
      <protection locked="0"/>
    </xf>
    <xf numFmtId="49" fontId="7" fillId="0" borderId="0" xfId="1" quotePrefix="1" applyNumberFormat="1" applyFont="1" applyFill="1" applyBorder="1" applyAlignment="1" applyProtection="1">
      <alignment horizontal="right" vertical="center" readingOrder="2"/>
      <protection locked="0"/>
    </xf>
    <xf numFmtId="49" fontId="7" fillId="0" borderId="7" xfId="1" applyNumberFormat="1" applyFont="1" applyFill="1" applyBorder="1" applyAlignment="1" applyProtection="1">
      <alignment horizontal="left" vertical="center" indent="1" readingOrder="1"/>
      <protection locked="0"/>
    </xf>
    <xf numFmtId="3" fontId="7" fillId="0" borderId="0" xfId="1" applyNumberFormat="1" applyFont="1" applyFill="1" applyAlignment="1" applyProtection="1">
      <alignment horizontal="right" vertical="center" readingOrder="2"/>
      <protection locked="0"/>
    </xf>
    <xf numFmtId="49" fontId="7" fillId="0" borderId="3" xfId="1" applyNumberFormat="1" applyFont="1" applyFill="1" applyBorder="1" applyAlignment="1" applyProtection="1">
      <alignment horizontal="left" vertical="center" indent="2" readingOrder="1"/>
      <protection locked="0"/>
    </xf>
    <xf numFmtId="3" fontId="0" fillId="0" borderId="0" xfId="0" applyNumberFormat="1" applyFill="1" applyBorder="1" applyAlignment="1">
      <alignment horizontal="right" vertical="center" readingOrder="2"/>
    </xf>
    <xf numFmtId="3" fontId="0" fillId="0" borderId="0" xfId="0" applyNumberFormat="1" applyFill="1" applyAlignment="1">
      <alignment horizontal="right" vertical="center" readingOrder="2"/>
    </xf>
    <xf numFmtId="3" fontId="0" fillId="0" borderId="0" xfId="0" quotePrefix="1" applyNumberFormat="1" applyFill="1" applyBorder="1" applyAlignment="1">
      <alignment horizontal="right" vertical="center" readingOrder="2"/>
    </xf>
    <xf numFmtId="3" fontId="0" fillId="0" borderId="0" xfId="0" quotePrefix="1" applyNumberFormat="1" applyFill="1" applyAlignment="1">
      <alignment horizontal="right" vertical="center" readingOrder="2"/>
    </xf>
    <xf numFmtId="49" fontId="0" fillId="0" borderId="0" xfId="0" applyNumberFormat="1" applyFill="1" applyAlignment="1">
      <alignment horizontal="right" vertical="center" readingOrder="2"/>
    </xf>
    <xf numFmtId="49" fontId="13" fillId="0" borderId="0" xfId="0" applyNumberFormat="1" applyFont="1" applyFill="1" applyAlignment="1">
      <alignment vertical="center" readingOrder="1"/>
    </xf>
    <xf numFmtId="0" fontId="0" fillId="0" borderId="0" xfId="0" applyFill="1" applyAlignment="1">
      <alignment vertical="center"/>
    </xf>
    <xf numFmtId="49" fontId="0" fillId="0" borderId="0" xfId="0" applyNumberFormat="1" applyFill="1" applyAlignment="1">
      <alignment horizontal="left" vertical="center" readingOrder="1"/>
    </xf>
    <xf numFmtId="49" fontId="12" fillId="0" borderId="0" xfId="0" applyNumberFormat="1" applyFont="1" applyFill="1" applyAlignment="1">
      <alignment horizontal="left" vertical="center" readingOrder="1"/>
    </xf>
    <xf numFmtId="49" fontId="12" fillId="0" borderId="8" xfId="0" applyNumberFormat="1" applyFont="1" applyFill="1" applyBorder="1" applyAlignment="1">
      <alignment horizontal="left" vertical="center" readingOrder="1"/>
    </xf>
    <xf numFmtId="49" fontId="12" fillId="0" borderId="0" xfId="0" applyNumberFormat="1" applyFont="1" applyFill="1" applyBorder="1" applyAlignment="1">
      <alignment horizontal="left" vertical="center" readingOrder="1"/>
    </xf>
    <xf numFmtId="49" fontId="12" fillId="0" borderId="0" xfId="0" applyNumberFormat="1" applyFont="1" applyFill="1" applyBorder="1" applyAlignment="1">
      <alignment horizontal="right" vertical="center" readingOrder="2"/>
    </xf>
    <xf numFmtId="49" fontId="7" fillId="0" borderId="2" xfId="4" applyNumberFormat="1" applyFont="1" applyFill="1" applyBorder="1" applyAlignment="1" applyProtection="1">
      <alignment horizontal="right" vertical="center" readingOrder="2"/>
      <protection locked="0"/>
    </xf>
    <xf numFmtId="49" fontId="7" fillId="0" borderId="0" xfId="4" applyNumberFormat="1" applyFont="1" applyFill="1" applyAlignment="1" applyProtection="1">
      <alignment horizontal="right" vertical="center" readingOrder="2"/>
      <protection locked="0"/>
    </xf>
    <xf numFmtId="49" fontId="7" fillId="0" borderId="6" xfId="4" applyNumberFormat="1" applyFont="1" applyFill="1" applyBorder="1" applyAlignment="1" applyProtection="1">
      <alignment horizontal="right" vertical="center" indent="1" readingOrder="2"/>
      <protection locked="0"/>
    </xf>
    <xf numFmtId="49" fontId="0" fillId="0" borderId="5" xfId="0" applyNumberFormat="1" applyFill="1" applyBorder="1" applyAlignment="1">
      <alignment horizontal="left" vertical="center" readingOrder="1"/>
    </xf>
    <xf numFmtId="49" fontId="0" fillId="0" borderId="8" xfId="0" applyNumberFormat="1" applyFill="1" applyBorder="1" applyAlignment="1">
      <alignment horizontal="left" vertical="center" indent="1" readingOrder="1"/>
    </xf>
    <xf numFmtId="49" fontId="12" fillId="0" borderId="8" xfId="0" applyNumberFormat="1" applyFont="1" applyFill="1" applyBorder="1" applyAlignment="1">
      <alignment horizontal="right" vertical="center" readingOrder="2"/>
    </xf>
    <xf numFmtId="49" fontId="0" fillId="0" borderId="5" xfId="0" applyNumberFormat="1" applyFill="1" applyBorder="1" applyAlignment="1">
      <alignment horizontal="left" vertical="center" indent="2" readingOrder="1"/>
    </xf>
    <xf numFmtId="49" fontId="8" fillId="0" borderId="0" xfId="1" applyNumberFormat="1" applyFont="1" applyFill="1" applyAlignment="1">
      <alignment horizontal="left" vertical="center" readingOrder="1"/>
    </xf>
    <xf numFmtId="49" fontId="0" fillId="0" borderId="5" xfId="0" applyNumberFormat="1" applyFill="1" applyBorder="1" applyAlignment="1">
      <alignment horizontal="center" vertical="center"/>
    </xf>
    <xf numFmtId="0" fontId="0" fillId="0" borderId="0" xfId="0" applyFill="1" applyAlignment="1">
      <alignment vertical="center"/>
    </xf>
    <xf numFmtId="3" fontId="6" fillId="0" borderId="0" xfId="1" applyNumberFormat="1" applyFill="1" applyAlignment="1">
      <alignment vertical="center"/>
    </xf>
    <xf numFmtId="3" fontId="7" fillId="0" borderId="0" xfId="1" applyNumberFormat="1" applyFont="1" applyFill="1" applyBorder="1" applyAlignment="1" applyProtection="1">
      <alignment vertical="center"/>
      <protection locked="0"/>
    </xf>
    <xf numFmtId="3" fontId="13" fillId="0" borderId="0" xfId="0" applyNumberFormat="1" applyFont="1" applyFill="1" applyBorder="1"/>
    <xf numFmtId="3" fontId="6" fillId="0" borderId="0" xfId="1" applyNumberFormat="1" applyFill="1" applyAlignment="1">
      <alignment horizontal="left" vertical="center" readingOrder="1"/>
    </xf>
    <xf numFmtId="3" fontId="0" fillId="0" borderId="8" xfId="0" applyNumberFormat="1" applyFill="1" applyBorder="1" applyAlignment="1">
      <alignment horizontal="right" vertical="center" readingOrder="2"/>
    </xf>
    <xf numFmtId="49" fontId="0" fillId="0" borderId="5" xfId="0" applyNumberFormat="1" applyFill="1" applyBorder="1" applyAlignment="1">
      <alignment horizontal="left" vertical="center" indent="1" readingOrder="1"/>
    </xf>
    <xf numFmtId="165" fontId="6" fillId="0" borderId="0" xfId="1" applyNumberFormat="1" applyFill="1"/>
    <xf numFmtId="0" fontId="0" fillId="0" borderId="0" xfId="0" applyFill="1" applyAlignment="1">
      <alignment vertical="center"/>
    </xf>
    <xf numFmtId="3" fontId="7" fillId="0" borderId="0" xfId="1" applyNumberFormat="1" applyFont="1" applyFill="1" applyBorder="1" applyAlignment="1" applyProtection="1">
      <alignment horizontal="right" vertical="center" readingOrder="2"/>
      <protection locked="0"/>
    </xf>
    <xf numFmtId="3" fontId="7" fillId="0" borderId="0" xfId="1" quotePrefix="1" applyNumberFormat="1" applyFont="1" applyFill="1" applyBorder="1" applyAlignment="1" applyProtection="1">
      <alignment horizontal="right" vertical="center"/>
      <protection locked="0"/>
    </xf>
    <xf numFmtId="0" fontId="0" fillId="0" borderId="0" xfId="0" applyFill="1" applyAlignment="1">
      <alignment vertical="center"/>
    </xf>
    <xf numFmtId="0" fontId="0" fillId="0" borderId="0" xfId="0" applyFill="1" applyAlignment="1">
      <alignment vertical="center"/>
    </xf>
    <xf numFmtId="49" fontId="0" fillId="0" borderId="0" xfId="0" applyNumberFormat="1" applyFill="1" applyAlignment="1">
      <alignment horizontal="left" vertical="center" readingOrder="1"/>
    </xf>
    <xf numFmtId="49" fontId="12" fillId="0" borderId="0" xfId="0" applyNumberFormat="1" applyFont="1" applyAlignment="1">
      <alignment horizontal="left" vertical="center" readingOrder="1"/>
    </xf>
    <xf numFmtId="49" fontId="0" fillId="0" borderId="0" xfId="0" applyNumberFormat="1" applyFill="1" applyAlignment="1">
      <alignment horizontal="left" vertical="center" readingOrder="1"/>
    </xf>
    <xf numFmtId="49" fontId="16" fillId="0" borderId="0" xfId="0" quotePrefix="1" applyNumberFormat="1" applyFont="1" applyFill="1" applyAlignment="1">
      <alignment horizontal="right" vertical="center" readingOrder="2"/>
    </xf>
    <xf numFmtId="49" fontId="0" fillId="0" borderId="0" xfId="0" applyNumberFormat="1" applyAlignment="1">
      <alignment horizontal="left" vertical="center" wrapText="1" readingOrder="1"/>
    </xf>
    <xf numFmtId="49" fontId="0" fillId="0" borderId="0" xfId="0" applyNumberFormat="1" applyAlignment="1">
      <alignment horizontal="left" vertical="center" readingOrder="1"/>
    </xf>
    <xf numFmtId="49" fontId="7" fillId="0" borderId="7" xfId="1" quotePrefix="1" applyNumberFormat="1" applyFont="1" applyFill="1" applyBorder="1" applyAlignment="1" applyProtection="1">
      <alignment horizontal="left" vertical="center" indent="1" readingOrder="1"/>
      <protection locked="0"/>
    </xf>
    <xf numFmtId="0" fontId="0" fillId="0" borderId="0" xfId="0" applyAlignment="1">
      <alignment vertical="center"/>
    </xf>
    <xf numFmtId="49" fontId="0" fillId="0" borderId="0" xfId="0" applyNumberFormat="1" applyAlignment="1">
      <alignment vertical="center"/>
    </xf>
    <xf numFmtId="49" fontId="12" fillId="0" borderId="0" xfId="0" applyNumberFormat="1" applyFont="1" applyAlignment="1">
      <alignment vertical="center"/>
    </xf>
    <xf numFmtId="3" fontId="0" fillId="0" borderId="0" xfId="0" applyNumberFormat="1" applyAlignment="1">
      <alignment horizontal="right" vertical="center"/>
    </xf>
    <xf numFmtId="49" fontId="0" fillId="0" borderId="0" xfId="0" applyNumberFormat="1" applyAlignment="1">
      <alignment horizontal="right" vertical="center"/>
    </xf>
    <xf numFmtId="3" fontId="0" fillId="0" borderId="0" xfId="0" applyNumberFormat="1" applyAlignment="1">
      <alignment horizontal="right" vertical="center" readingOrder="2"/>
    </xf>
    <xf numFmtId="49" fontId="0" fillId="0" borderId="0" xfId="0" applyNumberFormat="1" applyAlignment="1">
      <alignment horizontal="right" vertical="center" readingOrder="2"/>
    </xf>
    <xf numFmtId="3" fontId="0" fillId="0" borderId="0" xfId="0" applyNumberFormat="1" applyAlignment="1">
      <alignment vertical="center"/>
    </xf>
    <xf numFmtId="3" fontId="0" fillId="0" borderId="8" xfId="0" applyNumberFormat="1" applyBorder="1" applyAlignment="1">
      <alignment horizontal="right" vertical="center" readingOrder="2"/>
    </xf>
    <xf numFmtId="49" fontId="12" fillId="0" borderId="8" xfId="0" applyNumberFormat="1" applyFont="1" applyBorder="1" applyAlignment="1">
      <alignment horizontal="left" vertical="center" readingOrder="1"/>
    </xf>
    <xf numFmtId="49" fontId="0" fillId="0" borderId="8" xfId="0" applyNumberFormat="1" applyBorder="1" applyAlignment="1">
      <alignment horizontal="left" vertical="center" readingOrder="1"/>
    </xf>
    <xf numFmtId="49" fontId="13" fillId="0" borderId="0" xfId="0" applyNumberFormat="1" applyFont="1" applyAlignment="1">
      <alignment vertical="center" readingOrder="1"/>
    </xf>
    <xf numFmtId="49" fontId="0" fillId="0" borderId="0" xfId="0" applyNumberFormat="1" applyAlignment="1">
      <alignment vertical="center" readingOrder="1"/>
    </xf>
    <xf numFmtId="0" fontId="12" fillId="0" borderId="0" xfId="0" applyFont="1" applyAlignment="1">
      <alignment vertical="center"/>
    </xf>
    <xf numFmtId="0" fontId="0" fillId="0" borderId="5" xfId="0" applyBorder="1" applyAlignment="1">
      <alignment vertical="center"/>
    </xf>
    <xf numFmtId="0" fontId="6" fillId="0" borderId="0" xfId="3" applyAlignment="1">
      <alignment vertical="center"/>
    </xf>
    <xf numFmtId="49" fontId="8" fillId="0" borderId="5" xfId="3" applyNumberFormat="1" applyFont="1" applyBorder="1" applyAlignment="1" applyProtection="1">
      <alignment horizontal="left" vertical="center" readingOrder="1"/>
      <protection locked="0"/>
    </xf>
    <xf numFmtId="49" fontId="7" fillId="0" borderId="0" xfId="3" applyNumberFormat="1" applyFont="1" applyAlignment="1" applyProtection="1">
      <alignment vertical="center"/>
      <protection locked="0"/>
    </xf>
    <xf numFmtId="3" fontId="7" fillId="0" borderId="0" xfId="3" quotePrefix="1" applyNumberFormat="1" applyFont="1" applyAlignment="1" applyProtection="1">
      <alignment horizontal="right" vertical="center" readingOrder="2"/>
      <protection locked="0"/>
    </xf>
    <xf numFmtId="164" fontId="7" fillId="0" borderId="0" xfId="3" quotePrefix="1" applyNumberFormat="1" applyFont="1" applyAlignment="1" applyProtection="1">
      <alignment horizontal="right" vertical="center" readingOrder="2"/>
      <protection locked="0"/>
    </xf>
    <xf numFmtId="0" fontId="7" fillId="0" borderId="0" xfId="3" applyFont="1" applyAlignment="1" applyProtection="1">
      <alignment vertical="center"/>
      <protection locked="0"/>
    </xf>
    <xf numFmtId="49" fontId="7" fillId="0" borderId="0" xfId="1" quotePrefix="1" applyNumberFormat="1" applyFont="1" applyAlignment="1" applyProtection="1">
      <alignment horizontal="right" vertical="center" readingOrder="2"/>
      <protection locked="0"/>
    </xf>
    <xf numFmtId="49" fontId="8" fillId="0" borderId="0" xfId="1" applyNumberFormat="1" applyFont="1" applyAlignment="1" applyProtection="1">
      <alignment horizontal="left" vertical="center" readingOrder="1"/>
      <protection locked="0"/>
    </xf>
    <xf numFmtId="49" fontId="16" fillId="0" borderId="0" xfId="0" quotePrefix="1" applyNumberFormat="1" applyFont="1" applyAlignment="1">
      <alignment horizontal="right" vertical="center" readingOrder="2"/>
    </xf>
    <xf numFmtId="0" fontId="7" fillId="0" borderId="0" xfId="1" applyFont="1" applyAlignment="1" applyProtection="1">
      <alignment vertical="center" justifyLastLine="1"/>
      <protection locked="0"/>
    </xf>
    <xf numFmtId="3" fontId="7" fillId="0" borderId="1" xfId="1" applyNumberFormat="1" applyFont="1" applyBorder="1" applyAlignment="1">
      <alignment horizontal="right" vertical="center" readingOrder="2"/>
    </xf>
    <xf numFmtId="49" fontId="8" fillId="0" borderId="1" xfId="1" applyNumberFormat="1" applyFont="1" applyBorder="1" applyAlignment="1">
      <alignment horizontal="left" vertical="center" readingOrder="1"/>
    </xf>
    <xf numFmtId="49" fontId="6" fillId="0" borderId="0" xfId="3" applyNumberFormat="1" applyAlignment="1">
      <alignment horizontal="left" vertical="center" readingOrder="1"/>
    </xf>
    <xf numFmtId="0" fontId="6" fillId="0" borderId="0" xfId="3"/>
    <xf numFmtId="164" fontId="0" fillId="0" borderId="8" xfId="0" applyNumberFormat="1" applyFill="1" applyBorder="1" applyAlignment="1">
      <alignment horizontal="right" vertical="center" readingOrder="2"/>
    </xf>
    <xf numFmtId="0" fontId="0" fillId="0" borderId="8" xfId="0" applyBorder="1" applyAlignment="1">
      <alignment vertical="center"/>
    </xf>
    <xf numFmtId="2" fontId="0" fillId="0" borderId="8" xfId="0" applyNumberFormat="1" applyBorder="1" applyAlignment="1">
      <alignment vertical="center"/>
    </xf>
    <xf numFmtId="49" fontId="7" fillId="0" borderId="0" xfId="1" applyNumberFormat="1" applyFont="1" applyAlignment="1" applyProtection="1">
      <alignment horizontal="center" vertical="center"/>
      <protection locked="0"/>
    </xf>
    <xf numFmtId="49" fontId="7" fillId="0" borderId="0" xfId="3" applyNumberFormat="1" applyFont="1" applyBorder="1" applyAlignment="1" applyProtection="1">
      <alignment vertical="center"/>
      <protection locked="0"/>
    </xf>
    <xf numFmtId="0" fontId="13" fillId="0" borderId="0" xfId="7" applyFont="1" applyAlignment="1">
      <alignment vertical="center"/>
    </xf>
    <xf numFmtId="0" fontId="13" fillId="0" borderId="0" xfId="7" applyFont="1"/>
    <xf numFmtId="3" fontId="13" fillId="0" borderId="0" xfId="8" applyNumberFormat="1" applyFont="1" applyAlignment="1">
      <alignment horizontal="right" vertical="center"/>
    </xf>
    <xf numFmtId="3" fontId="13" fillId="0" borderId="9" xfId="8" applyNumberFormat="1" applyFont="1" applyBorder="1" applyAlignment="1">
      <alignment horizontal="right" vertical="center"/>
    </xf>
    <xf numFmtId="49" fontId="14" fillId="0" borderId="9" xfId="7" applyNumberFormat="1" applyFont="1" applyBorder="1" applyAlignment="1">
      <alignment horizontal="left" vertical="center"/>
    </xf>
    <xf numFmtId="3" fontId="13" fillId="0" borderId="0" xfId="8" applyNumberFormat="1" applyFont="1" applyBorder="1" applyAlignment="1">
      <alignment horizontal="right" vertical="center"/>
    </xf>
    <xf numFmtId="49" fontId="13" fillId="0" borderId="0" xfId="8" applyNumberFormat="1" applyFont="1" applyAlignment="1">
      <alignment horizontal="right" vertical="center"/>
    </xf>
    <xf numFmtId="3" fontId="13" fillId="0" borderId="10" xfId="8" applyNumberFormat="1" applyFont="1" applyBorder="1" applyAlignment="1">
      <alignment horizontal="right" vertical="center"/>
    </xf>
    <xf numFmtId="49" fontId="14" fillId="0" borderId="10" xfId="7" applyNumberFormat="1" applyFont="1" applyBorder="1" applyAlignment="1">
      <alignment horizontal="left" vertical="center"/>
    </xf>
    <xf numFmtId="0" fontId="13" fillId="0" borderId="0" xfId="7" applyFont="1" applyAlignment="1">
      <alignment horizontal="left" vertical="center" wrapText="1"/>
    </xf>
    <xf numFmtId="0" fontId="13" fillId="0" borderId="0" xfId="7" applyFont="1" applyAlignment="1">
      <alignment horizontal="left" vertical="center"/>
    </xf>
    <xf numFmtId="0" fontId="14" fillId="0" borderId="0" xfId="7" applyFont="1" applyAlignment="1">
      <alignment horizontal="left" vertical="center"/>
    </xf>
    <xf numFmtId="166" fontId="13" fillId="0" borderId="0" xfId="8" applyNumberFormat="1" applyFont="1" applyAlignment="1">
      <alignment horizontal="right" vertical="center"/>
    </xf>
    <xf numFmtId="3" fontId="13" fillId="0" borderId="11" xfId="8" applyNumberFormat="1" applyFont="1" applyBorder="1" applyAlignment="1">
      <alignment horizontal="right" vertical="center"/>
    </xf>
    <xf numFmtId="49" fontId="14" fillId="0" borderId="11" xfId="7" applyNumberFormat="1" applyFont="1" applyBorder="1" applyAlignment="1">
      <alignment horizontal="left" vertical="center"/>
    </xf>
    <xf numFmtId="3" fontId="0" fillId="0" borderId="0" xfId="0" quotePrefix="1" applyNumberFormat="1" applyAlignment="1">
      <alignment horizontal="right" vertical="center" readingOrder="2"/>
    </xf>
    <xf numFmtId="3" fontId="0" fillId="0" borderId="8" xfId="0" quotePrefix="1" applyNumberFormat="1" applyBorder="1" applyAlignment="1">
      <alignment horizontal="right" vertical="center" readingOrder="2"/>
    </xf>
    <xf numFmtId="3" fontId="13" fillId="0" borderId="0" xfId="7" applyNumberFormat="1" applyFont="1" applyAlignment="1">
      <alignment horizontal="right" vertical="center"/>
    </xf>
    <xf numFmtId="164" fontId="0" fillId="0" borderId="0" xfId="0" applyNumberFormat="1" applyAlignment="1">
      <alignment horizontal="right" vertical="center" readingOrder="2"/>
    </xf>
    <xf numFmtId="164" fontId="0" fillId="0" borderId="0" xfId="0" quotePrefix="1" applyNumberFormat="1" applyAlignment="1">
      <alignment horizontal="right" vertical="center" readingOrder="2"/>
    </xf>
    <xf numFmtId="164" fontId="0" fillId="0" borderId="0" xfId="0" quotePrefix="1" applyNumberFormat="1" applyFill="1" applyAlignment="1">
      <alignment horizontal="right" vertical="center" readingOrder="2"/>
    </xf>
    <xf numFmtId="164" fontId="0" fillId="0" borderId="0" xfId="0" applyNumberFormat="1" applyFill="1" applyAlignment="1">
      <alignment horizontal="right" vertical="center" readingOrder="2"/>
    </xf>
    <xf numFmtId="164" fontId="7" fillId="0" borderId="0" xfId="1" quotePrefix="1" applyNumberFormat="1" applyFont="1" applyFill="1" applyBorder="1" applyAlignment="1" applyProtection="1">
      <alignment horizontal="right" vertical="center" readingOrder="2"/>
      <protection locked="0"/>
    </xf>
    <xf numFmtId="164" fontId="7" fillId="0" borderId="0" xfId="1" applyNumberFormat="1" applyFont="1" applyFill="1" applyAlignment="1" applyProtection="1">
      <alignment horizontal="right" vertical="center"/>
      <protection locked="0"/>
    </xf>
    <xf numFmtId="164" fontId="7" fillId="0" borderId="0" xfId="1" quotePrefix="1" applyNumberFormat="1" applyFont="1" applyFill="1" applyBorder="1" applyAlignment="1" applyProtection="1">
      <alignment horizontal="right" vertical="center"/>
      <protection locked="0"/>
    </xf>
    <xf numFmtId="49" fontId="7" fillId="0" borderId="0" xfId="3" applyNumberFormat="1" applyFont="1" applyBorder="1" applyAlignment="1" applyProtection="1">
      <alignment horizontal="left" vertical="center"/>
      <protection locked="0"/>
    </xf>
    <xf numFmtId="49" fontId="13" fillId="0" borderId="0" xfId="7" applyNumberFormat="1" applyFont="1"/>
    <xf numFmtId="3" fontId="0" fillId="0" borderId="13" xfId="0" applyNumberFormat="1" applyBorder="1" applyAlignment="1">
      <alignment horizontal="right" vertical="center"/>
    </xf>
    <xf numFmtId="49" fontId="12" fillId="0" borderId="13" xfId="0" applyNumberFormat="1" applyFont="1" applyBorder="1" applyAlignment="1">
      <alignment horizontal="left" vertical="center" readingOrder="1"/>
    </xf>
    <xf numFmtId="0" fontId="0" fillId="0" borderId="13" xfId="0" applyBorder="1" applyAlignment="1">
      <alignment vertical="center"/>
    </xf>
    <xf numFmtId="0" fontId="0" fillId="0" borderId="0" xfId="0" applyBorder="1" applyAlignment="1">
      <alignment vertical="center"/>
    </xf>
    <xf numFmtId="49" fontId="0" fillId="0" borderId="0" xfId="0" applyNumberFormat="1" applyBorder="1" applyAlignment="1">
      <alignment horizontal="left" vertical="center" indent="2" readingOrder="1"/>
    </xf>
    <xf numFmtId="3" fontId="0" fillId="0" borderId="5" xfId="0" applyNumberFormat="1" applyBorder="1" applyAlignment="1">
      <alignment horizontal="right" vertical="center" readingOrder="2"/>
    </xf>
    <xf numFmtId="49" fontId="12" fillId="0" borderId="5" xfId="0" applyNumberFormat="1" applyFont="1" applyBorder="1" applyAlignment="1">
      <alignment horizontal="left" vertical="center" readingOrder="1"/>
    </xf>
    <xf numFmtId="3" fontId="0" fillId="0" borderId="0" xfId="0" applyNumberFormat="1" applyBorder="1" applyAlignment="1">
      <alignment horizontal="right" vertical="center"/>
    </xf>
    <xf numFmtId="3" fontId="13" fillId="0" borderId="13" xfId="8" applyNumberFormat="1" applyFont="1" applyBorder="1" applyAlignment="1">
      <alignment horizontal="right" vertical="center"/>
    </xf>
    <xf numFmtId="49" fontId="14" fillId="0" borderId="13" xfId="7" applyNumberFormat="1" applyFont="1" applyBorder="1" applyAlignment="1">
      <alignment horizontal="left" vertical="center"/>
    </xf>
    <xf numFmtId="49" fontId="13" fillId="0" borderId="13" xfId="8" applyNumberFormat="1" applyFont="1" applyBorder="1" applyAlignment="1">
      <alignment horizontal="right" vertical="center"/>
    </xf>
    <xf numFmtId="0" fontId="0" fillId="0" borderId="0" xfId="0" applyAlignment="1">
      <alignment horizontal="left" vertical="center" readingOrder="1"/>
    </xf>
    <xf numFmtId="49" fontId="0" fillId="0" borderId="0" xfId="0" applyNumberFormat="1" applyAlignment="1">
      <alignment horizontal="left" vertical="center" readingOrder="1"/>
    </xf>
    <xf numFmtId="49" fontId="14" fillId="0" borderId="0" xfId="7" applyNumberFormat="1" applyFont="1" applyAlignment="1">
      <alignment horizontal="left" vertical="center"/>
    </xf>
    <xf numFmtId="49" fontId="0" fillId="0" borderId="13" xfId="0" applyNumberFormat="1" applyBorder="1" applyAlignment="1">
      <alignment horizontal="center" vertical="center"/>
    </xf>
    <xf numFmtId="49" fontId="0" fillId="0" borderId="0" xfId="0" applyNumberFormat="1" applyAlignment="1">
      <alignment horizontal="center" vertical="center"/>
    </xf>
    <xf numFmtId="49" fontId="0" fillId="0" borderId="0" xfId="0" applyNumberFormat="1" applyFill="1" applyAlignment="1">
      <alignment horizontal="left" vertical="center" readingOrder="1"/>
    </xf>
    <xf numFmtId="49" fontId="0" fillId="0" borderId="0" xfId="0" applyNumberFormat="1" applyFill="1" applyBorder="1" applyAlignment="1">
      <alignment horizontal="left" vertical="center" readingOrder="1"/>
    </xf>
    <xf numFmtId="49" fontId="0" fillId="0" borderId="8" xfId="0" applyNumberFormat="1" applyFill="1" applyBorder="1" applyAlignment="1">
      <alignment horizontal="center" vertical="center"/>
    </xf>
    <xf numFmtId="49" fontId="7" fillId="0" borderId="0" xfId="1" applyNumberFormat="1" applyFont="1" applyFill="1" applyAlignment="1" applyProtection="1">
      <alignment horizontal="center" vertical="center"/>
      <protection locked="0"/>
    </xf>
    <xf numFmtId="49" fontId="7" fillId="0" borderId="5" xfId="1" applyNumberFormat="1" applyFont="1" applyFill="1" applyBorder="1" applyAlignment="1" applyProtection="1">
      <alignment horizontal="center" vertical="center"/>
      <protection locked="0"/>
    </xf>
    <xf numFmtId="49" fontId="8" fillId="0" borderId="0" xfId="1" applyNumberFormat="1" applyFont="1" applyFill="1" applyAlignment="1" applyProtection="1">
      <alignment horizontal="left" vertical="center" readingOrder="1"/>
      <protection locked="0"/>
    </xf>
    <xf numFmtId="49" fontId="7" fillId="0" borderId="0" xfId="3" applyNumberFormat="1" applyFont="1" applyAlignment="1" applyProtection="1">
      <alignment horizontal="center" vertical="center"/>
      <protection locked="0"/>
    </xf>
    <xf numFmtId="49" fontId="0" fillId="0" borderId="0" xfId="0" applyNumberFormat="1" applyAlignment="1">
      <alignment horizontal="left" vertical="center" readingOrder="1"/>
    </xf>
    <xf numFmtId="49" fontId="8" fillId="0" borderId="0" xfId="3" applyNumberFormat="1" applyFont="1" applyAlignment="1" applyProtection="1">
      <alignment horizontal="left" vertical="center" readingOrder="1"/>
      <protection locked="0"/>
    </xf>
    <xf numFmtId="49" fontId="14" fillId="0" borderId="0" xfId="7" applyNumberFormat="1" applyFont="1" applyAlignment="1">
      <alignment horizontal="left" vertical="center"/>
    </xf>
    <xf numFmtId="0" fontId="0" fillId="0" borderId="8" xfId="0" applyFill="1" applyBorder="1" applyAlignment="1">
      <alignment vertical="center"/>
    </xf>
    <xf numFmtId="0" fontId="12" fillId="0" borderId="8" xfId="0" applyFont="1" applyFill="1" applyBorder="1" applyAlignment="1">
      <alignment horizontal="left" vertical="center"/>
    </xf>
    <xf numFmtId="49" fontId="0" fillId="0" borderId="8" xfId="0" applyNumberFormat="1" applyFill="1" applyBorder="1" applyAlignment="1">
      <alignment horizontal="right" vertical="center"/>
    </xf>
    <xf numFmtId="49" fontId="0" fillId="0" borderId="14" xfId="0" applyNumberFormat="1" applyFill="1" applyBorder="1" applyAlignment="1">
      <alignment horizontal="left" vertical="center" indent="2" readingOrder="1"/>
    </xf>
    <xf numFmtId="49" fontId="12" fillId="0" borderId="14" xfId="0" applyNumberFormat="1" applyFont="1" applyFill="1" applyBorder="1" applyAlignment="1">
      <alignment horizontal="left" vertical="center" readingOrder="1"/>
    </xf>
    <xf numFmtId="49" fontId="12" fillId="0" borderId="14" xfId="0" applyNumberFormat="1" applyFont="1" applyFill="1" applyBorder="1" applyAlignment="1">
      <alignment horizontal="right" vertical="center" readingOrder="2"/>
    </xf>
    <xf numFmtId="49" fontId="0" fillId="0" borderId="14" xfId="0" applyNumberFormat="1" applyFill="1" applyBorder="1" applyAlignment="1">
      <alignment horizontal="left" vertical="center" indent="3" readingOrder="1"/>
    </xf>
    <xf numFmtId="3" fontId="0" fillId="0" borderId="13" xfId="0" applyNumberFormat="1" applyFill="1" applyBorder="1" applyAlignment="1">
      <alignment horizontal="right" vertical="center" readingOrder="2"/>
    </xf>
    <xf numFmtId="164" fontId="0" fillId="0" borderId="13" xfId="0" applyNumberFormat="1" applyFill="1" applyBorder="1" applyAlignment="1">
      <alignment horizontal="right" vertical="center" readingOrder="2"/>
    </xf>
    <xf numFmtId="49" fontId="12" fillId="0" borderId="13" xfId="0" applyNumberFormat="1" applyFont="1" applyFill="1" applyBorder="1" applyAlignment="1">
      <alignment horizontal="left" vertical="center" readingOrder="1"/>
    </xf>
    <xf numFmtId="49" fontId="0" fillId="0" borderId="13" xfId="0" applyNumberFormat="1" applyFill="1" applyBorder="1" applyAlignment="1">
      <alignment horizontal="left" vertical="center" indent="1" readingOrder="1"/>
    </xf>
    <xf numFmtId="49" fontId="7" fillId="0" borderId="8" xfId="4" applyNumberFormat="1" applyFont="1" applyFill="1" applyBorder="1" applyAlignment="1" applyProtection="1">
      <alignment horizontal="right" vertical="center" readingOrder="2"/>
      <protection locked="0"/>
    </xf>
    <xf numFmtId="3" fontId="0" fillId="0" borderId="13" xfId="0" applyNumberFormat="1" applyBorder="1" applyAlignment="1">
      <alignment horizontal="right" vertical="center" readingOrder="2"/>
    </xf>
    <xf numFmtId="49" fontId="7" fillId="0" borderId="7" xfId="4" applyNumberFormat="1" applyFont="1" applyFill="1" applyBorder="1" applyAlignment="1" applyProtection="1">
      <alignment horizontal="right" vertical="center" readingOrder="2"/>
      <protection locked="0"/>
    </xf>
    <xf numFmtId="164" fontId="0" fillId="0" borderId="13" xfId="0" applyNumberFormat="1" applyBorder="1" applyAlignment="1">
      <alignment horizontal="right" vertical="center" readingOrder="2"/>
    </xf>
    <xf numFmtId="49" fontId="7" fillId="0" borderId="13" xfId="4" applyNumberFormat="1" applyFont="1" applyFill="1" applyBorder="1" applyAlignment="1" applyProtection="1">
      <alignment horizontal="right" vertical="center" readingOrder="2"/>
      <protection locked="0"/>
    </xf>
    <xf numFmtId="49" fontId="0" fillId="0" borderId="13" xfId="0" applyNumberFormat="1" applyFill="1" applyBorder="1" applyAlignment="1">
      <alignment horizontal="left" vertical="center" readingOrder="1"/>
    </xf>
    <xf numFmtId="49" fontId="12" fillId="0" borderId="13" xfId="0" applyNumberFormat="1" applyFont="1" applyBorder="1" applyAlignment="1">
      <alignment vertical="center"/>
    </xf>
    <xf numFmtId="49" fontId="0" fillId="0" borderId="13" xfId="0" applyNumberFormat="1" applyBorder="1" applyAlignment="1">
      <alignment horizontal="left" vertical="center" readingOrder="1"/>
    </xf>
    <xf numFmtId="49" fontId="0" fillId="0" borderId="13" xfId="0" applyNumberFormat="1" applyBorder="1" applyAlignment="1">
      <alignment horizontal="left" vertical="center" indent="1" readingOrder="1"/>
    </xf>
    <xf numFmtId="49" fontId="0" fillId="0" borderId="13" xfId="0" applyNumberFormat="1" applyBorder="1" applyAlignment="1">
      <alignment horizontal="left" vertical="center" indent="2" readingOrder="1"/>
    </xf>
    <xf numFmtId="49" fontId="0" fillId="0" borderId="13" xfId="0" applyNumberFormat="1" applyFill="1" applyBorder="1" applyAlignment="1">
      <alignment horizontal="center" vertical="center"/>
    </xf>
    <xf numFmtId="49" fontId="12" fillId="0" borderId="13" xfId="0" applyNumberFormat="1" applyFont="1" applyFill="1" applyBorder="1" applyAlignment="1">
      <alignment horizontal="left" vertical="center"/>
    </xf>
    <xf numFmtId="0" fontId="0" fillId="0" borderId="13" xfId="0" applyFill="1" applyBorder="1" applyAlignment="1">
      <alignment vertical="center"/>
    </xf>
    <xf numFmtId="49" fontId="0" fillId="0" borderId="8" xfId="0" applyNumberFormat="1" applyFill="1" applyBorder="1" applyAlignment="1">
      <alignment horizontal="right" vertical="center" readingOrder="2"/>
    </xf>
    <xf numFmtId="2" fontId="0" fillId="0" borderId="13" xfId="0" applyNumberFormat="1" applyBorder="1" applyAlignment="1">
      <alignment horizontal="right" vertical="center"/>
    </xf>
    <xf numFmtId="2" fontId="0" fillId="0" borderId="13" xfId="0" applyNumberFormat="1" applyBorder="1" applyAlignment="1">
      <alignment vertical="center"/>
    </xf>
    <xf numFmtId="2" fontId="0" fillId="0" borderId="13" xfId="0" applyNumberFormat="1" applyFill="1" applyBorder="1" applyAlignment="1">
      <alignment horizontal="right" vertical="center"/>
    </xf>
    <xf numFmtId="3" fontId="0" fillId="0" borderId="13" xfId="0" applyNumberFormat="1" applyFill="1" applyBorder="1" applyAlignment="1">
      <alignment horizontal="right" vertical="center"/>
    </xf>
    <xf numFmtId="49" fontId="0" fillId="0" borderId="13" xfId="0" applyNumberFormat="1" applyFill="1" applyBorder="1" applyAlignment="1">
      <alignment vertical="center"/>
    </xf>
    <xf numFmtId="0" fontId="12" fillId="0" borderId="13" xfId="0" applyFont="1" applyFill="1" applyBorder="1" applyAlignment="1">
      <alignment horizontal="left" vertical="center"/>
    </xf>
    <xf numFmtId="49" fontId="0" fillId="0" borderId="8" xfId="0" applyNumberFormat="1" applyFill="1" applyBorder="1" applyAlignment="1">
      <alignment horizontal="left" vertical="center" indent="2" readingOrder="1"/>
    </xf>
    <xf numFmtId="3" fontId="0" fillId="0" borderId="12" xfId="0" applyNumberFormat="1" applyFill="1" applyBorder="1" applyAlignment="1">
      <alignment horizontal="right" vertical="center" readingOrder="2"/>
    </xf>
    <xf numFmtId="49" fontId="12" fillId="0" borderId="12" xfId="0" applyNumberFormat="1" applyFont="1" applyFill="1" applyBorder="1" applyAlignment="1">
      <alignment horizontal="left" vertical="center" readingOrder="1"/>
    </xf>
    <xf numFmtId="0" fontId="12" fillId="0" borderId="12" xfId="0" applyFont="1" applyFill="1" applyBorder="1" applyAlignment="1">
      <alignment horizontal="left" vertical="center"/>
    </xf>
    <xf numFmtId="49" fontId="7" fillId="0" borderId="15" xfId="1" applyNumberFormat="1" applyFont="1" applyFill="1" applyBorder="1" applyAlignment="1" applyProtection="1">
      <alignment vertical="center"/>
      <protection locked="0"/>
    </xf>
    <xf numFmtId="49" fontId="7" fillId="0" borderId="15" xfId="1" applyNumberFormat="1" applyFont="1" applyFill="1" applyBorder="1" applyAlignment="1" applyProtection="1">
      <alignment horizontal="center" vertical="center"/>
      <protection locked="0"/>
    </xf>
    <xf numFmtId="49" fontId="8" fillId="0" borderId="15" xfId="1" applyNumberFormat="1" applyFont="1" applyFill="1" applyBorder="1" applyAlignment="1" applyProtection="1">
      <alignment horizontal="left" vertical="center" readingOrder="1"/>
      <protection locked="0"/>
    </xf>
    <xf numFmtId="49" fontId="7" fillId="0" borderId="16" xfId="1" applyNumberFormat="1" applyFont="1" applyFill="1" applyBorder="1" applyAlignment="1" applyProtection="1">
      <alignment horizontal="center" vertical="center"/>
      <protection locked="0"/>
    </xf>
    <xf numFmtId="49" fontId="7" fillId="0" borderId="16" xfId="1" quotePrefix="1" applyNumberFormat="1" applyFont="1" applyFill="1" applyBorder="1" applyAlignment="1" applyProtection="1">
      <alignment horizontal="right" vertical="center" readingOrder="2"/>
      <protection locked="0"/>
    </xf>
    <xf numFmtId="49" fontId="8" fillId="0" borderId="16" xfId="1" applyNumberFormat="1" applyFont="1" applyFill="1" applyBorder="1" applyAlignment="1" applyProtection="1">
      <alignment horizontal="left" vertical="center" readingOrder="1"/>
      <protection locked="0"/>
    </xf>
    <xf numFmtId="3" fontId="7" fillId="0" borderId="16" xfId="1" quotePrefix="1" applyNumberFormat="1" applyFont="1" applyFill="1" applyBorder="1" applyAlignment="1" applyProtection="1">
      <alignment horizontal="right" vertical="center" readingOrder="2"/>
      <protection locked="0"/>
    </xf>
    <xf numFmtId="3" fontId="7" fillId="0" borderId="12" xfId="1" applyNumberFormat="1" applyFont="1" applyFill="1" applyBorder="1" applyAlignment="1" applyProtection="1">
      <alignment horizontal="right" vertical="center" readingOrder="2"/>
      <protection locked="0"/>
    </xf>
    <xf numFmtId="49" fontId="8" fillId="0" borderId="12" xfId="1" applyNumberFormat="1" applyFont="1" applyFill="1" applyBorder="1" applyAlignment="1" applyProtection="1">
      <alignment horizontal="left" vertical="center" readingOrder="1"/>
      <protection locked="0"/>
    </xf>
    <xf numFmtId="49" fontId="7" fillId="0" borderId="15" xfId="1" quotePrefix="1" applyNumberFormat="1" applyFont="1" applyFill="1" applyBorder="1" applyAlignment="1" applyProtection="1">
      <alignment horizontal="left" vertical="center"/>
      <protection locked="0"/>
    </xf>
    <xf numFmtId="49" fontId="7" fillId="0" borderId="17" xfId="1" applyNumberFormat="1" applyFont="1" applyFill="1" applyBorder="1" applyAlignment="1" applyProtection="1">
      <alignment horizontal="left" vertical="center" indent="1"/>
      <protection locked="0"/>
    </xf>
    <xf numFmtId="3" fontId="7" fillId="0" borderId="13" xfId="1" quotePrefix="1" applyNumberFormat="1" applyFont="1" applyFill="1" applyBorder="1" applyAlignment="1" applyProtection="1">
      <alignment horizontal="right" vertical="center"/>
      <protection locked="0"/>
    </xf>
    <xf numFmtId="49" fontId="7" fillId="0" borderId="18" xfId="1" applyNumberFormat="1" applyFont="1" applyFill="1" applyBorder="1" applyAlignment="1" applyProtection="1">
      <alignment horizontal="left" vertical="center" indent="2"/>
      <protection locked="0"/>
    </xf>
    <xf numFmtId="3" fontId="7" fillId="0" borderId="19" xfId="1" applyNumberFormat="1" applyFont="1" applyFill="1" applyBorder="1" applyAlignment="1" applyProtection="1">
      <alignment horizontal="right" vertical="center"/>
      <protection locked="0"/>
    </xf>
    <xf numFmtId="49" fontId="8" fillId="0" borderId="19" xfId="1" applyNumberFormat="1" applyFont="1" applyFill="1" applyBorder="1" applyAlignment="1">
      <alignment horizontal="left" vertical="center" readingOrder="1"/>
    </xf>
    <xf numFmtId="49" fontId="8" fillId="0" borderId="13" xfId="1" applyNumberFormat="1" applyFont="1" applyFill="1" applyBorder="1" applyAlignment="1" applyProtection="1">
      <alignment horizontal="left" vertical="center" readingOrder="1"/>
      <protection locked="0"/>
    </xf>
    <xf numFmtId="3" fontId="7" fillId="0" borderId="13" xfId="1" applyNumberFormat="1" applyFont="1" applyFill="1" applyBorder="1" applyAlignment="1" applyProtection="1">
      <alignment horizontal="right" vertical="center"/>
      <protection locked="0"/>
    </xf>
    <xf numFmtId="49" fontId="8" fillId="0" borderId="20" xfId="1" applyNumberFormat="1" applyFont="1" applyFill="1" applyBorder="1" applyAlignment="1">
      <alignment horizontal="left" vertical="center" readingOrder="1"/>
    </xf>
    <xf numFmtId="3" fontId="7" fillId="0" borderId="20" xfId="1" applyNumberFormat="1" applyFont="1" applyFill="1" applyBorder="1" applyAlignment="1" applyProtection="1">
      <alignment horizontal="right" vertical="center"/>
      <protection locked="0"/>
    </xf>
    <xf numFmtId="49" fontId="7" fillId="0" borderId="13" xfId="3" applyNumberFormat="1" applyFont="1" applyBorder="1" applyAlignment="1" applyProtection="1">
      <alignment horizontal="center" vertical="center"/>
      <protection locked="0"/>
    </xf>
    <xf numFmtId="49" fontId="7" fillId="0" borderId="13" xfId="3" applyNumberFormat="1" applyFont="1" applyBorder="1" applyAlignment="1" applyProtection="1">
      <alignment vertical="center"/>
      <protection locked="0"/>
    </xf>
    <xf numFmtId="49" fontId="8" fillId="0" borderId="13" xfId="3" applyNumberFormat="1" applyFont="1" applyBorder="1" applyAlignment="1" applyProtection="1">
      <alignment horizontal="left" vertical="center" readingOrder="1"/>
      <protection locked="0"/>
    </xf>
    <xf numFmtId="49" fontId="7" fillId="0" borderId="17" xfId="3" applyNumberFormat="1" applyFont="1" applyBorder="1" applyAlignment="1" applyProtection="1">
      <alignment horizontal="left" vertical="center" readingOrder="1"/>
      <protection locked="0"/>
    </xf>
    <xf numFmtId="49" fontId="7" fillId="0" borderId="17" xfId="1" applyNumberFormat="1" applyFont="1" applyBorder="1" applyAlignment="1" applyProtection="1">
      <alignment horizontal="left" vertical="center" readingOrder="1"/>
      <protection locked="0"/>
    </xf>
    <xf numFmtId="3" fontId="7" fillId="0" borderId="13" xfId="1" applyNumberFormat="1" applyFont="1" applyBorder="1" applyAlignment="1">
      <alignment horizontal="right" vertical="center" readingOrder="2"/>
    </xf>
    <xf numFmtId="49" fontId="8" fillId="0" borderId="13" xfId="1" applyNumberFormat="1" applyFont="1" applyBorder="1" applyAlignment="1">
      <alignment horizontal="left" vertical="center" readingOrder="1"/>
    </xf>
    <xf numFmtId="49" fontId="7" fillId="0" borderId="17" xfId="1" applyNumberFormat="1" applyFont="1" applyBorder="1" applyAlignment="1" applyProtection="1">
      <alignment horizontal="left" vertical="center" indent="1" readingOrder="1"/>
      <protection locked="0"/>
    </xf>
    <xf numFmtId="0" fontId="7" fillId="0" borderId="13" xfId="1" applyFont="1" applyBorder="1" applyAlignment="1" applyProtection="1">
      <alignment vertical="center" justifyLastLine="1"/>
      <protection locked="0"/>
    </xf>
    <xf numFmtId="49" fontId="13" fillId="0" borderId="1" xfId="7" applyNumberFormat="1" applyFont="1" applyBorder="1" applyAlignment="1">
      <alignment horizontal="center" vertical="center"/>
    </xf>
    <xf numFmtId="49" fontId="13" fillId="0" borderId="1" xfId="8" applyNumberFormat="1" applyFont="1" applyBorder="1" applyAlignment="1">
      <alignment horizontal="right" vertical="center"/>
    </xf>
    <xf numFmtId="49" fontId="14" fillId="0" borderId="1" xfId="7" applyNumberFormat="1" applyFont="1" applyBorder="1" applyAlignment="1">
      <alignment horizontal="left" vertical="center"/>
    </xf>
    <xf numFmtId="49" fontId="13" fillId="0" borderId="1" xfId="7" applyNumberFormat="1" applyFont="1" applyBorder="1" applyAlignment="1">
      <alignment horizontal="left" vertical="center"/>
    </xf>
    <xf numFmtId="49" fontId="13" fillId="0" borderId="1" xfId="7" applyNumberFormat="1" applyFont="1" applyBorder="1" applyAlignment="1">
      <alignment horizontal="left" vertical="center" indent="1"/>
    </xf>
    <xf numFmtId="49" fontId="13" fillId="0" borderId="1" xfId="7" applyNumberFormat="1" applyFont="1" applyBorder="1" applyAlignment="1">
      <alignment horizontal="left" vertical="center" indent="2"/>
    </xf>
    <xf numFmtId="3" fontId="13" fillId="0" borderId="21" xfId="8" applyNumberFormat="1" applyFont="1" applyBorder="1" applyAlignment="1">
      <alignment horizontal="right" vertical="center"/>
    </xf>
    <xf numFmtId="49" fontId="14" fillId="0" borderId="21" xfId="7" applyNumberFormat="1" applyFont="1" applyBorder="1" applyAlignment="1">
      <alignment horizontal="left" vertical="center"/>
    </xf>
    <xf numFmtId="49" fontId="13" fillId="0" borderId="20" xfId="7" applyNumberFormat="1" applyFont="1" applyBorder="1" applyAlignment="1">
      <alignment horizontal="left" vertical="center" indent="3"/>
    </xf>
    <xf numFmtId="49" fontId="13" fillId="0" borderId="0" xfId="0" applyNumberFormat="1" applyFont="1" applyFill="1" applyAlignment="1">
      <alignment horizontal="left" vertical="center"/>
    </xf>
    <xf numFmtId="49" fontId="10" fillId="0" borderId="0" xfId="0" applyNumberFormat="1" applyFont="1" applyFill="1" applyBorder="1" applyAlignment="1">
      <alignment horizontal="left" vertical="center" readingOrder="1"/>
    </xf>
    <xf numFmtId="49" fontId="13" fillId="0" borderId="0" xfId="0" applyNumberFormat="1" applyFont="1" applyFill="1" applyAlignment="1">
      <alignment horizontal="left" vertical="center" wrapText="1" readingOrder="1"/>
    </xf>
    <xf numFmtId="49" fontId="13" fillId="0" borderId="0" xfId="0" applyNumberFormat="1" applyFont="1" applyAlignment="1">
      <alignment horizontal="left" vertical="center" wrapText="1" readingOrder="1"/>
    </xf>
    <xf numFmtId="49" fontId="0" fillId="0" borderId="0" xfId="0" applyNumberFormat="1" applyFill="1" applyAlignment="1">
      <alignment horizontal="center" vertical="center"/>
    </xf>
    <xf numFmtId="49" fontId="0" fillId="0" borderId="14" xfId="0" applyNumberFormat="1" applyFill="1" applyBorder="1" applyAlignment="1">
      <alignment horizontal="center" vertical="center"/>
    </xf>
    <xf numFmtId="0" fontId="0" fillId="0" borderId="13" xfId="0" applyBorder="1" applyAlignment="1">
      <alignment horizontal="center" vertical="center"/>
    </xf>
    <xf numFmtId="49" fontId="0" fillId="0" borderId="13" xfId="0" applyNumberFormat="1" applyBorder="1" applyAlignment="1">
      <alignment horizontal="center" vertical="center"/>
    </xf>
    <xf numFmtId="49" fontId="0" fillId="0" borderId="0" xfId="0" applyNumberFormat="1" applyAlignment="1">
      <alignment horizontal="center" vertical="center"/>
    </xf>
    <xf numFmtId="49" fontId="13" fillId="0" borderId="0" xfId="0" applyNumberFormat="1" applyFont="1" applyAlignment="1">
      <alignment horizontal="left" vertical="center" readingOrder="1"/>
    </xf>
    <xf numFmtId="49" fontId="13" fillId="0" borderId="5" xfId="0" applyNumberFormat="1" applyFont="1" applyBorder="1" applyAlignment="1">
      <alignment horizontal="left" vertical="center" readingOrder="1"/>
    </xf>
    <xf numFmtId="49" fontId="0" fillId="0" borderId="5" xfId="0" applyNumberFormat="1" applyBorder="1" applyAlignment="1">
      <alignment horizontal="left" vertical="center" readingOrder="1"/>
    </xf>
    <xf numFmtId="49" fontId="0" fillId="0" borderId="13" xfId="0" applyNumberFormat="1" applyFill="1" applyBorder="1" applyAlignment="1">
      <alignment horizontal="center" vertical="center"/>
    </xf>
    <xf numFmtId="49" fontId="13" fillId="0" borderId="5" xfId="0" applyNumberFormat="1" applyFont="1" applyFill="1" applyBorder="1" applyAlignment="1">
      <alignment horizontal="left" vertical="center" readingOrder="1"/>
    </xf>
    <xf numFmtId="49" fontId="0" fillId="0" borderId="5" xfId="0" applyNumberFormat="1" applyFont="1" applyFill="1" applyBorder="1" applyAlignment="1">
      <alignment horizontal="left" vertical="center" readingOrder="1"/>
    </xf>
    <xf numFmtId="49" fontId="13" fillId="0" borderId="0" xfId="0" applyNumberFormat="1" applyFont="1" applyFill="1" applyBorder="1" applyAlignment="1">
      <alignment horizontal="left" vertical="center" wrapText="1" readingOrder="1"/>
    </xf>
    <xf numFmtId="49" fontId="0" fillId="0" borderId="0" xfId="0" applyNumberFormat="1" applyFill="1" applyAlignment="1">
      <alignment horizontal="left" vertical="center" readingOrder="1"/>
    </xf>
    <xf numFmtId="49" fontId="13" fillId="0" borderId="0" xfId="0" applyNumberFormat="1" applyFont="1" applyFill="1" applyBorder="1" applyAlignment="1">
      <alignment horizontal="left" vertical="center" readingOrder="1"/>
    </xf>
    <xf numFmtId="49" fontId="0" fillId="0" borderId="0" xfId="0" applyNumberFormat="1" applyFill="1" applyBorder="1" applyAlignment="1">
      <alignment horizontal="left" vertical="center" readingOrder="1"/>
    </xf>
    <xf numFmtId="49" fontId="0" fillId="0" borderId="0" xfId="0" applyNumberFormat="1" applyFill="1" applyAlignment="1">
      <alignment horizontal="left" vertical="center"/>
    </xf>
    <xf numFmtId="49" fontId="0" fillId="0" borderId="8" xfId="0" applyNumberFormat="1" applyFill="1" applyBorder="1" applyAlignment="1">
      <alignment horizontal="center" vertical="center"/>
    </xf>
    <xf numFmtId="49" fontId="7" fillId="0" borderId="0" xfId="1" applyNumberFormat="1" applyFont="1" applyFill="1" applyAlignment="1" applyProtection="1">
      <alignment horizontal="center" vertical="center"/>
      <protection locked="0"/>
    </xf>
    <xf numFmtId="49" fontId="7" fillId="0" borderId="13" xfId="1" applyNumberFormat="1" applyFont="1" applyFill="1" applyBorder="1" applyAlignment="1" applyProtection="1">
      <alignment horizontal="center" vertical="center"/>
      <protection locked="0"/>
    </xf>
    <xf numFmtId="49" fontId="7" fillId="0" borderId="15" xfId="1" applyNumberFormat="1" applyFont="1" applyFill="1" applyBorder="1" applyAlignment="1" applyProtection="1">
      <alignment horizontal="center" vertical="center"/>
      <protection locked="0"/>
    </xf>
    <xf numFmtId="49" fontId="7" fillId="0" borderId="0" xfId="1" applyNumberFormat="1" applyFont="1" applyFill="1" applyAlignment="1" applyProtection="1">
      <alignment horizontal="left" vertical="center" readingOrder="1"/>
      <protection locked="0"/>
    </xf>
    <xf numFmtId="49" fontId="7" fillId="0" borderId="5" xfId="1" applyNumberFormat="1" applyFont="1" applyFill="1" applyBorder="1" applyAlignment="1" applyProtection="1">
      <alignment horizontal="center" vertical="center"/>
      <protection locked="0"/>
    </xf>
    <xf numFmtId="49" fontId="7" fillId="0" borderId="5" xfId="1" quotePrefix="1" applyNumberFormat="1" applyFont="1" applyFill="1" applyBorder="1" applyAlignment="1" applyProtection="1">
      <alignment horizontal="left" vertical="center" readingOrder="1"/>
      <protection locked="0"/>
    </xf>
    <xf numFmtId="49" fontId="8" fillId="0" borderId="0" xfId="1" applyNumberFormat="1" applyFont="1" applyFill="1" applyAlignment="1" applyProtection="1">
      <alignment horizontal="left" vertical="center" readingOrder="1"/>
      <protection locked="0"/>
    </xf>
    <xf numFmtId="49" fontId="8" fillId="0" borderId="0" xfId="0" applyNumberFormat="1" applyFont="1" applyFill="1" applyAlignment="1" applyProtection="1">
      <alignment horizontal="left" vertical="center" readingOrder="1"/>
      <protection locked="0"/>
    </xf>
    <xf numFmtId="49" fontId="7" fillId="0" borderId="0" xfId="1" applyNumberFormat="1" applyFont="1" applyFill="1" applyBorder="1" applyAlignment="1" applyProtection="1">
      <alignment horizontal="left" vertical="center" wrapText="1"/>
      <protection locked="0"/>
    </xf>
    <xf numFmtId="49" fontId="7" fillId="0" borderId="0" xfId="1" applyNumberFormat="1" applyFont="1" applyFill="1" applyBorder="1" applyAlignment="1" applyProtection="1">
      <alignment horizontal="left" vertical="center" readingOrder="1"/>
      <protection locked="0"/>
    </xf>
    <xf numFmtId="49" fontId="7" fillId="0" borderId="16" xfId="1" applyNumberFormat="1" applyFont="1" applyFill="1" applyBorder="1" applyAlignment="1" applyProtection="1">
      <alignment horizontal="center" vertical="center"/>
      <protection locked="0"/>
    </xf>
    <xf numFmtId="49" fontId="13" fillId="0" borderId="0" xfId="18" applyNumberFormat="1" applyFont="1" applyFill="1" applyAlignment="1" applyProtection="1">
      <alignment horizontal="left" vertical="center" readingOrder="1"/>
      <protection locked="0"/>
    </xf>
    <xf numFmtId="49" fontId="13" fillId="0" borderId="0" xfId="1" applyNumberFormat="1" applyFont="1" applyAlignment="1" applyProtection="1">
      <alignment horizontal="left" vertical="center" readingOrder="1"/>
      <protection locked="0"/>
    </xf>
    <xf numFmtId="49" fontId="7" fillId="0" borderId="0" xfId="3" applyNumberFormat="1" applyFont="1" applyAlignment="1" applyProtection="1">
      <alignment horizontal="center" vertical="center"/>
      <protection locked="0"/>
    </xf>
    <xf numFmtId="49" fontId="7" fillId="0" borderId="13" xfId="3" applyNumberFormat="1" applyFont="1" applyBorder="1" applyAlignment="1" applyProtection="1">
      <alignment horizontal="center" vertical="center"/>
      <protection locked="0"/>
    </xf>
    <xf numFmtId="49" fontId="7" fillId="0" borderId="15" xfId="1" applyNumberFormat="1" applyFont="1" applyBorder="1" applyAlignment="1" applyProtection="1">
      <alignment horizontal="center" vertical="center" justifyLastLine="1"/>
      <protection locked="0"/>
    </xf>
    <xf numFmtId="49" fontId="13" fillId="0" borderId="0" xfId="0" quotePrefix="1" applyNumberFormat="1" applyFont="1" applyAlignment="1">
      <alignment horizontal="left" vertical="center" readingOrder="1"/>
    </xf>
    <xf numFmtId="49" fontId="0" fillId="0" borderId="0" xfId="0" applyNumberFormat="1" applyAlignment="1">
      <alignment horizontal="left" vertical="center" readingOrder="1"/>
    </xf>
    <xf numFmtId="49" fontId="8" fillId="0" borderId="0" xfId="3" applyNumberFormat="1" applyFont="1" applyAlignment="1" applyProtection="1">
      <alignment horizontal="left" vertical="center" wrapText="1" readingOrder="1"/>
      <protection locked="0"/>
    </xf>
    <xf numFmtId="49" fontId="0" fillId="0" borderId="0" xfId="0" applyNumberFormat="1" applyAlignment="1">
      <alignment horizontal="left" vertical="center" wrapText="1" readingOrder="1"/>
    </xf>
    <xf numFmtId="49" fontId="7" fillId="0" borderId="0" xfId="18" applyNumberFormat="1" applyFill="1" applyAlignment="1" applyProtection="1">
      <alignment horizontal="left" vertical="center" wrapText="1" readingOrder="1"/>
      <protection locked="0"/>
    </xf>
    <xf numFmtId="49" fontId="8" fillId="0" borderId="0" xfId="3" applyNumberFormat="1" applyFont="1" applyAlignment="1" applyProtection="1">
      <alignment horizontal="left" vertical="center" readingOrder="1"/>
      <protection locked="0"/>
    </xf>
    <xf numFmtId="49" fontId="7" fillId="0" borderId="0" xfId="3" applyNumberFormat="1" applyFont="1" applyAlignment="1" applyProtection="1">
      <alignment horizontal="left" vertical="center" readingOrder="1"/>
      <protection locked="0"/>
    </xf>
    <xf numFmtId="49" fontId="13" fillId="0" borderId="0" xfId="7" applyNumberFormat="1" applyFont="1" applyAlignment="1">
      <alignment horizontal="left" vertical="center"/>
    </xf>
    <xf numFmtId="49" fontId="15" fillId="0" borderId="0" xfId="7" applyNumberFormat="1" applyAlignment="1">
      <alignment vertical="center"/>
    </xf>
    <xf numFmtId="49" fontId="13" fillId="0" borderId="0" xfId="7" applyNumberFormat="1" applyFont="1" applyAlignment="1">
      <alignment horizontal="center" vertical="center"/>
    </xf>
    <xf numFmtId="49" fontId="13" fillId="0" borderId="0" xfId="7" applyNumberFormat="1" applyFont="1" applyAlignment="1">
      <alignment horizontal="right" vertical="center"/>
    </xf>
    <xf numFmtId="0" fontId="15" fillId="0" borderId="0" xfId="7" applyAlignment="1">
      <alignment horizontal="center" vertical="center"/>
    </xf>
    <xf numFmtId="49" fontId="13" fillId="0" borderId="13" xfId="7" applyNumberFormat="1" applyFont="1" applyBorder="1" applyAlignment="1">
      <alignment horizontal="center" vertical="center"/>
    </xf>
    <xf numFmtId="0" fontId="15" fillId="0" borderId="13" xfId="7" applyBorder="1" applyAlignment="1">
      <alignment horizontal="center" vertical="center"/>
    </xf>
    <xf numFmtId="49" fontId="14" fillId="0" borderId="5" xfId="7" applyNumberFormat="1" applyFont="1" applyBorder="1" applyAlignment="1">
      <alignment horizontal="left" vertical="center"/>
    </xf>
    <xf numFmtId="49" fontId="14" fillId="0" borderId="0" xfId="7" applyNumberFormat="1" applyFont="1" applyAlignment="1">
      <alignment horizontal="left" vertical="center" wrapText="1"/>
    </xf>
    <xf numFmtId="49" fontId="14" fillId="0" borderId="0" xfId="7" applyNumberFormat="1" applyFont="1" applyAlignment="1">
      <alignment horizontal="left" vertical="center"/>
    </xf>
    <xf numFmtId="49" fontId="15" fillId="0" borderId="0" xfId="7" applyNumberFormat="1" applyAlignment="1">
      <alignment horizontal="left" vertical="center"/>
    </xf>
    <xf numFmtId="0" fontId="1" fillId="0" borderId="0" xfId="19"/>
    <xf numFmtId="0" fontId="18" fillId="4" borderId="22" xfId="20" applyFont="1" applyFill="1" applyBorder="1" applyAlignment="1">
      <alignment horizontal="center"/>
    </xf>
    <xf numFmtId="0" fontId="18" fillId="4" borderId="23" xfId="20" applyFont="1" applyFill="1" applyBorder="1" applyAlignment="1">
      <alignment horizontal="center"/>
    </xf>
    <xf numFmtId="0" fontId="18" fillId="4" borderId="24" xfId="20" applyFont="1" applyFill="1" applyBorder="1" applyAlignment="1">
      <alignment horizontal="center"/>
    </xf>
    <xf numFmtId="0" fontId="19" fillId="4" borderId="25" xfId="20" applyFont="1" applyFill="1" applyBorder="1" applyAlignment="1">
      <alignment horizontal="center"/>
    </xf>
    <xf numFmtId="0" fontId="19" fillId="4" borderId="0" xfId="20" applyFont="1" applyFill="1" applyAlignment="1">
      <alignment horizontal="center"/>
    </xf>
    <xf numFmtId="0" fontId="19" fillId="4" borderId="26" xfId="20" applyFont="1" applyFill="1" applyBorder="1" applyAlignment="1">
      <alignment horizontal="center"/>
    </xf>
    <xf numFmtId="0" fontId="20" fillId="4" borderId="25" xfId="19" applyFont="1" applyFill="1" applyBorder="1" applyAlignment="1">
      <alignment horizontal="center"/>
    </xf>
    <xf numFmtId="0" fontId="20" fillId="4" borderId="0" xfId="19" applyFont="1" applyFill="1" applyAlignment="1">
      <alignment horizontal="center"/>
    </xf>
    <xf numFmtId="0" fontId="20" fillId="4" borderId="26" xfId="19" applyFont="1" applyFill="1" applyBorder="1" applyAlignment="1">
      <alignment horizontal="center"/>
    </xf>
    <xf numFmtId="0" fontId="20" fillId="0" borderId="0" xfId="19" applyFont="1"/>
    <xf numFmtId="0" fontId="20" fillId="4" borderId="25" xfId="19" applyFont="1" applyFill="1" applyBorder="1" applyAlignment="1">
      <alignment horizontal="center"/>
    </xf>
    <xf numFmtId="0" fontId="20" fillId="4" borderId="0" xfId="19" applyFont="1" applyFill="1" applyAlignment="1">
      <alignment horizontal="center"/>
    </xf>
    <xf numFmtId="0" fontId="20" fillId="4" borderId="26" xfId="19" applyFont="1" applyFill="1" applyBorder="1" applyAlignment="1">
      <alignment horizontal="center"/>
    </xf>
    <xf numFmtId="0" fontId="21" fillId="4" borderId="25" xfId="19" applyFont="1" applyFill="1" applyBorder="1" applyAlignment="1">
      <alignment horizontal="center" vertical="center" readingOrder="1"/>
    </xf>
    <xf numFmtId="0" fontId="21" fillId="4" borderId="0" xfId="19" applyFont="1" applyFill="1" applyAlignment="1">
      <alignment horizontal="center" vertical="center" readingOrder="1"/>
    </xf>
    <xf numFmtId="0" fontId="21" fillId="4" borderId="26" xfId="19" applyFont="1" applyFill="1" applyBorder="1" applyAlignment="1">
      <alignment horizontal="center" vertical="center" readingOrder="1"/>
    </xf>
    <xf numFmtId="0" fontId="22" fillId="4" borderId="27" xfId="19" applyFont="1" applyFill="1" applyBorder="1" applyAlignment="1">
      <alignment horizontal="centerContinuous" vertical="center" readingOrder="1"/>
    </xf>
    <xf numFmtId="0" fontId="1" fillId="4" borderId="28" xfId="19" applyFill="1" applyBorder="1" applyAlignment="1">
      <alignment horizontal="centerContinuous"/>
    </xf>
    <xf numFmtId="0" fontId="1" fillId="4" borderId="29" xfId="19" applyFill="1" applyBorder="1" applyAlignment="1">
      <alignment horizontal="centerContinuous"/>
    </xf>
  </cellXfs>
  <cellStyles count="21">
    <cellStyle name="Comma 2" xfId="6" xr:uid="{99F65E6F-DB4C-4D0D-9093-05F0CFF293C0}"/>
    <cellStyle name="Comma 2 2" xfId="11" xr:uid="{CA1A31CF-2AB9-431D-BE49-A0184EA43EE5}"/>
    <cellStyle name="Comma 2 2 2" xfId="17" xr:uid="{C564F2F3-88C8-4654-9DAA-B46C4747403E}"/>
    <cellStyle name="Comma 2 3" xfId="14" xr:uid="{044879E1-EC0C-45B5-8795-3DA14E965911}"/>
    <cellStyle name="Comma 3" xfId="8" xr:uid="{962D6357-06A9-4405-A986-116DAA7E7D66}"/>
    <cellStyle name="Normal" xfId="0" builtinId="0"/>
    <cellStyle name="Normal 2" xfId="1" xr:uid="{00000000-0005-0000-0000-000001000000}"/>
    <cellStyle name="Normal 2 2" xfId="20" xr:uid="{3C23DF6E-D6A3-47F8-BFE0-115BCE4768A3}"/>
    <cellStyle name="Normal 2 4" xfId="3" xr:uid="{00000000-0005-0000-0000-000002000000}"/>
    <cellStyle name="Normal 3" xfId="5" xr:uid="{C62951C9-ADC6-4130-BB35-BEC95FEEA0B3}"/>
    <cellStyle name="Normal 3 2" xfId="10" xr:uid="{596D02A7-E046-4CBF-B064-4222D7449131}"/>
    <cellStyle name="Normal 3 2 2" xfId="16" xr:uid="{4F34EA3C-E0FF-46F9-9A4B-2BDE8FE0DB48}"/>
    <cellStyle name="Normal 3 3" xfId="13" xr:uid="{3659C529-BCE5-452A-B563-065C285D0BFF}"/>
    <cellStyle name="Normal 4" xfId="7" xr:uid="{77A5B62C-FDFB-4A7E-8A6A-7D1439A1C02F}"/>
    <cellStyle name="Normal 4 2" xfId="19" xr:uid="{9E20F4DF-7962-4080-B986-014F4BAD4E7F}"/>
    <cellStyle name="Normal_02geu01-10" xfId="18" xr:uid="{45CF7F26-623B-4F9F-845C-AABF7FC1C2A0}"/>
    <cellStyle name="Normal_Combined 2009 Ind Garn Workbook 2" xfId="4" xr:uid="{00000000-0005-0000-0000-000004000000}"/>
    <cellStyle name="Note 2" xfId="2" xr:uid="{00000000-0005-0000-0000-000005000000}"/>
    <cellStyle name="Note 2 2" xfId="9" xr:uid="{4F77E271-57D0-4CFB-83B2-9CB9DF28B9DE}"/>
    <cellStyle name="Note 2 2 2" xfId="15" xr:uid="{C256E69E-56C2-4C44-9D3E-AA6FCBA348E4}"/>
    <cellStyle name="Note 2 3" xfId="12" xr:uid="{4442B99A-9D50-42DC-80EE-119F6BEC7C8F}"/>
  </cellStyles>
  <dxfs count="0"/>
  <tableStyles count="0" defaultTableStyle="TableStyleMedium2" defaultPivotStyle="PivotStyleLight16"/>
  <colors>
    <mruColors>
      <color rgb="FFCCFF33"/>
      <color rgb="FFFFFF66"/>
      <color rgb="FFFFCC99"/>
      <color rgb="FFCCFFFF"/>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2</xdr:col>
      <xdr:colOff>285874</xdr:colOff>
      <xdr:row>3</xdr:row>
      <xdr:rowOff>34445</xdr:rowOff>
    </xdr:to>
    <xdr:pic>
      <xdr:nvPicPr>
        <xdr:cNvPr id="2" name="Picture 1" title="USGS logo">
          <a:extLst>
            <a:ext uri="{FF2B5EF4-FFF2-40B4-BE49-F238E27FC236}">
              <a16:creationId xmlns:a16="http://schemas.microsoft.com/office/drawing/2014/main" id="{B66F65FA-00AB-4164-91D9-7402E32E7A33}"/>
            </a:ext>
          </a:extLst>
        </xdr:cNvPr>
        <xdr:cNvPicPr>
          <a:picLocks noChangeAspect="1"/>
        </xdr:cNvPicPr>
      </xdr:nvPicPr>
      <xdr:blipFill>
        <a:blip xmlns:r="http://schemas.openxmlformats.org/officeDocument/2006/relationships" r:embed="rId1"/>
        <a:stretch>
          <a:fillRect/>
        </a:stretch>
      </xdr:blipFill>
      <xdr:spPr>
        <a:xfrm>
          <a:off x="66675" y="57150"/>
          <a:ext cx="1428874" cy="54879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8F71B-F1F5-476C-8D4A-576079F00C38}">
  <sheetPr>
    <tabColor theme="0"/>
  </sheetPr>
  <dimension ref="A4:L14"/>
  <sheetViews>
    <sheetView showGridLines="0" tabSelected="1" workbookViewId="0">
      <selection activeCell="A13" sqref="A13:L13"/>
    </sheetView>
  </sheetViews>
  <sheetFormatPr defaultColWidth="10.6640625" defaultRowHeight="15" x14ac:dyDescent="0.25"/>
  <cols>
    <col min="1" max="1" width="10.5" style="292" customWidth="1"/>
    <col min="2" max="16384" width="10.6640625" style="292"/>
  </cols>
  <sheetData>
    <row r="4" spans="1:12" ht="15.75" thickBot="1" x14ac:dyDescent="0.3"/>
    <row r="5" spans="1:12" ht="42.75" customHeight="1" x14ac:dyDescent="0.4">
      <c r="A5" s="293" t="s">
        <v>225</v>
      </c>
      <c r="B5" s="294"/>
      <c r="C5" s="294"/>
      <c r="D5" s="294"/>
      <c r="E5" s="294"/>
      <c r="F5" s="294"/>
      <c r="G5" s="294"/>
      <c r="H5" s="294"/>
      <c r="I5" s="294"/>
      <c r="J5" s="294"/>
      <c r="K5" s="294"/>
      <c r="L5" s="295"/>
    </row>
    <row r="6" spans="1:12" ht="48" customHeight="1" x14ac:dyDescent="0.6">
      <c r="A6" s="296" t="s">
        <v>226</v>
      </c>
      <c r="B6" s="297"/>
      <c r="C6" s="297"/>
      <c r="D6" s="297"/>
      <c r="E6" s="297"/>
      <c r="F6" s="297"/>
      <c r="G6" s="297"/>
      <c r="H6" s="297"/>
      <c r="I6" s="297"/>
      <c r="J6" s="297"/>
      <c r="K6" s="297"/>
      <c r="L6" s="298"/>
    </row>
    <row r="7" spans="1:12" s="302" customFormat="1" ht="23.25" x14ac:dyDescent="0.35">
      <c r="A7" s="299" t="s">
        <v>227</v>
      </c>
      <c r="B7" s="300"/>
      <c r="C7" s="300"/>
      <c r="D7" s="300"/>
      <c r="E7" s="300"/>
      <c r="F7" s="300"/>
      <c r="G7" s="300"/>
      <c r="H7" s="300"/>
      <c r="I7" s="300"/>
      <c r="J7" s="300"/>
      <c r="K7" s="300"/>
      <c r="L7" s="301"/>
    </row>
    <row r="8" spans="1:12" s="302" customFormat="1" ht="23.25" x14ac:dyDescent="0.35">
      <c r="A8" s="299" t="s">
        <v>228</v>
      </c>
      <c r="B8" s="300"/>
      <c r="C8" s="300"/>
      <c r="D8" s="300"/>
      <c r="E8" s="300"/>
      <c r="F8" s="300"/>
      <c r="G8" s="300"/>
      <c r="H8" s="300"/>
      <c r="I8" s="300"/>
      <c r="J8" s="300"/>
      <c r="K8" s="300"/>
      <c r="L8" s="301"/>
    </row>
    <row r="9" spans="1:12" s="302" customFormat="1" ht="23.25" x14ac:dyDescent="0.35">
      <c r="A9" s="299" t="s">
        <v>229</v>
      </c>
      <c r="B9" s="300"/>
      <c r="C9" s="300"/>
      <c r="D9" s="300"/>
      <c r="E9" s="300"/>
      <c r="F9" s="300"/>
      <c r="G9" s="300"/>
      <c r="H9" s="300"/>
      <c r="I9" s="300"/>
      <c r="J9" s="300"/>
      <c r="K9" s="300"/>
      <c r="L9" s="301"/>
    </row>
    <row r="10" spans="1:12" s="302" customFormat="1" ht="23.25" x14ac:dyDescent="0.35">
      <c r="A10" s="299" t="s">
        <v>230</v>
      </c>
      <c r="B10" s="300"/>
      <c r="C10" s="300"/>
      <c r="D10" s="300"/>
      <c r="E10" s="300"/>
      <c r="F10" s="300"/>
      <c r="G10" s="300"/>
      <c r="H10" s="300"/>
      <c r="I10" s="300"/>
      <c r="J10" s="300"/>
      <c r="K10" s="300"/>
      <c r="L10" s="301"/>
    </row>
    <row r="11" spans="1:12" s="302" customFormat="1" ht="23.25" x14ac:dyDescent="0.35">
      <c r="A11" s="299" t="s">
        <v>231</v>
      </c>
      <c r="B11" s="300"/>
      <c r="C11" s="300"/>
      <c r="D11" s="300"/>
      <c r="E11" s="300"/>
      <c r="F11" s="300"/>
      <c r="G11" s="300"/>
      <c r="H11" s="300"/>
      <c r="I11" s="300"/>
      <c r="J11" s="300"/>
      <c r="K11" s="300"/>
      <c r="L11" s="301"/>
    </row>
    <row r="12" spans="1:12" s="302" customFormat="1" ht="23.25" x14ac:dyDescent="0.35">
      <c r="A12" s="303"/>
      <c r="B12" s="304"/>
      <c r="C12" s="304"/>
      <c r="D12" s="304"/>
      <c r="E12" s="304"/>
      <c r="F12" s="304"/>
      <c r="G12" s="304"/>
      <c r="H12" s="304"/>
      <c r="I12" s="304"/>
      <c r="J12" s="304"/>
      <c r="K12" s="304"/>
      <c r="L12" s="305"/>
    </row>
    <row r="13" spans="1:12" ht="22.15" customHeight="1" x14ac:dyDescent="0.25">
      <c r="A13" s="306" t="s">
        <v>232</v>
      </c>
      <c r="B13" s="307"/>
      <c r="C13" s="307"/>
      <c r="D13" s="307"/>
      <c r="E13" s="307"/>
      <c r="F13" s="307"/>
      <c r="G13" s="307"/>
      <c r="H13" s="307"/>
      <c r="I13" s="307"/>
      <c r="J13" s="307"/>
      <c r="K13" s="307"/>
      <c r="L13" s="308"/>
    </row>
    <row r="14" spans="1:12" ht="24" thickBot="1" x14ac:dyDescent="0.3">
      <c r="A14" s="309"/>
      <c r="B14" s="310"/>
      <c r="C14" s="310"/>
      <c r="D14" s="310"/>
      <c r="E14" s="310"/>
      <c r="F14" s="310"/>
      <c r="G14" s="310"/>
      <c r="H14" s="310"/>
      <c r="I14" s="310"/>
      <c r="J14" s="310"/>
      <c r="K14" s="310"/>
      <c r="L14" s="311"/>
    </row>
  </sheetData>
  <mergeCells count="8">
    <mergeCell ref="A11:L11"/>
    <mergeCell ref="A13:L13"/>
    <mergeCell ref="A5:L5"/>
    <mergeCell ref="A6:L6"/>
    <mergeCell ref="A7:L7"/>
    <mergeCell ref="A8:L8"/>
    <mergeCell ref="A9:L9"/>
    <mergeCell ref="A10:L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34"/>
  <sheetViews>
    <sheetView zoomScaleNormal="100" workbookViewId="0">
      <selection sqref="A1:M1"/>
    </sheetView>
  </sheetViews>
  <sheetFormatPr defaultColWidth="9.33203125" defaultRowHeight="11.25" x14ac:dyDescent="0.2"/>
  <cols>
    <col min="1" max="1" width="41.1640625" style="17" bestFit="1" customWidth="1"/>
    <col min="2" max="2" width="1.6640625" style="11" customWidth="1"/>
    <col min="3" max="3" width="11" style="11" bestFit="1" customWidth="1"/>
    <col min="4" max="4" width="1.6640625" style="11" customWidth="1"/>
    <col min="5" max="5" width="9.83203125" style="10" bestFit="1" customWidth="1"/>
    <col min="6" max="6" width="1.6640625" style="11" customWidth="1"/>
    <col min="7" max="7" width="10.1640625" style="10" bestFit="1" customWidth="1"/>
    <col min="8" max="8" width="1.6640625" style="11" customWidth="1"/>
    <col min="9" max="9" width="9.83203125" style="10" bestFit="1" customWidth="1"/>
    <col min="10" max="10" width="1.6640625" style="11" customWidth="1"/>
    <col min="11" max="11" width="10.1640625" style="10" bestFit="1" customWidth="1"/>
    <col min="12" max="12" width="1.6640625" style="11" customWidth="1"/>
    <col min="13" max="13" width="10.1640625" style="10" bestFit="1" customWidth="1"/>
    <col min="14" max="16384" width="9.33203125" style="17"/>
  </cols>
  <sheetData>
    <row r="1" spans="1:13" ht="11.25" customHeight="1" x14ac:dyDescent="0.2">
      <c r="A1" s="241" t="s">
        <v>0</v>
      </c>
      <c r="B1" s="241"/>
      <c r="C1" s="241"/>
      <c r="D1" s="241"/>
      <c r="E1" s="241"/>
      <c r="F1" s="241"/>
      <c r="G1" s="241"/>
      <c r="H1" s="241"/>
      <c r="I1" s="241"/>
      <c r="J1" s="241"/>
      <c r="K1" s="241"/>
      <c r="L1" s="241"/>
      <c r="M1" s="241"/>
    </row>
    <row r="2" spans="1:13" ht="11.25" customHeight="1" x14ac:dyDescent="0.2">
      <c r="A2" s="241" t="s">
        <v>1</v>
      </c>
      <c r="B2" s="241"/>
      <c r="C2" s="241"/>
      <c r="D2" s="241"/>
      <c r="E2" s="241"/>
      <c r="F2" s="241"/>
      <c r="G2" s="241"/>
      <c r="H2" s="241"/>
      <c r="I2" s="241"/>
      <c r="J2" s="241"/>
      <c r="K2" s="241"/>
      <c r="L2" s="241"/>
      <c r="M2" s="241"/>
    </row>
    <row r="3" spans="1:13" ht="11.25" customHeight="1" x14ac:dyDescent="0.2">
      <c r="A3" s="242"/>
      <c r="B3" s="242"/>
      <c r="C3" s="242"/>
      <c r="D3" s="242"/>
      <c r="E3" s="242"/>
      <c r="F3" s="242"/>
      <c r="G3" s="242"/>
      <c r="H3" s="242"/>
      <c r="I3" s="242"/>
      <c r="J3" s="242"/>
      <c r="K3" s="242"/>
      <c r="L3" s="242"/>
      <c r="M3" s="242"/>
    </row>
    <row r="4" spans="1:13" ht="11.25" customHeight="1" x14ac:dyDescent="0.2">
      <c r="A4" s="165"/>
      <c r="B4" s="46"/>
      <c r="C4" s="166"/>
      <c r="D4" s="46"/>
      <c r="E4" s="167" t="s">
        <v>2</v>
      </c>
      <c r="F4" s="46"/>
      <c r="G4" s="167" t="s">
        <v>3</v>
      </c>
      <c r="H4" s="46"/>
      <c r="I4" s="167" t="s">
        <v>4</v>
      </c>
      <c r="J4" s="46"/>
      <c r="K4" s="167" t="s">
        <v>5</v>
      </c>
      <c r="L4" s="46"/>
      <c r="M4" s="167" t="s">
        <v>6</v>
      </c>
    </row>
    <row r="5" spans="1:13" ht="11.25" customHeight="1" x14ac:dyDescent="0.2">
      <c r="A5" s="52" t="s">
        <v>7</v>
      </c>
      <c r="B5" s="47"/>
      <c r="C5" s="48"/>
      <c r="D5" s="47"/>
      <c r="E5" s="37"/>
      <c r="F5" s="47"/>
      <c r="G5" s="37"/>
      <c r="H5" s="47"/>
      <c r="I5" s="37"/>
      <c r="J5" s="47"/>
      <c r="K5" s="37"/>
      <c r="L5" s="47"/>
      <c r="M5" s="37"/>
    </row>
    <row r="6" spans="1:13" ht="11.25" customHeight="1" x14ac:dyDescent="0.2">
      <c r="A6" s="53" t="s">
        <v>8</v>
      </c>
      <c r="B6" s="46"/>
      <c r="C6" s="54"/>
      <c r="D6" s="47"/>
      <c r="E6" s="37"/>
      <c r="F6" s="47"/>
      <c r="G6" s="37"/>
      <c r="H6" s="47"/>
      <c r="I6" s="37"/>
      <c r="J6" s="47"/>
      <c r="K6" s="37"/>
      <c r="L6" s="47"/>
      <c r="M6" s="37"/>
    </row>
    <row r="7" spans="1:13" ht="11.25" customHeight="1" x14ac:dyDescent="0.2">
      <c r="A7" s="168" t="s">
        <v>9</v>
      </c>
      <c r="B7" s="169"/>
      <c r="C7" s="170"/>
      <c r="D7" s="47"/>
      <c r="E7" s="37"/>
      <c r="F7" s="47"/>
      <c r="G7" s="37"/>
      <c r="H7" s="47"/>
      <c r="I7" s="37"/>
      <c r="J7" s="47"/>
      <c r="K7" s="37"/>
      <c r="L7" s="47"/>
      <c r="M7" s="37"/>
    </row>
    <row r="8" spans="1:13" ht="11.25" customHeight="1" x14ac:dyDescent="0.2">
      <c r="A8" s="171" t="s">
        <v>10</v>
      </c>
      <c r="B8" s="169" t="s">
        <v>11</v>
      </c>
      <c r="C8" s="49" t="s">
        <v>12</v>
      </c>
      <c r="D8" s="169"/>
      <c r="E8" s="172">
        <v>5880</v>
      </c>
      <c r="F8" s="140"/>
      <c r="G8" s="172">
        <v>5920</v>
      </c>
      <c r="H8" s="140"/>
      <c r="I8" s="172">
        <v>8660</v>
      </c>
      <c r="J8" s="140"/>
      <c r="K8" s="172">
        <v>9500</v>
      </c>
      <c r="L8" s="140"/>
      <c r="M8" s="172">
        <v>7780</v>
      </c>
    </row>
    <row r="9" spans="1:13" ht="11.25" customHeight="1" x14ac:dyDescent="0.2">
      <c r="A9" s="171" t="s">
        <v>13</v>
      </c>
      <c r="B9" s="169" t="s">
        <v>11</v>
      </c>
      <c r="C9" s="50" t="s">
        <v>14</v>
      </c>
      <c r="D9" s="169"/>
      <c r="E9" s="173">
        <v>18900</v>
      </c>
      <c r="F9" s="140"/>
      <c r="G9" s="173">
        <v>20400</v>
      </c>
      <c r="H9" s="140"/>
      <c r="I9" s="173">
        <v>24000</v>
      </c>
      <c r="J9" s="140"/>
      <c r="K9" s="173">
        <v>27100</v>
      </c>
      <c r="L9" s="140"/>
      <c r="M9" s="173">
        <v>20800</v>
      </c>
    </row>
    <row r="10" spans="1:13" ht="11.25" customHeight="1" x14ac:dyDescent="0.2">
      <c r="A10" s="168" t="s">
        <v>15</v>
      </c>
      <c r="B10" s="169"/>
      <c r="C10" s="51"/>
      <c r="D10" s="47"/>
      <c r="E10" s="37"/>
      <c r="F10" s="72"/>
      <c r="G10" s="37"/>
      <c r="H10" s="72"/>
      <c r="I10" s="37"/>
      <c r="J10" s="72"/>
      <c r="K10" s="37"/>
      <c r="L10" s="72"/>
      <c r="M10" s="37"/>
    </row>
    <row r="11" spans="1:13" ht="11.25" customHeight="1" x14ac:dyDescent="0.2">
      <c r="A11" s="171" t="s">
        <v>16</v>
      </c>
      <c r="B11" s="169" t="s">
        <v>11</v>
      </c>
      <c r="C11" s="49" t="s">
        <v>12</v>
      </c>
      <c r="D11" s="169"/>
      <c r="E11" s="172">
        <v>50100</v>
      </c>
      <c r="F11" s="174"/>
      <c r="G11" s="172">
        <v>36000</v>
      </c>
      <c r="H11" s="174"/>
      <c r="I11" s="172">
        <v>53000</v>
      </c>
      <c r="J11" s="174"/>
      <c r="K11" s="172">
        <v>89200</v>
      </c>
      <c r="L11" s="174"/>
      <c r="M11" s="172">
        <v>73500</v>
      </c>
    </row>
    <row r="12" spans="1:13" ht="11.25" customHeight="1" x14ac:dyDescent="0.2">
      <c r="A12" s="171" t="s">
        <v>13</v>
      </c>
      <c r="B12" s="169" t="s">
        <v>11</v>
      </c>
      <c r="C12" s="50" t="s">
        <v>14</v>
      </c>
      <c r="D12" s="169"/>
      <c r="E12" s="173">
        <v>56100</v>
      </c>
      <c r="F12" s="174" t="s">
        <v>11</v>
      </c>
      <c r="G12" s="173">
        <v>44600</v>
      </c>
      <c r="H12" s="174" t="s">
        <v>11</v>
      </c>
      <c r="I12" s="173">
        <v>70700</v>
      </c>
      <c r="J12" s="174"/>
      <c r="K12" s="173">
        <v>187000</v>
      </c>
      <c r="L12" s="174"/>
      <c r="M12" s="173">
        <v>157000</v>
      </c>
    </row>
    <row r="13" spans="1:13" ht="11.25" customHeight="1" x14ac:dyDescent="0.2">
      <c r="A13" s="168" t="s">
        <v>17</v>
      </c>
      <c r="B13" s="169"/>
      <c r="C13" s="51"/>
      <c r="D13" s="47"/>
      <c r="E13" s="37"/>
      <c r="F13" s="72"/>
      <c r="G13" s="37"/>
      <c r="H13" s="72"/>
      <c r="I13" s="37"/>
      <c r="J13" s="72"/>
      <c r="K13" s="37"/>
      <c r="L13" s="72"/>
      <c r="M13" s="37"/>
    </row>
    <row r="14" spans="1:13" ht="11.25" customHeight="1" x14ac:dyDescent="0.2">
      <c r="A14" s="171" t="s">
        <v>10</v>
      </c>
      <c r="B14" s="169" t="s">
        <v>11</v>
      </c>
      <c r="C14" s="49" t="s">
        <v>12</v>
      </c>
      <c r="D14" s="169"/>
      <c r="E14" s="172">
        <v>44200</v>
      </c>
      <c r="F14" s="140"/>
      <c r="G14" s="172">
        <v>30000</v>
      </c>
      <c r="H14" s="140"/>
      <c r="I14" s="172">
        <v>44300</v>
      </c>
      <c r="J14" s="174"/>
      <c r="K14" s="172">
        <v>79700</v>
      </c>
      <c r="L14" s="174"/>
      <c r="M14" s="172">
        <v>65700</v>
      </c>
    </row>
    <row r="15" spans="1:13" ht="11.25" customHeight="1" x14ac:dyDescent="0.2">
      <c r="A15" s="171" t="s">
        <v>13</v>
      </c>
      <c r="B15" s="169" t="s">
        <v>11</v>
      </c>
      <c r="C15" s="50" t="s">
        <v>14</v>
      </c>
      <c r="D15" s="169"/>
      <c r="E15" s="173">
        <v>37200</v>
      </c>
      <c r="F15" s="140"/>
      <c r="G15" s="173">
        <v>24200</v>
      </c>
      <c r="H15" s="140"/>
      <c r="I15" s="173">
        <v>46700</v>
      </c>
      <c r="J15" s="140"/>
      <c r="K15" s="173">
        <v>159000</v>
      </c>
      <c r="L15" s="140"/>
      <c r="M15" s="173">
        <v>136000</v>
      </c>
    </row>
    <row r="16" spans="1:13" ht="11.25" customHeight="1" x14ac:dyDescent="0.2">
      <c r="A16" s="175" t="s">
        <v>18</v>
      </c>
      <c r="B16" s="169"/>
      <c r="C16" s="51"/>
      <c r="D16" s="47"/>
      <c r="E16" s="37"/>
      <c r="F16" s="72"/>
      <c r="G16" s="37"/>
      <c r="H16" s="72"/>
      <c r="I16" s="37"/>
      <c r="J16" s="72"/>
      <c r="K16" s="37"/>
      <c r="L16" s="72"/>
      <c r="M16" s="37"/>
    </row>
    <row r="17" spans="1:13" ht="11.25" customHeight="1" x14ac:dyDescent="0.2">
      <c r="A17" s="168" t="s">
        <v>19</v>
      </c>
      <c r="B17" s="46"/>
      <c r="C17" s="176"/>
      <c r="D17" s="47"/>
      <c r="E17" s="37"/>
      <c r="F17" s="72"/>
      <c r="G17" s="37"/>
      <c r="H17" s="72"/>
      <c r="I17" s="37"/>
      <c r="J17" s="72"/>
      <c r="K17" s="37"/>
      <c r="L17" s="72"/>
      <c r="M17" s="37"/>
    </row>
    <row r="18" spans="1:13" ht="11.25" customHeight="1" x14ac:dyDescent="0.2">
      <c r="A18" s="171" t="s">
        <v>10</v>
      </c>
      <c r="B18" s="169"/>
      <c r="C18" s="49" t="s">
        <v>12</v>
      </c>
      <c r="D18" s="169"/>
      <c r="E18" s="177">
        <v>276000</v>
      </c>
      <c r="F18" s="140" t="s">
        <v>20</v>
      </c>
      <c r="G18" s="172">
        <v>225000</v>
      </c>
      <c r="H18" s="140"/>
      <c r="I18" s="172">
        <v>259000</v>
      </c>
      <c r="J18" s="140"/>
      <c r="K18" s="172">
        <v>316000</v>
      </c>
      <c r="L18" s="140" t="s">
        <v>20</v>
      </c>
      <c r="M18" s="172">
        <v>343000</v>
      </c>
    </row>
    <row r="19" spans="1:13" ht="11.25" customHeight="1" x14ac:dyDescent="0.2">
      <c r="A19" s="171" t="s">
        <v>21</v>
      </c>
      <c r="B19" s="169"/>
      <c r="C19" s="178" t="s">
        <v>14</v>
      </c>
      <c r="D19" s="169"/>
      <c r="E19" s="179">
        <v>1170000</v>
      </c>
      <c r="F19" s="140" t="s">
        <v>20</v>
      </c>
      <c r="G19" s="173">
        <v>1140000</v>
      </c>
      <c r="H19" s="140"/>
      <c r="I19" s="173">
        <v>1160000</v>
      </c>
      <c r="J19" s="140"/>
      <c r="K19" s="173">
        <v>1390000</v>
      </c>
      <c r="L19" s="140" t="s">
        <v>20</v>
      </c>
      <c r="M19" s="173">
        <v>1200000</v>
      </c>
    </row>
    <row r="20" spans="1:13" ht="11.25" customHeight="1" x14ac:dyDescent="0.2">
      <c r="A20" s="168" t="s">
        <v>9</v>
      </c>
      <c r="B20" s="169"/>
      <c r="C20" s="180"/>
      <c r="D20" s="47"/>
      <c r="E20" s="37"/>
      <c r="F20" s="72"/>
      <c r="G20" s="37"/>
      <c r="H20" s="72"/>
      <c r="I20" s="37"/>
      <c r="J20" s="72"/>
      <c r="K20" s="37"/>
      <c r="L20" s="72"/>
      <c r="M20" s="37"/>
    </row>
    <row r="21" spans="1:13" ht="11.25" customHeight="1" x14ac:dyDescent="0.2">
      <c r="A21" s="171" t="s">
        <v>16</v>
      </c>
      <c r="B21" s="169" t="s">
        <v>11</v>
      </c>
      <c r="C21" s="49" t="s">
        <v>12</v>
      </c>
      <c r="D21" s="169"/>
      <c r="E21" s="172">
        <v>40700</v>
      </c>
      <c r="F21" s="140"/>
      <c r="G21" s="172">
        <v>26900</v>
      </c>
      <c r="H21" s="140"/>
      <c r="I21" s="172">
        <v>32500</v>
      </c>
      <c r="J21" s="140"/>
      <c r="K21" s="172">
        <v>38700</v>
      </c>
      <c r="L21" s="140"/>
      <c r="M21" s="172">
        <v>36700</v>
      </c>
    </row>
    <row r="22" spans="1:13" ht="11.25" customHeight="1" x14ac:dyDescent="0.2">
      <c r="A22" s="171" t="s">
        <v>13</v>
      </c>
      <c r="B22" s="169" t="s">
        <v>11</v>
      </c>
      <c r="C22" s="178" t="s">
        <v>14</v>
      </c>
      <c r="D22" s="169"/>
      <c r="E22" s="173">
        <v>230000</v>
      </c>
      <c r="F22" s="140"/>
      <c r="G22" s="173">
        <v>159000</v>
      </c>
      <c r="H22" s="140"/>
      <c r="I22" s="173">
        <v>182000</v>
      </c>
      <c r="J22" s="140"/>
      <c r="K22" s="173">
        <v>225000</v>
      </c>
      <c r="L22" s="140"/>
      <c r="M22" s="173">
        <v>221000</v>
      </c>
    </row>
    <row r="23" spans="1:13" ht="11.25" customHeight="1" x14ac:dyDescent="0.2">
      <c r="A23" s="168" t="s">
        <v>15</v>
      </c>
      <c r="B23" s="169"/>
      <c r="C23" s="180"/>
      <c r="D23" s="47"/>
      <c r="E23" s="37"/>
      <c r="F23" s="72"/>
      <c r="G23" s="37"/>
      <c r="H23" s="72"/>
      <c r="I23" s="37"/>
      <c r="J23" s="72"/>
      <c r="K23" s="37"/>
      <c r="L23" s="72"/>
      <c r="M23" s="37"/>
    </row>
    <row r="24" spans="1:13" ht="11.25" customHeight="1" x14ac:dyDescent="0.2">
      <c r="A24" s="171" t="s">
        <v>22</v>
      </c>
      <c r="B24" s="169" t="s">
        <v>11</v>
      </c>
      <c r="C24" s="49" t="s">
        <v>12</v>
      </c>
      <c r="D24" s="169"/>
      <c r="E24" s="172">
        <v>92200</v>
      </c>
      <c r="F24" s="140"/>
      <c r="G24" s="172">
        <v>62400</v>
      </c>
      <c r="H24" s="140"/>
      <c r="I24" s="172">
        <v>116000</v>
      </c>
      <c r="J24" s="140"/>
      <c r="K24" s="172">
        <v>151000</v>
      </c>
      <c r="L24" s="140"/>
      <c r="M24" s="172">
        <v>124000</v>
      </c>
    </row>
    <row r="25" spans="1:13" ht="11.25" customHeight="1" x14ac:dyDescent="0.2">
      <c r="A25" s="171" t="s">
        <v>21</v>
      </c>
      <c r="B25" s="169" t="s">
        <v>11</v>
      </c>
      <c r="C25" s="178" t="s">
        <v>14</v>
      </c>
      <c r="D25" s="169"/>
      <c r="E25" s="173">
        <v>532000</v>
      </c>
      <c r="F25" s="140"/>
      <c r="G25" s="173">
        <v>314000</v>
      </c>
      <c r="H25" s="140"/>
      <c r="I25" s="173">
        <v>376000</v>
      </c>
      <c r="J25" s="140"/>
      <c r="K25" s="173">
        <v>634000</v>
      </c>
      <c r="L25" s="140" t="s">
        <v>20</v>
      </c>
      <c r="M25" s="173">
        <v>575000</v>
      </c>
    </row>
    <row r="26" spans="1:13" ht="11.25" customHeight="1" x14ac:dyDescent="0.2">
      <c r="A26" s="168" t="s">
        <v>23</v>
      </c>
      <c r="B26" s="169"/>
      <c r="C26" s="170"/>
      <c r="D26" s="47"/>
      <c r="E26" s="37"/>
      <c r="F26" s="72"/>
      <c r="G26" s="37"/>
      <c r="H26" s="47"/>
      <c r="I26" s="37"/>
      <c r="J26" s="47"/>
      <c r="K26" s="37"/>
      <c r="L26" s="47"/>
      <c r="M26" s="37"/>
    </row>
    <row r="27" spans="1:13" ht="11.25" customHeight="1" x14ac:dyDescent="0.2">
      <c r="A27" s="171" t="s">
        <v>10</v>
      </c>
      <c r="B27" s="47" t="s">
        <v>11</v>
      </c>
      <c r="C27" s="49" t="s">
        <v>12</v>
      </c>
      <c r="D27" s="47"/>
      <c r="E27" s="37">
        <v>327000</v>
      </c>
      <c r="F27" s="72" t="s">
        <v>20</v>
      </c>
      <c r="G27" s="37">
        <v>261000</v>
      </c>
      <c r="H27" s="72"/>
      <c r="I27" s="37">
        <v>343000</v>
      </c>
      <c r="J27" s="72"/>
      <c r="K27" s="37">
        <v>428000</v>
      </c>
      <c r="L27" s="72" t="s">
        <v>20</v>
      </c>
      <c r="M27" s="37">
        <v>430000</v>
      </c>
    </row>
    <row r="28" spans="1:13" ht="11.25" customHeight="1" x14ac:dyDescent="0.2">
      <c r="A28" s="171" t="s">
        <v>21</v>
      </c>
      <c r="B28" s="46" t="s">
        <v>11</v>
      </c>
      <c r="C28" s="178" t="s">
        <v>14</v>
      </c>
      <c r="D28" s="46"/>
      <c r="E28" s="107">
        <v>1470000</v>
      </c>
      <c r="F28" s="87" t="s">
        <v>20</v>
      </c>
      <c r="G28" s="107">
        <v>1300000</v>
      </c>
      <c r="H28" s="87"/>
      <c r="I28" s="107">
        <v>1360000</v>
      </c>
      <c r="J28" s="87"/>
      <c r="K28" s="107">
        <v>1800000</v>
      </c>
      <c r="L28" s="87" t="s">
        <v>20</v>
      </c>
      <c r="M28" s="107">
        <v>1550000</v>
      </c>
    </row>
    <row r="29" spans="1:13" ht="11.25" customHeight="1" x14ac:dyDescent="0.2">
      <c r="A29" s="181" t="s">
        <v>24</v>
      </c>
      <c r="B29" s="169" t="s">
        <v>11</v>
      </c>
      <c r="C29" s="49" t="s">
        <v>12</v>
      </c>
      <c r="D29" s="169"/>
      <c r="E29" s="125">
        <v>1520000</v>
      </c>
      <c r="F29" s="126"/>
      <c r="G29" s="125">
        <v>1290000</v>
      </c>
      <c r="H29" s="126" t="s">
        <v>20</v>
      </c>
      <c r="I29" s="125">
        <v>1510000</v>
      </c>
      <c r="J29" s="126" t="s">
        <v>20</v>
      </c>
      <c r="K29" s="125">
        <v>1610000</v>
      </c>
      <c r="L29" s="126" t="s">
        <v>20</v>
      </c>
      <c r="M29" s="125">
        <v>1530000</v>
      </c>
    </row>
    <row r="30" spans="1:13" s="20" customFormat="1" ht="11.25" customHeight="1" x14ac:dyDescent="0.2">
      <c r="A30" s="238" t="s">
        <v>25</v>
      </c>
      <c r="B30" s="238"/>
      <c r="C30" s="238"/>
      <c r="D30" s="238"/>
      <c r="E30" s="238"/>
      <c r="F30" s="238"/>
      <c r="G30" s="238"/>
      <c r="H30" s="238"/>
      <c r="I30" s="238"/>
      <c r="J30" s="238"/>
      <c r="K30" s="238"/>
      <c r="L30" s="238"/>
      <c r="M30" s="238"/>
    </row>
    <row r="31" spans="1:13" s="20" customFormat="1" ht="22.5" customHeight="1" x14ac:dyDescent="0.2">
      <c r="A31" s="239" t="s">
        <v>26</v>
      </c>
      <c r="B31" s="239"/>
      <c r="C31" s="239"/>
      <c r="D31" s="239"/>
      <c r="E31" s="239"/>
      <c r="F31" s="239"/>
      <c r="G31" s="239"/>
      <c r="H31" s="239"/>
      <c r="I31" s="239"/>
      <c r="J31" s="239"/>
      <c r="K31" s="239"/>
      <c r="L31" s="239"/>
      <c r="M31" s="239"/>
    </row>
    <row r="32" spans="1:13" s="150" customFormat="1" ht="11.1" customHeight="1" x14ac:dyDescent="0.2">
      <c r="A32" s="240" t="s">
        <v>27</v>
      </c>
      <c r="B32" s="240"/>
      <c r="C32" s="240"/>
      <c r="D32" s="240"/>
      <c r="E32" s="240"/>
      <c r="F32" s="240"/>
      <c r="G32" s="240"/>
      <c r="H32" s="240"/>
      <c r="I32" s="240"/>
      <c r="J32" s="240"/>
      <c r="K32" s="240"/>
      <c r="L32" s="240"/>
      <c r="M32" s="240"/>
    </row>
    <row r="33" spans="1:13" s="150" customFormat="1" ht="11.1" customHeight="1" x14ac:dyDescent="0.2">
      <c r="A33" s="240" t="s">
        <v>28</v>
      </c>
      <c r="B33" s="240"/>
      <c r="C33" s="240"/>
      <c r="D33" s="240"/>
      <c r="E33" s="240"/>
      <c r="F33" s="240"/>
      <c r="G33" s="240"/>
      <c r="H33" s="240"/>
      <c r="I33" s="240"/>
      <c r="J33" s="240"/>
      <c r="K33" s="240"/>
      <c r="L33" s="240"/>
      <c r="M33" s="240"/>
    </row>
    <row r="34" spans="1:13" x14ac:dyDescent="0.2">
      <c r="A34" s="237" t="s">
        <v>29</v>
      </c>
      <c r="B34" s="237"/>
      <c r="C34" s="237"/>
      <c r="D34" s="237"/>
      <c r="E34" s="237"/>
      <c r="F34" s="237"/>
      <c r="G34" s="237"/>
      <c r="H34" s="237"/>
      <c r="I34" s="237"/>
      <c r="J34" s="237"/>
      <c r="K34" s="237"/>
      <c r="L34" s="237"/>
      <c r="M34" s="237"/>
    </row>
  </sheetData>
  <mergeCells count="8">
    <mergeCell ref="A34:M34"/>
    <mergeCell ref="A30:M30"/>
    <mergeCell ref="A31:M31"/>
    <mergeCell ref="A32:M32"/>
    <mergeCell ref="A1:M1"/>
    <mergeCell ref="A2:M2"/>
    <mergeCell ref="A3:M3"/>
    <mergeCell ref="A33:M33"/>
  </mergeCells>
  <pageMargins left="0.5" right="0.5" top="0.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N39"/>
  <sheetViews>
    <sheetView zoomScaleNormal="100" workbookViewId="0">
      <selection sqref="A1:N1"/>
    </sheetView>
  </sheetViews>
  <sheetFormatPr defaultColWidth="9.33203125" defaultRowHeight="11.25" x14ac:dyDescent="0.2"/>
  <cols>
    <col min="1" max="1" width="16.1640625" style="78" bestFit="1" customWidth="1"/>
    <col min="2" max="2" width="1.83203125" style="78" customWidth="1"/>
    <col min="3" max="3" width="11.33203125" style="81" customWidth="1"/>
    <col min="4" max="4" width="1.83203125" style="91" customWidth="1"/>
    <col min="5" max="5" width="11.33203125" style="81" customWidth="1"/>
    <col min="6" max="6" width="1.83203125" style="91" customWidth="1"/>
    <col min="7" max="7" width="11.33203125" style="81" customWidth="1"/>
    <col min="8" max="8" width="1.83203125" style="91" customWidth="1"/>
    <col min="9" max="9" width="11.33203125" style="81" customWidth="1"/>
    <col min="10" max="10" width="1.6640625" style="78" customWidth="1"/>
    <col min="11" max="11" width="10.33203125" style="78" bestFit="1" customWidth="1"/>
    <col min="12" max="12" width="1.6640625" style="78" customWidth="1"/>
    <col min="13" max="13" width="9.6640625" style="78" bestFit="1" customWidth="1"/>
    <col min="14" max="14" width="1.6640625" style="78" customWidth="1"/>
    <col min="15" max="16384" width="9.33203125" style="78"/>
  </cols>
  <sheetData>
    <row r="1" spans="1:14" ht="11.25" customHeight="1" x14ac:dyDescent="0.2">
      <c r="A1" s="245" t="s">
        <v>30</v>
      </c>
      <c r="B1" s="245"/>
      <c r="C1" s="245"/>
      <c r="D1" s="245"/>
      <c r="E1" s="245"/>
      <c r="F1" s="245"/>
      <c r="G1" s="245"/>
      <c r="H1" s="245"/>
      <c r="I1" s="245"/>
      <c r="J1" s="245"/>
      <c r="K1" s="245"/>
      <c r="L1" s="245"/>
      <c r="M1" s="245"/>
      <c r="N1" s="245"/>
    </row>
    <row r="2" spans="1:14" ht="11.25" customHeight="1" x14ac:dyDescent="0.2">
      <c r="A2" s="245" t="s">
        <v>31</v>
      </c>
      <c r="B2" s="245"/>
      <c r="C2" s="245"/>
      <c r="D2" s="245"/>
      <c r="E2" s="245"/>
      <c r="F2" s="245"/>
      <c r="G2" s="245"/>
      <c r="H2" s="245"/>
      <c r="I2" s="245"/>
      <c r="J2" s="245"/>
      <c r="K2" s="245"/>
      <c r="L2" s="245"/>
      <c r="M2" s="245"/>
      <c r="N2" s="245"/>
    </row>
    <row r="3" spans="1:14" ht="11.25" customHeight="1" x14ac:dyDescent="0.2">
      <c r="A3" s="244"/>
      <c r="B3" s="244"/>
      <c r="C3" s="244"/>
      <c r="D3" s="244"/>
      <c r="E3" s="244"/>
      <c r="F3" s="244"/>
      <c r="G3" s="244"/>
      <c r="H3" s="244"/>
      <c r="I3" s="244"/>
      <c r="J3" s="244"/>
      <c r="K3" s="244"/>
      <c r="L3" s="244"/>
      <c r="M3" s="244"/>
      <c r="N3" s="244"/>
    </row>
    <row r="4" spans="1:14" ht="11.25" customHeight="1" x14ac:dyDescent="0.2">
      <c r="A4" s="79"/>
      <c r="C4" s="244" t="s">
        <v>32</v>
      </c>
      <c r="D4" s="244"/>
      <c r="E4" s="244"/>
      <c r="F4" s="80"/>
      <c r="G4" s="244" t="s">
        <v>33</v>
      </c>
      <c r="H4" s="244"/>
      <c r="I4" s="244"/>
      <c r="J4" s="142"/>
      <c r="K4" s="243" t="s">
        <v>34</v>
      </c>
      <c r="L4" s="243"/>
      <c r="M4" s="243"/>
    </row>
    <row r="5" spans="1:14" ht="11.25" customHeight="1" x14ac:dyDescent="0.2">
      <c r="A5" s="79"/>
      <c r="C5" s="154" t="s">
        <v>35</v>
      </c>
      <c r="D5" s="80"/>
      <c r="E5" s="154" t="s">
        <v>36</v>
      </c>
      <c r="F5" s="80"/>
      <c r="G5" s="154" t="s">
        <v>35</v>
      </c>
      <c r="H5" s="80"/>
      <c r="I5" s="154" t="s">
        <v>36</v>
      </c>
      <c r="K5" s="154" t="s">
        <v>35</v>
      </c>
      <c r="L5" s="80"/>
      <c r="M5" s="154" t="s">
        <v>36</v>
      </c>
      <c r="N5" s="92"/>
    </row>
    <row r="6" spans="1:14" ht="11.25" customHeight="1" x14ac:dyDescent="0.2">
      <c r="A6" s="153" t="s">
        <v>37</v>
      </c>
      <c r="B6" s="141"/>
      <c r="C6" s="153" t="s">
        <v>38</v>
      </c>
      <c r="D6" s="182"/>
      <c r="E6" s="153" t="s">
        <v>39</v>
      </c>
      <c r="F6" s="182"/>
      <c r="G6" s="153" t="s">
        <v>38</v>
      </c>
      <c r="H6" s="182"/>
      <c r="I6" s="153" t="s">
        <v>39</v>
      </c>
      <c r="J6" s="141"/>
      <c r="K6" s="153" t="s">
        <v>38</v>
      </c>
      <c r="L6" s="182"/>
      <c r="M6" s="153" t="s">
        <v>39</v>
      </c>
    </row>
    <row r="7" spans="1:14" ht="11.25" customHeight="1" x14ac:dyDescent="0.2">
      <c r="A7" s="183" t="s">
        <v>5</v>
      </c>
      <c r="D7" s="72"/>
      <c r="E7" s="82"/>
      <c r="F7" s="72"/>
      <c r="G7" s="82"/>
      <c r="H7" s="72"/>
      <c r="I7" s="82"/>
      <c r="N7" s="92"/>
    </row>
    <row r="8" spans="1:14" ht="11.25" customHeight="1" x14ac:dyDescent="0.2">
      <c r="A8" s="184" t="s">
        <v>40</v>
      </c>
      <c r="C8" s="84" t="s">
        <v>41</v>
      </c>
      <c r="D8" s="72"/>
      <c r="E8" s="84" t="s">
        <v>41</v>
      </c>
      <c r="F8" s="72"/>
      <c r="G8" s="84" t="s">
        <v>41</v>
      </c>
      <c r="H8" s="72"/>
      <c r="I8" s="84" t="s">
        <v>41</v>
      </c>
      <c r="K8" s="83">
        <v>15400</v>
      </c>
      <c r="L8" s="72"/>
      <c r="M8" s="130">
        <v>105000</v>
      </c>
    </row>
    <row r="9" spans="1:14" ht="11.25" customHeight="1" x14ac:dyDescent="0.2">
      <c r="A9" s="184" t="s">
        <v>42</v>
      </c>
      <c r="C9" s="83">
        <v>860</v>
      </c>
      <c r="D9" s="72"/>
      <c r="E9" s="130">
        <v>2970</v>
      </c>
      <c r="F9" s="72"/>
      <c r="G9" s="83">
        <v>1400</v>
      </c>
      <c r="H9" s="72"/>
      <c r="I9" s="130">
        <v>1880</v>
      </c>
      <c r="K9" s="83">
        <v>2260</v>
      </c>
      <c r="L9" s="72"/>
      <c r="M9" s="83">
        <v>4850</v>
      </c>
    </row>
    <row r="10" spans="1:14" ht="11.25" customHeight="1" x14ac:dyDescent="0.2">
      <c r="A10" s="184" t="s">
        <v>43</v>
      </c>
      <c r="C10" s="84" t="s">
        <v>41</v>
      </c>
      <c r="D10" s="72"/>
      <c r="E10" s="84" t="s">
        <v>41</v>
      </c>
      <c r="F10" s="72"/>
      <c r="G10" s="84" t="s">
        <v>41</v>
      </c>
      <c r="H10" s="72"/>
      <c r="I10" s="84" t="s">
        <v>41</v>
      </c>
      <c r="K10" s="83">
        <v>758</v>
      </c>
      <c r="L10" s="72"/>
      <c r="M10" s="83">
        <v>2360</v>
      </c>
    </row>
    <row r="11" spans="1:14" ht="11.25" customHeight="1" x14ac:dyDescent="0.2">
      <c r="A11" s="184" t="s">
        <v>44</v>
      </c>
      <c r="C11" s="84" t="s">
        <v>41</v>
      </c>
      <c r="D11" s="72"/>
      <c r="E11" s="84" t="s">
        <v>41</v>
      </c>
      <c r="F11" s="72"/>
      <c r="G11" s="84" t="s">
        <v>41</v>
      </c>
      <c r="H11" s="72"/>
      <c r="I11" s="84" t="s">
        <v>41</v>
      </c>
      <c r="K11" s="83">
        <v>1580</v>
      </c>
      <c r="L11" s="72"/>
      <c r="M11" s="83">
        <v>6020</v>
      </c>
    </row>
    <row r="12" spans="1:14" ht="11.25" customHeight="1" x14ac:dyDescent="0.2">
      <c r="A12" s="184" t="s">
        <v>45</v>
      </c>
      <c r="C12" s="83">
        <v>493</v>
      </c>
      <c r="D12" s="72"/>
      <c r="E12" s="83">
        <v>2480</v>
      </c>
      <c r="F12" s="72"/>
      <c r="G12" s="83">
        <v>2510</v>
      </c>
      <c r="H12" s="72"/>
      <c r="I12" s="83">
        <v>3370</v>
      </c>
      <c r="K12" s="83">
        <v>3000</v>
      </c>
      <c r="L12" s="72"/>
      <c r="M12" s="83">
        <v>5850</v>
      </c>
    </row>
    <row r="13" spans="1:14" ht="11.25" customHeight="1" x14ac:dyDescent="0.2">
      <c r="A13" s="184" t="s">
        <v>46</v>
      </c>
      <c r="C13" s="84" t="s">
        <v>41</v>
      </c>
      <c r="D13" s="72"/>
      <c r="E13" s="84" t="s">
        <v>41</v>
      </c>
      <c r="F13" s="72"/>
      <c r="G13" s="84" t="s">
        <v>41</v>
      </c>
      <c r="H13" s="72"/>
      <c r="I13" s="84" t="s">
        <v>41</v>
      </c>
      <c r="K13" s="83">
        <v>3860</v>
      </c>
      <c r="L13" s="72"/>
      <c r="M13" s="83">
        <v>9800</v>
      </c>
    </row>
    <row r="14" spans="1:14" ht="11.25" customHeight="1" x14ac:dyDescent="0.2">
      <c r="A14" s="184" t="s">
        <v>47</v>
      </c>
      <c r="C14" s="84" t="s">
        <v>41</v>
      </c>
      <c r="D14" s="72"/>
      <c r="E14" s="84" t="s">
        <v>41</v>
      </c>
      <c r="F14" s="72"/>
      <c r="G14" s="84" t="s">
        <v>41</v>
      </c>
      <c r="H14" s="72"/>
      <c r="I14" s="84" t="s">
        <v>41</v>
      </c>
      <c r="K14" s="83">
        <v>9100</v>
      </c>
      <c r="L14" s="72"/>
      <c r="M14" s="83">
        <v>12100</v>
      </c>
      <c r="N14" s="85"/>
    </row>
    <row r="15" spans="1:14" ht="11.25" customHeight="1" x14ac:dyDescent="0.2">
      <c r="A15" s="184" t="s">
        <v>48</v>
      </c>
      <c r="C15" s="84" t="s">
        <v>41</v>
      </c>
      <c r="D15" s="72"/>
      <c r="E15" s="84" t="s">
        <v>41</v>
      </c>
      <c r="F15" s="72"/>
      <c r="G15" s="84" t="s">
        <v>41</v>
      </c>
      <c r="H15" s="72"/>
      <c r="I15" s="84" t="s">
        <v>41</v>
      </c>
      <c r="K15" s="83">
        <v>1630</v>
      </c>
      <c r="L15" s="72"/>
      <c r="M15" s="83">
        <v>3690</v>
      </c>
    </row>
    <row r="16" spans="1:14" ht="11.25" customHeight="1" x14ac:dyDescent="0.2">
      <c r="A16" s="184" t="s">
        <v>49</v>
      </c>
      <c r="C16" s="139">
        <v>9440</v>
      </c>
      <c r="D16" s="140" t="s">
        <v>20</v>
      </c>
      <c r="E16" s="139">
        <v>43800</v>
      </c>
      <c r="F16" s="140" t="s">
        <v>20</v>
      </c>
      <c r="G16" s="139">
        <v>8410</v>
      </c>
      <c r="H16" s="140" t="s">
        <v>20</v>
      </c>
      <c r="I16" s="139">
        <v>28000</v>
      </c>
      <c r="J16" s="140" t="s">
        <v>20</v>
      </c>
      <c r="K16" s="139">
        <v>17900</v>
      </c>
      <c r="L16" s="140" t="s">
        <v>20</v>
      </c>
      <c r="M16" s="139">
        <v>71900</v>
      </c>
      <c r="N16" s="140"/>
    </row>
    <row r="17" spans="1:14" ht="11.25" customHeight="1" x14ac:dyDescent="0.2">
      <c r="A17" s="185" t="s">
        <v>34</v>
      </c>
      <c r="C17" s="86">
        <v>38200</v>
      </c>
      <c r="D17" s="87"/>
      <c r="E17" s="86">
        <v>176000</v>
      </c>
      <c r="F17" s="87"/>
      <c r="G17" s="86">
        <v>17300</v>
      </c>
      <c r="H17" s="87"/>
      <c r="I17" s="86">
        <v>45300</v>
      </c>
      <c r="J17" s="141"/>
      <c r="K17" s="139">
        <v>55400</v>
      </c>
      <c r="L17" s="141"/>
      <c r="M17" s="139">
        <v>221000</v>
      </c>
    </row>
    <row r="18" spans="1:14" ht="11.25" customHeight="1" x14ac:dyDescent="0.2">
      <c r="A18" s="88" t="s">
        <v>6</v>
      </c>
      <c r="C18" s="83"/>
      <c r="D18" s="72"/>
      <c r="E18" s="83"/>
      <c r="F18" s="72"/>
      <c r="G18" s="83"/>
      <c r="H18" s="72"/>
      <c r="I18" s="83"/>
      <c r="N18" s="92"/>
    </row>
    <row r="19" spans="1:14" ht="11.25" customHeight="1" x14ac:dyDescent="0.2">
      <c r="A19" s="184" t="s">
        <v>40</v>
      </c>
      <c r="C19" s="41" t="s">
        <v>41</v>
      </c>
      <c r="D19" s="45"/>
      <c r="E19" s="41" t="s">
        <v>41</v>
      </c>
      <c r="F19" s="45"/>
      <c r="G19" s="41" t="s">
        <v>41</v>
      </c>
      <c r="H19" s="45"/>
      <c r="I19" s="41" t="s">
        <v>41</v>
      </c>
      <c r="J19" s="70"/>
      <c r="K19" s="38">
        <v>10900</v>
      </c>
      <c r="L19" s="45"/>
      <c r="M19" s="38">
        <v>88200</v>
      </c>
    </row>
    <row r="20" spans="1:14" ht="11.25" customHeight="1" x14ac:dyDescent="0.2">
      <c r="A20" s="184" t="s">
        <v>42</v>
      </c>
      <c r="C20" s="38">
        <v>519</v>
      </c>
      <c r="D20" s="45"/>
      <c r="E20" s="38">
        <v>1720</v>
      </c>
      <c r="F20" s="45"/>
      <c r="G20" s="38">
        <v>1240</v>
      </c>
      <c r="H20" s="45"/>
      <c r="I20" s="38">
        <v>1630</v>
      </c>
      <c r="J20" s="70"/>
      <c r="K20" s="38">
        <v>1760</v>
      </c>
      <c r="L20" s="45"/>
      <c r="M20" s="38">
        <v>3350</v>
      </c>
    </row>
    <row r="21" spans="1:14" ht="11.25" customHeight="1" x14ac:dyDescent="0.2">
      <c r="A21" s="184" t="s">
        <v>43</v>
      </c>
      <c r="C21" s="41" t="s">
        <v>41</v>
      </c>
      <c r="D21" s="45"/>
      <c r="E21" s="41" t="s">
        <v>41</v>
      </c>
      <c r="F21" s="45"/>
      <c r="G21" s="41" t="s">
        <v>41</v>
      </c>
      <c r="H21" s="45"/>
      <c r="I21" s="41" t="s">
        <v>41</v>
      </c>
      <c r="J21" s="70"/>
      <c r="K21" s="38">
        <v>713</v>
      </c>
      <c r="L21" s="45"/>
      <c r="M21" s="38">
        <v>2200</v>
      </c>
    </row>
    <row r="22" spans="1:14" ht="11.25" customHeight="1" x14ac:dyDescent="0.2">
      <c r="A22" s="184" t="s">
        <v>44</v>
      </c>
      <c r="C22" s="41" t="s">
        <v>41</v>
      </c>
      <c r="D22" s="45"/>
      <c r="E22" s="41" t="s">
        <v>41</v>
      </c>
      <c r="F22" s="45"/>
      <c r="G22" s="41" t="s">
        <v>41</v>
      </c>
      <c r="H22" s="45"/>
      <c r="I22" s="41" t="s">
        <v>41</v>
      </c>
      <c r="J22" s="70"/>
      <c r="K22" s="38">
        <v>1500</v>
      </c>
      <c r="L22" s="45"/>
      <c r="M22" s="38">
        <v>5900</v>
      </c>
    </row>
    <row r="23" spans="1:14" ht="11.25" customHeight="1" x14ac:dyDescent="0.2">
      <c r="A23" s="184" t="s">
        <v>45</v>
      </c>
      <c r="C23" s="38">
        <v>997</v>
      </c>
      <c r="D23" s="45"/>
      <c r="E23" s="38">
        <v>2110</v>
      </c>
      <c r="F23" s="45"/>
      <c r="G23" s="38">
        <v>1800</v>
      </c>
      <c r="H23" s="45"/>
      <c r="I23" s="38">
        <v>3010</v>
      </c>
      <c r="J23" s="70"/>
      <c r="K23" s="38">
        <v>2800</v>
      </c>
      <c r="L23" s="45"/>
      <c r="M23" s="38">
        <v>5120</v>
      </c>
    </row>
    <row r="24" spans="1:14" ht="11.25" customHeight="1" x14ac:dyDescent="0.2">
      <c r="A24" s="184" t="s">
        <v>46</v>
      </c>
      <c r="C24" s="41" t="s">
        <v>41</v>
      </c>
      <c r="D24" s="45"/>
      <c r="E24" s="41" t="s">
        <v>41</v>
      </c>
      <c r="F24" s="45"/>
      <c r="G24" s="41" t="s">
        <v>41</v>
      </c>
      <c r="H24" s="45"/>
      <c r="I24" s="41" t="s">
        <v>41</v>
      </c>
      <c r="J24" s="70"/>
      <c r="K24" s="38">
        <v>2140</v>
      </c>
      <c r="L24" s="45"/>
      <c r="M24" s="38">
        <v>4890</v>
      </c>
    </row>
    <row r="25" spans="1:14" ht="11.25" customHeight="1" x14ac:dyDescent="0.2">
      <c r="A25" s="184" t="s">
        <v>47</v>
      </c>
      <c r="C25" s="41" t="s">
        <v>41</v>
      </c>
      <c r="D25" s="45"/>
      <c r="E25" s="41" t="s">
        <v>41</v>
      </c>
      <c r="F25" s="45"/>
      <c r="G25" s="41" t="s">
        <v>41</v>
      </c>
      <c r="H25" s="45"/>
      <c r="I25" s="41" t="s">
        <v>41</v>
      </c>
      <c r="J25" s="70"/>
      <c r="K25" s="38">
        <v>8890</v>
      </c>
      <c r="L25" s="45"/>
      <c r="M25" s="38">
        <v>11500</v>
      </c>
    </row>
    <row r="26" spans="1:14" ht="11.25" customHeight="1" x14ac:dyDescent="0.2">
      <c r="A26" s="184" t="s">
        <v>48</v>
      </c>
      <c r="C26" s="41" t="s">
        <v>41</v>
      </c>
      <c r="D26" s="45"/>
      <c r="E26" s="41" t="s">
        <v>41</v>
      </c>
      <c r="F26" s="45"/>
      <c r="G26" s="41" t="s">
        <v>41</v>
      </c>
      <c r="H26" s="45"/>
      <c r="I26" s="41" t="s">
        <v>41</v>
      </c>
      <c r="J26" s="70"/>
      <c r="K26" s="38">
        <v>437</v>
      </c>
      <c r="L26" s="45"/>
      <c r="M26" s="38">
        <v>1130</v>
      </c>
    </row>
    <row r="27" spans="1:14" ht="11.25" customHeight="1" x14ac:dyDescent="0.2">
      <c r="A27" s="184" t="s">
        <v>49</v>
      </c>
      <c r="C27" s="139">
        <v>6050</v>
      </c>
      <c r="D27" s="140"/>
      <c r="E27" s="139">
        <v>34500</v>
      </c>
      <c r="F27" s="140"/>
      <c r="G27" s="139">
        <v>8220</v>
      </c>
      <c r="H27" s="140"/>
      <c r="I27" s="139">
        <v>27500</v>
      </c>
      <c r="J27" s="141"/>
      <c r="K27" s="139">
        <v>14300</v>
      </c>
      <c r="L27" s="141"/>
      <c r="M27" s="139">
        <v>62000</v>
      </c>
    </row>
    <row r="28" spans="1:14" ht="11.25" customHeight="1" x14ac:dyDescent="0.2">
      <c r="A28" s="143" t="s">
        <v>34</v>
      </c>
      <c r="B28" s="142"/>
      <c r="C28" s="144">
        <v>27300</v>
      </c>
      <c r="D28" s="145"/>
      <c r="E28" s="144">
        <v>140000</v>
      </c>
      <c r="F28" s="145"/>
      <c r="G28" s="144">
        <v>16100</v>
      </c>
      <c r="H28" s="145"/>
      <c r="I28" s="144">
        <v>44500</v>
      </c>
      <c r="J28" s="142"/>
      <c r="K28" s="146">
        <v>43400</v>
      </c>
      <c r="L28" s="142"/>
      <c r="M28" s="146">
        <v>184000</v>
      </c>
      <c r="N28" s="92"/>
    </row>
    <row r="29" spans="1:14" s="151" customFormat="1" ht="11.25" customHeight="1" x14ac:dyDescent="0.2">
      <c r="A29" s="247" t="s">
        <v>50</v>
      </c>
      <c r="B29" s="248"/>
      <c r="C29" s="248"/>
      <c r="D29" s="248"/>
      <c r="E29" s="248"/>
      <c r="F29" s="248"/>
      <c r="G29" s="248"/>
      <c r="H29" s="248"/>
      <c r="I29" s="248"/>
      <c r="J29" s="248"/>
      <c r="K29" s="248"/>
      <c r="L29" s="248"/>
      <c r="M29" s="248"/>
      <c r="N29" s="248"/>
    </row>
    <row r="30" spans="1:14" s="75" customFormat="1" ht="22.5" customHeight="1" x14ac:dyDescent="0.2">
      <c r="A30" s="240" t="s">
        <v>26</v>
      </c>
      <c r="B30" s="240"/>
      <c r="C30" s="240"/>
      <c r="D30" s="240"/>
      <c r="E30" s="240"/>
      <c r="F30" s="240"/>
      <c r="G30" s="240"/>
      <c r="H30" s="240"/>
      <c r="I30" s="240"/>
      <c r="J30" s="240"/>
      <c r="K30" s="240"/>
      <c r="L30" s="240"/>
      <c r="M30" s="240"/>
      <c r="N30" s="240"/>
    </row>
    <row r="31" spans="1:14" s="76" customFormat="1" ht="11.25" customHeight="1" x14ac:dyDescent="0.2">
      <c r="A31" s="246" t="s">
        <v>51</v>
      </c>
      <c r="B31" s="246"/>
      <c r="C31" s="246"/>
      <c r="D31" s="246"/>
      <c r="E31" s="246"/>
      <c r="F31" s="246"/>
      <c r="G31" s="246"/>
      <c r="H31" s="246"/>
      <c r="I31" s="246"/>
      <c r="J31" s="246"/>
      <c r="K31" s="246"/>
      <c r="L31" s="246"/>
      <c r="M31" s="246"/>
      <c r="N31" s="246"/>
    </row>
    <row r="32" spans="1:14" s="76" customFormat="1" ht="11.25" customHeight="1" x14ac:dyDescent="0.2">
      <c r="A32" s="246" t="s">
        <v>52</v>
      </c>
      <c r="B32" s="246"/>
      <c r="C32" s="246"/>
      <c r="D32" s="246"/>
      <c r="E32" s="246"/>
      <c r="F32" s="246"/>
      <c r="G32" s="246"/>
      <c r="H32" s="246"/>
      <c r="I32" s="246"/>
      <c r="J32" s="246"/>
      <c r="K32" s="246"/>
      <c r="L32" s="246"/>
      <c r="M32" s="246"/>
      <c r="N32" s="246"/>
    </row>
    <row r="33" spans="1:14" s="76" customFormat="1" ht="11.25" customHeight="1" x14ac:dyDescent="0.2">
      <c r="A33" s="246" t="s">
        <v>53</v>
      </c>
      <c r="B33" s="246"/>
      <c r="C33" s="246"/>
      <c r="D33" s="246"/>
      <c r="E33" s="246"/>
      <c r="F33" s="246"/>
      <c r="G33" s="246"/>
      <c r="H33" s="246"/>
      <c r="I33" s="246"/>
      <c r="J33" s="246"/>
      <c r="K33" s="246"/>
      <c r="L33" s="246"/>
      <c r="M33" s="246"/>
      <c r="N33" s="246"/>
    </row>
    <row r="34" spans="1:14" s="76" customFormat="1" ht="11.25" customHeight="1" x14ac:dyDescent="0.2">
      <c r="A34" s="246" t="s">
        <v>54</v>
      </c>
      <c r="B34" s="246"/>
      <c r="C34" s="246"/>
      <c r="D34" s="246"/>
      <c r="E34" s="246"/>
      <c r="F34" s="246"/>
      <c r="G34" s="246"/>
      <c r="H34" s="246"/>
      <c r="I34" s="246"/>
      <c r="J34" s="246"/>
      <c r="K34" s="246"/>
      <c r="L34" s="246"/>
      <c r="M34" s="246"/>
      <c r="N34" s="246"/>
    </row>
    <row r="35" spans="1:14" s="76" customFormat="1" ht="33.75" customHeight="1" x14ac:dyDescent="0.2">
      <c r="A35" s="240" t="s">
        <v>55</v>
      </c>
      <c r="B35" s="240"/>
      <c r="C35" s="240"/>
      <c r="D35" s="240"/>
      <c r="E35" s="240"/>
      <c r="F35" s="240"/>
      <c r="G35" s="240"/>
      <c r="H35" s="240"/>
      <c r="I35" s="240"/>
      <c r="J35" s="240"/>
      <c r="K35" s="240"/>
      <c r="L35" s="240"/>
      <c r="M35" s="240"/>
      <c r="N35" s="240"/>
    </row>
    <row r="36" spans="1:14" s="76" customFormat="1" ht="11.25" customHeight="1" x14ac:dyDescent="0.2">
      <c r="A36" s="89"/>
      <c r="B36" s="89"/>
      <c r="C36" s="89"/>
      <c r="D36" s="89"/>
      <c r="E36" s="89"/>
      <c r="F36" s="89"/>
      <c r="G36" s="89"/>
      <c r="H36" s="89"/>
      <c r="I36" s="89"/>
      <c r="J36" s="162"/>
      <c r="K36" s="162"/>
      <c r="L36" s="162"/>
      <c r="M36" s="162"/>
      <c r="N36" s="162"/>
    </row>
    <row r="37" spans="1:14" s="76" customFormat="1" ht="11.25" customHeight="1" x14ac:dyDescent="0.2">
      <c r="A37" s="90"/>
      <c r="B37" s="90"/>
      <c r="C37" s="90"/>
      <c r="D37" s="90"/>
      <c r="E37" s="90"/>
      <c r="F37" s="90"/>
      <c r="G37" s="90"/>
      <c r="H37" s="90"/>
      <c r="I37" s="90"/>
      <c r="J37" s="162"/>
      <c r="K37" s="162"/>
      <c r="L37" s="162"/>
      <c r="M37" s="162"/>
      <c r="N37" s="162"/>
    </row>
    <row r="38" spans="1:14" x14ac:dyDescent="0.2">
      <c r="A38" s="79"/>
      <c r="B38" s="79"/>
      <c r="C38" s="79"/>
      <c r="D38" s="79"/>
      <c r="E38" s="79"/>
      <c r="F38" s="79"/>
      <c r="G38" s="79"/>
      <c r="H38" s="79"/>
      <c r="I38" s="79"/>
    </row>
    <row r="39" spans="1:14" x14ac:dyDescent="0.2">
      <c r="C39" s="78"/>
      <c r="D39" s="78"/>
      <c r="E39" s="78"/>
      <c r="F39" s="78"/>
      <c r="G39" s="78"/>
      <c r="H39" s="78"/>
      <c r="I39" s="78"/>
    </row>
  </sheetData>
  <mergeCells count="13">
    <mergeCell ref="A34:N34"/>
    <mergeCell ref="A35:N35"/>
    <mergeCell ref="A29:N29"/>
    <mergeCell ref="A30:N30"/>
    <mergeCell ref="A31:N31"/>
    <mergeCell ref="A32:N32"/>
    <mergeCell ref="A33:N33"/>
    <mergeCell ref="K4:M4"/>
    <mergeCell ref="C4:E4"/>
    <mergeCell ref="G4:I4"/>
    <mergeCell ref="A1:N1"/>
    <mergeCell ref="A2:N2"/>
    <mergeCell ref="A3:N3"/>
  </mergeCells>
  <pageMargins left="0.5" right="0.5" top="0.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22"/>
  <sheetViews>
    <sheetView zoomScaleNormal="100" workbookViewId="0">
      <selection sqref="A1:F1"/>
    </sheetView>
  </sheetViews>
  <sheetFormatPr defaultColWidth="9.33203125" defaultRowHeight="11.25" x14ac:dyDescent="0.2"/>
  <cols>
    <col min="1" max="1" width="47.83203125" style="17" customWidth="1"/>
    <col min="2" max="2" width="1.6640625" style="11" customWidth="1"/>
    <col min="3" max="3" width="12.6640625" style="21" customWidth="1"/>
    <col min="4" max="4" width="1.6640625" style="11" customWidth="1"/>
    <col min="5" max="5" width="12.6640625" style="21" customWidth="1"/>
    <col min="6" max="6" width="1.6640625" style="17" customWidth="1"/>
    <col min="7" max="16384" width="9.33203125" style="17"/>
  </cols>
  <sheetData>
    <row r="1" spans="1:6" ht="11.25" customHeight="1" x14ac:dyDescent="0.2">
      <c r="A1" s="241" t="s">
        <v>56</v>
      </c>
      <c r="B1" s="241"/>
      <c r="C1" s="241"/>
      <c r="D1" s="241"/>
      <c r="E1" s="241"/>
      <c r="F1" s="241"/>
    </row>
    <row r="2" spans="1:6" ht="11.25" customHeight="1" x14ac:dyDescent="0.2">
      <c r="A2" s="241" t="s">
        <v>57</v>
      </c>
      <c r="B2" s="241"/>
      <c r="C2" s="241"/>
      <c r="D2" s="241"/>
      <c r="E2" s="241"/>
      <c r="F2" s="241"/>
    </row>
    <row r="3" spans="1:6" ht="11.25" customHeight="1" x14ac:dyDescent="0.2">
      <c r="A3" s="249"/>
      <c r="B3" s="249"/>
      <c r="C3" s="249"/>
      <c r="D3" s="249"/>
      <c r="E3" s="249"/>
      <c r="F3" s="249"/>
    </row>
    <row r="4" spans="1:6" ht="11.25" customHeight="1" x14ac:dyDescent="0.2">
      <c r="A4" s="23"/>
      <c r="B4" s="24"/>
      <c r="C4" s="25" t="s">
        <v>35</v>
      </c>
      <c r="D4" s="47"/>
      <c r="E4" s="57" t="s">
        <v>36</v>
      </c>
      <c r="F4" s="70"/>
    </row>
    <row r="5" spans="1:6" ht="11.25" customHeight="1" x14ac:dyDescent="0.2">
      <c r="A5" s="186" t="s">
        <v>37</v>
      </c>
      <c r="B5" s="187"/>
      <c r="C5" s="186" t="s">
        <v>38</v>
      </c>
      <c r="D5" s="174"/>
      <c r="E5" s="186" t="s">
        <v>39</v>
      </c>
      <c r="F5" s="188"/>
    </row>
    <row r="6" spans="1:6" ht="11.25" customHeight="1" x14ac:dyDescent="0.2">
      <c r="A6" s="156" t="s">
        <v>58</v>
      </c>
      <c r="D6" s="45"/>
      <c r="F6" s="70"/>
    </row>
    <row r="7" spans="1:6" ht="11.25" customHeight="1" x14ac:dyDescent="0.2">
      <c r="A7" s="64" t="s">
        <v>59</v>
      </c>
      <c r="C7" s="84" t="s">
        <v>41</v>
      </c>
      <c r="D7" s="72"/>
      <c r="E7" s="84" t="s">
        <v>41</v>
      </c>
      <c r="F7" s="70"/>
    </row>
    <row r="8" spans="1:6" ht="11.25" customHeight="1" x14ac:dyDescent="0.2">
      <c r="A8" s="64" t="s">
        <v>60</v>
      </c>
      <c r="C8" s="127">
        <v>106000</v>
      </c>
      <c r="D8" s="72"/>
      <c r="E8" s="131">
        <v>816000</v>
      </c>
      <c r="F8" s="70"/>
    </row>
    <row r="9" spans="1:6" ht="11.25" customHeight="1" x14ac:dyDescent="0.2">
      <c r="A9" s="64" t="s">
        <v>61</v>
      </c>
      <c r="C9" s="127">
        <v>9820</v>
      </c>
      <c r="D9" s="72"/>
      <c r="E9" s="84" t="s">
        <v>41</v>
      </c>
      <c r="F9" s="8"/>
    </row>
    <row r="10" spans="1:6" ht="11.25" customHeight="1" x14ac:dyDescent="0.2">
      <c r="A10" s="64" t="s">
        <v>62</v>
      </c>
      <c r="C10" s="127">
        <v>200000</v>
      </c>
      <c r="D10" s="140" t="s">
        <v>20</v>
      </c>
      <c r="E10" s="127">
        <v>572000</v>
      </c>
      <c r="F10" s="174" t="s">
        <v>20</v>
      </c>
    </row>
    <row r="11" spans="1:6" ht="11.25" customHeight="1" x14ac:dyDescent="0.2">
      <c r="A11" s="55" t="s">
        <v>34</v>
      </c>
      <c r="C11" s="128">
        <v>316000</v>
      </c>
      <c r="D11" s="87" t="s">
        <v>20</v>
      </c>
      <c r="E11" s="128">
        <v>1390000</v>
      </c>
      <c r="F11" s="46" t="s">
        <v>20</v>
      </c>
    </row>
    <row r="12" spans="1:6" ht="11.25" customHeight="1" x14ac:dyDescent="0.2">
      <c r="A12" s="52" t="s">
        <v>63</v>
      </c>
      <c r="C12" s="83"/>
      <c r="D12" s="72"/>
      <c r="E12" s="83"/>
      <c r="F12" s="70"/>
    </row>
    <row r="13" spans="1:6" ht="11.25" customHeight="1" x14ac:dyDescent="0.2">
      <c r="A13" s="64" t="s">
        <v>59</v>
      </c>
      <c r="C13" s="84" t="s">
        <v>41</v>
      </c>
      <c r="D13" s="72"/>
      <c r="E13" s="84" t="s">
        <v>41</v>
      </c>
      <c r="F13" s="70"/>
    </row>
    <row r="14" spans="1:6" ht="11.25" customHeight="1" x14ac:dyDescent="0.2">
      <c r="A14" s="64" t="s">
        <v>60</v>
      </c>
      <c r="C14" s="127">
        <v>103000</v>
      </c>
      <c r="D14" s="72"/>
      <c r="E14" s="127">
        <v>672000</v>
      </c>
      <c r="F14" s="70"/>
    </row>
    <row r="15" spans="1:6" ht="11.25" customHeight="1" x14ac:dyDescent="0.2">
      <c r="A15" s="64" t="s">
        <v>61</v>
      </c>
      <c r="C15" s="127">
        <v>9710</v>
      </c>
      <c r="D15" s="72"/>
      <c r="E15" s="84" t="s">
        <v>41</v>
      </c>
      <c r="F15" s="70"/>
    </row>
    <row r="16" spans="1:6" ht="11.25" customHeight="1" x14ac:dyDescent="0.2">
      <c r="A16" s="64" t="s">
        <v>62</v>
      </c>
      <c r="C16" s="127">
        <v>230000</v>
      </c>
      <c r="D16" s="72"/>
      <c r="E16" s="127">
        <v>523000</v>
      </c>
      <c r="F16" s="188"/>
    </row>
    <row r="17" spans="1:6" ht="11.25" customHeight="1" x14ac:dyDescent="0.2">
      <c r="A17" s="55" t="s">
        <v>34</v>
      </c>
      <c r="B17" s="12"/>
      <c r="C17" s="128">
        <v>343000</v>
      </c>
      <c r="D17" s="87"/>
      <c r="E17" s="128">
        <v>1200000</v>
      </c>
      <c r="F17" s="188"/>
    </row>
    <row r="18" spans="1:6" s="22" customFormat="1" ht="11.25" customHeight="1" x14ac:dyDescent="0.2">
      <c r="A18" s="250" t="s">
        <v>64</v>
      </c>
      <c r="B18" s="251"/>
      <c r="C18" s="251"/>
      <c r="D18" s="251"/>
      <c r="E18" s="251"/>
      <c r="F18" s="251"/>
    </row>
    <row r="19" spans="1:6" s="44" customFormat="1" ht="22.5" customHeight="1" x14ac:dyDescent="0.2">
      <c r="A19" s="252" t="s">
        <v>26</v>
      </c>
      <c r="B19" s="252"/>
      <c r="C19" s="252"/>
      <c r="D19" s="252"/>
      <c r="E19" s="252"/>
      <c r="F19" s="252"/>
    </row>
    <row r="20" spans="1:6" s="20" customFormat="1" ht="33.75" customHeight="1" x14ac:dyDescent="0.2">
      <c r="A20" s="239" t="s">
        <v>65</v>
      </c>
      <c r="B20" s="239"/>
      <c r="C20" s="239"/>
      <c r="D20" s="239"/>
      <c r="E20" s="239"/>
      <c r="F20" s="239"/>
    </row>
    <row r="21" spans="1:6" s="22" customFormat="1" ht="11.25" customHeight="1" x14ac:dyDescent="0.2">
      <c r="A21" s="42"/>
      <c r="B21" s="42"/>
      <c r="C21" s="42"/>
      <c r="D21" s="42"/>
      <c r="E21" s="42"/>
      <c r="F21" s="155"/>
    </row>
    <row r="22" spans="1:6" s="22" customFormat="1" ht="11.25" customHeight="1" x14ac:dyDescent="0.2">
      <c r="A22" s="42"/>
      <c r="B22" s="42"/>
      <c r="C22" s="42"/>
      <c r="D22" s="42"/>
      <c r="E22" s="42"/>
      <c r="F22" s="155"/>
    </row>
  </sheetData>
  <mergeCells count="6">
    <mergeCell ref="A20:F20"/>
    <mergeCell ref="A1:F1"/>
    <mergeCell ref="A2:F2"/>
    <mergeCell ref="A3:F3"/>
    <mergeCell ref="A18:F18"/>
    <mergeCell ref="A19:F19"/>
  </mergeCells>
  <pageMargins left="0.5" right="0.5" top="0.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16"/>
  <sheetViews>
    <sheetView zoomScaleNormal="100" workbookViewId="0">
      <selection sqref="A1:E1"/>
    </sheetView>
  </sheetViews>
  <sheetFormatPr defaultColWidth="9.33203125" defaultRowHeight="11.25" x14ac:dyDescent="0.2"/>
  <cols>
    <col min="1" max="1" width="60.5" style="17" customWidth="1"/>
    <col min="2" max="2" width="1.83203125" style="17" customWidth="1"/>
    <col min="3" max="3" width="22.6640625" style="17" customWidth="1"/>
    <col min="4" max="4" width="1.83203125" style="17" customWidth="1"/>
    <col min="5" max="5" width="22.6640625" style="17" customWidth="1"/>
    <col min="6" max="16384" width="9.33203125" style="17"/>
  </cols>
  <sheetData>
    <row r="1" spans="1:5" ht="11.25" customHeight="1" x14ac:dyDescent="0.2">
      <c r="A1" s="241" t="s">
        <v>66</v>
      </c>
      <c r="B1" s="241"/>
      <c r="C1" s="241"/>
      <c r="D1" s="241"/>
      <c r="E1" s="241"/>
    </row>
    <row r="2" spans="1:5" ht="11.25" customHeight="1" x14ac:dyDescent="0.2">
      <c r="A2" s="241" t="s">
        <v>67</v>
      </c>
      <c r="B2" s="241"/>
      <c r="C2" s="241"/>
      <c r="D2" s="241"/>
      <c r="E2" s="241"/>
    </row>
    <row r="3" spans="1:5" ht="11.25" customHeight="1" x14ac:dyDescent="0.2">
      <c r="A3" s="241"/>
      <c r="B3" s="241"/>
      <c r="C3" s="241"/>
      <c r="D3" s="241"/>
      <c r="E3" s="241"/>
    </row>
    <row r="4" spans="1:5" ht="11.25" customHeight="1" x14ac:dyDescent="0.2">
      <c r="A4" s="241" t="s">
        <v>68</v>
      </c>
      <c r="B4" s="241"/>
      <c r="C4" s="241"/>
      <c r="D4" s="241"/>
      <c r="E4" s="241"/>
    </row>
    <row r="5" spans="1:5" ht="11.25" customHeight="1" x14ac:dyDescent="0.2">
      <c r="A5" s="249"/>
      <c r="B5" s="249"/>
      <c r="C5" s="249"/>
      <c r="D5" s="249"/>
      <c r="E5" s="249"/>
    </row>
    <row r="6" spans="1:5" ht="11.25" customHeight="1" x14ac:dyDescent="0.2">
      <c r="A6" s="157" t="s">
        <v>69</v>
      </c>
      <c r="B6" s="165"/>
      <c r="C6" s="189" t="s">
        <v>5</v>
      </c>
      <c r="D6" s="165"/>
      <c r="E6" s="189" t="s">
        <v>6</v>
      </c>
    </row>
    <row r="7" spans="1:5" ht="11.25" customHeight="1" x14ac:dyDescent="0.2">
      <c r="A7" s="183" t="s">
        <v>70</v>
      </c>
      <c r="B7" s="141"/>
      <c r="C7" s="190" t="s">
        <v>71</v>
      </c>
      <c r="D7" s="191"/>
      <c r="E7" s="192" t="s">
        <v>72</v>
      </c>
    </row>
    <row r="8" spans="1:5" ht="11.25" customHeight="1" x14ac:dyDescent="0.2">
      <c r="A8" s="183" t="s">
        <v>73</v>
      </c>
      <c r="B8" s="141"/>
      <c r="C8" s="139">
        <v>830</v>
      </c>
      <c r="D8" s="191"/>
      <c r="E8" s="193" t="s">
        <v>74</v>
      </c>
    </row>
    <row r="9" spans="1:5" ht="11.25" customHeight="1" x14ac:dyDescent="0.2">
      <c r="A9" s="183" t="s">
        <v>75</v>
      </c>
      <c r="B9" s="141"/>
      <c r="C9" s="139">
        <v>980</v>
      </c>
      <c r="D9" s="191"/>
      <c r="E9" s="193" t="s">
        <v>76</v>
      </c>
    </row>
    <row r="10" spans="1:5" s="43" customFormat="1" ht="11.25" customHeight="1" x14ac:dyDescent="0.2">
      <c r="A10" s="183" t="s">
        <v>77</v>
      </c>
      <c r="B10" s="141"/>
      <c r="C10" s="139">
        <v>1200</v>
      </c>
      <c r="D10" s="191"/>
      <c r="E10" s="193" t="s">
        <v>78</v>
      </c>
    </row>
    <row r="11" spans="1:5" s="70" customFormat="1" ht="11.25" customHeight="1" x14ac:dyDescent="0.2">
      <c r="A11" s="88" t="s">
        <v>79</v>
      </c>
      <c r="B11" s="108"/>
      <c r="C11" s="190" t="s">
        <v>80</v>
      </c>
      <c r="D11" s="109"/>
      <c r="E11" s="192" t="s">
        <v>81</v>
      </c>
    </row>
    <row r="12" spans="1:5" s="22" customFormat="1" ht="11.25" customHeight="1" x14ac:dyDescent="0.2">
      <c r="A12" s="254" t="s">
        <v>82</v>
      </c>
      <c r="B12" s="255"/>
      <c r="C12" s="255"/>
      <c r="D12" s="255"/>
      <c r="E12" s="255"/>
    </row>
    <row r="13" spans="1:5" s="22" customFormat="1" ht="11.25" customHeight="1" x14ac:dyDescent="0.2">
      <c r="A13" s="246" t="s">
        <v>83</v>
      </c>
      <c r="B13" s="246"/>
      <c r="C13" s="246"/>
      <c r="D13" s="246"/>
      <c r="E13" s="246"/>
    </row>
    <row r="14" spans="1:5" s="71" customFormat="1" ht="11.25" customHeight="1" x14ac:dyDescent="0.2">
      <c r="A14" s="246"/>
      <c r="B14" s="246"/>
      <c r="C14" s="246"/>
      <c r="D14" s="246"/>
      <c r="E14" s="246"/>
    </row>
    <row r="15" spans="1:5" s="22" customFormat="1" ht="11.25" customHeight="1" x14ac:dyDescent="0.2">
      <c r="A15" s="253" t="s">
        <v>84</v>
      </c>
      <c r="B15" s="253"/>
      <c r="C15" s="253"/>
      <c r="D15" s="253"/>
      <c r="E15" s="253"/>
    </row>
    <row r="16" spans="1:5" x14ac:dyDescent="0.2">
      <c r="A16" s="70"/>
      <c r="B16" s="70"/>
      <c r="C16" s="70"/>
      <c r="D16" s="70"/>
      <c r="E16" s="70"/>
    </row>
  </sheetData>
  <mergeCells count="9">
    <mergeCell ref="A15:E15"/>
    <mergeCell ref="A13:E13"/>
    <mergeCell ref="A3:E3"/>
    <mergeCell ref="A5:E5"/>
    <mergeCell ref="A1:E1"/>
    <mergeCell ref="A2:E2"/>
    <mergeCell ref="A4:E4"/>
    <mergeCell ref="A12:E12"/>
    <mergeCell ref="A14:E14"/>
  </mergeCells>
  <pageMargins left="0.5" right="0.5" top="0.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V54"/>
  <sheetViews>
    <sheetView zoomScaleNormal="100" workbookViewId="0">
      <selection sqref="A1:N1"/>
    </sheetView>
  </sheetViews>
  <sheetFormatPr defaultColWidth="9.33203125" defaultRowHeight="11.25" x14ac:dyDescent="0.2"/>
  <cols>
    <col min="1" max="1" width="25.83203125" style="17" customWidth="1"/>
    <col min="2" max="2" width="1.83203125" style="17" customWidth="1"/>
    <col min="3" max="3" width="11.33203125" style="10" bestFit="1" customWidth="1"/>
    <col min="4" max="4" width="1.83203125" style="11" customWidth="1"/>
    <col min="5" max="5" width="10" style="10" bestFit="1" customWidth="1"/>
    <col min="6" max="6" width="1.83203125" style="11" customWidth="1"/>
    <col min="7" max="7" width="11.33203125" style="10" bestFit="1" customWidth="1"/>
    <col min="8" max="8" width="1.83203125" style="11" customWidth="1"/>
    <col min="9" max="9" width="10" style="10" bestFit="1" customWidth="1"/>
    <col min="10" max="10" width="1.83203125" style="11" customWidth="1"/>
    <col min="11" max="11" width="11.33203125" style="10" bestFit="1" customWidth="1"/>
    <col min="12" max="12" width="1.83203125" style="11" customWidth="1"/>
    <col min="13" max="13" width="10" style="10" bestFit="1" customWidth="1"/>
    <col min="14" max="14" width="1.6640625" style="17" customWidth="1"/>
    <col min="15" max="16384" width="9.33203125" style="17"/>
  </cols>
  <sheetData>
    <row r="1" spans="1:22" ht="11.25" customHeight="1" x14ac:dyDescent="0.2">
      <c r="A1" s="241" t="s">
        <v>85</v>
      </c>
      <c r="B1" s="241"/>
      <c r="C1" s="241"/>
      <c r="D1" s="241"/>
      <c r="E1" s="241"/>
      <c r="F1" s="241"/>
      <c r="G1" s="241"/>
      <c r="H1" s="241"/>
      <c r="I1" s="241"/>
      <c r="J1" s="241"/>
      <c r="K1" s="241"/>
      <c r="L1" s="241"/>
      <c r="M1" s="241"/>
      <c r="N1" s="241"/>
      <c r="O1" s="70"/>
      <c r="P1" s="70"/>
      <c r="Q1" s="70"/>
      <c r="R1" s="70"/>
      <c r="S1" s="70"/>
      <c r="T1" s="70"/>
      <c r="U1" s="70"/>
      <c r="V1" s="70"/>
    </row>
    <row r="2" spans="1:22" ht="11.25" customHeight="1" x14ac:dyDescent="0.2">
      <c r="A2" s="241" t="s">
        <v>86</v>
      </c>
      <c r="B2" s="241"/>
      <c r="C2" s="241"/>
      <c r="D2" s="241"/>
      <c r="E2" s="241"/>
      <c r="F2" s="241"/>
      <c r="G2" s="241"/>
      <c r="H2" s="241"/>
      <c r="I2" s="241"/>
      <c r="J2" s="241"/>
      <c r="K2" s="241"/>
      <c r="L2" s="241"/>
      <c r="M2" s="241"/>
      <c r="N2" s="241"/>
      <c r="O2" s="70"/>
      <c r="P2" s="70"/>
      <c r="Q2" s="70"/>
      <c r="R2" s="70"/>
      <c r="S2" s="70"/>
      <c r="T2" s="70"/>
      <c r="U2" s="70"/>
      <c r="V2" s="70"/>
    </row>
    <row r="3" spans="1:22" ht="11.25" customHeight="1" x14ac:dyDescent="0.2">
      <c r="A3" s="249"/>
      <c r="B3" s="249"/>
      <c r="C3" s="249"/>
      <c r="D3" s="249"/>
      <c r="E3" s="249"/>
      <c r="F3" s="249"/>
      <c r="G3" s="249"/>
      <c r="H3" s="249"/>
      <c r="I3" s="249"/>
      <c r="J3" s="249"/>
      <c r="K3" s="249"/>
      <c r="L3" s="249"/>
      <c r="M3" s="249"/>
      <c r="N3" s="249"/>
      <c r="O3" s="70"/>
      <c r="P3" s="70"/>
      <c r="Q3" s="70"/>
      <c r="R3" s="70"/>
      <c r="S3" s="70"/>
      <c r="T3" s="70"/>
      <c r="U3" s="70"/>
      <c r="V3" s="70"/>
    </row>
    <row r="4" spans="1:22" ht="11.25" customHeight="1" x14ac:dyDescent="0.2">
      <c r="A4" s="18"/>
      <c r="B4" s="18"/>
      <c r="C4" s="249" t="s">
        <v>87</v>
      </c>
      <c r="D4" s="249"/>
      <c r="E4" s="249"/>
      <c r="F4" s="15"/>
      <c r="G4" s="249" t="s">
        <v>88</v>
      </c>
      <c r="H4" s="249"/>
      <c r="I4" s="249"/>
      <c r="J4" s="15"/>
      <c r="K4" s="257" t="s">
        <v>34</v>
      </c>
      <c r="L4" s="257"/>
      <c r="M4" s="257"/>
      <c r="N4" s="188"/>
      <c r="O4" s="70"/>
      <c r="P4" s="70"/>
      <c r="Q4" s="70"/>
      <c r="R4" s="70"/>
      <c r="S4" s="70"/>
      <c r="T4" s="70"/>
      <c r="U4" s="70"/>
      <c r="V4" s="70"/>
    </row>
    <row r="5" spans="1:22" ht="11.25" customHeight="1" x14ac:dyDescent="0.2">
      <c r="A5" s="25"/>
      <c r="B5" s="23"/>
      <c r="C5" s="25" t="s">
        <v>35</v>
      </c>
      <c r="D5" s="24"/>
      <c r="E5" s="25" t="s">
        <v>89</v>
      </c>
      <c r="F5" s="24"/>
      <c r="G5" s="25" t="s">
        <v>35</v>
      </c>
      <c r="H5" s="24"/>
      <c r="I5" s="25" t="s">
        <v>89</v>
      </c>
      <c r="J5" s="24"/>
      <c r="K5" s="25" t="s">
        <v>35</v>
      </c>
      <c r="L5" s="24"/>
      <c r="M5" s="57" t="s">
        <v>89</v>
      </c>
      <c r="N5" s="12"/>
      <c r="O5" s="27"/>
      <c r="P5" s="70"/>
      <c r="Q5" s="70"/>
      <c r="R5" s="70"/>
      <c r="S5" s="70"/>
      <c r="T5" s="70"/>
      <c r="U5" s="70"/>
      <c r="V5" s="70"/>
    </row>
    <row r="6" spans="1:22" ht="11.25" customHeight="1" x14ac:dyDescent="0.2">
      <c r="A6" s="25" t="s">
        <v>90</v>
      </c>
      <c r="B6" s="194"/>
      <c r="C6" s="186" t="s">
        <v>38</v>
      </c>
      <c r="D6" s="187"/>
      <c r="E6" s="186" t="s">
        <v>39</v>
      </c>
      <c r="F6" s="187"/>
      <c r="G6" s="186" t="s">
        <v>38</v>
      </c>
      <c r="H6" s="187"/>
      <c r="I6" s="186" t="s">
        <v>39</v>
      </c>
      <c r="J6" s="187"/>
      <c r="K6" s="186" t="s">
        <v>38</v>
      </c>
      <c r="L6" s="187"/>
      <c r="M6" s="186" t="s">
        <v>39</v>
      </c>
      <c r="N6" s="195"/>
      <c r="O6" s="27"/>
      <c r="P6" s="70"/>
      <c r="Q6" s="70"/>
      <c r="R6" s="70"/>
      <c r="S6" s="70"/>
      <c r="T6" s="70"/>
      <c r="U6" s="70"/>
      <c r="V6" s="70"/>
    </row>
    <row r="7" spans="1:22" ht="11.25" customHeight="1" x14ac:dyDescent="0.2">
      <c r="A7" s="52" t="s">
        <v>58</v>
      </c>
      <c r="B7" s="8"/>
      <c r="C7" s="38"/>
      <c r="D7" s="45"/>
      <c r="E7" s="38"/>
      <c r="F7" s="45"/>
      <c r="G7" s="38"/>
      <c r="H7" s="45"/>
      <c r="I7" s="38"/>
      <c r="J7" s="45"/>
      <c r="K7" s="38"/>
      <c r="L7" s="45"/>
      <c r="M7" s="38"/>
      <c r="N7" s="11"/>
      <c r="O7" s="10"/>
      <c r="P7" s="70"/>
      <c r="Q7" s="70"/>
      <c r="R7" s="70"/>
      <c r="S7" s="70"/>
      <c r="T7" s="70"/>
      <c r="U7" s="70"/>
      <c r="V7" s="70"/>
    </row>
    <row r="8" spans="1:22" s="58" customFormat="1" ht="11.25" customHeight="1" x14ac:dyDescent="0.2">
      <c r="A8" s="64" t="s">
        <v>91</v>
      </c>
      <c r="B8" s="8"/>
      <c r="C8" s="40">
        <v>432</v>
      </c>
      <c r="D8" s="45"/>
      <c r="E8" s="132">
        <v>1000</v>
      </c>
      <c r="F8" s="45"/>
      <c r="G8" s="38">
        <v>718</v>
      </c>
      <c r="H8" s="45"/>
      <c r="I8" s="133">
        <v>2580</v>
      </c>
      <c r="J8" s="45"/>
      <c r="K8" s="38">
        <v>1150</v>
      </c>
      <c r="L8" s="45"/>
      <c r="M8" s="133">
        <v>3580</v>
      </c>
      <c r="N8" s="12"/>
      <c r="O8" s="13"/>
      <c r="P8" s="70"/>
      <c r="Q8" s="70"/>
      <c r="R8" s="70"/>
      <c r="S8" s="70"/>
      <c r="T8" s="70"/>
      <c r="U8" s="70"/>
      <c r="V8" s="70"/>
    </row>
    <row r="9" spans="1:22" ht="11.25" customHeight="1" x14ac:dyDescent="0.2">
      <c r="A9" s="64" t="s">
        <v>92</v>
      </c>
      <c r="B9" s="70"/>
      <c r="C9" s="38">
        <v>10</v>
      </c>
      <c r="D9" s="45"/>
      <c r="E9" s="38">
        <v>40</v>
      </c>
      <c r="F9" s="45"/>
      <c r="G9" s="40">
        <v>1600</v>
      </c>
      <c r="H9" s="45"/>
      <c r="I9" s="40">
        <v>8710</v>
      </c>
      <c r="J9" s="45" t="s">
        <v>20</v>
      </c>
      <c r="K9" s="39">
        <v>1610</v>
      </c>
      <c r="L9" s="45"/>
      <c r="M9" s="39">
        <v>8750</v>
      </c>
      <c r="N9" s="45" t="s">
        <v>20</v>
      </c>
      <c r="O9" s="9"/>
      <c r="P9" s="70"/>
      <c r="Q9" s="70"/>
      <c r="R9" s="70"/>
      <c r="S9" s="70"/>
      <c r="T9" s="70"/>
      <c r="U9" s="70"/>
      <c r="V9" s="70"/>
    </row>
    <row r="10" spans="1:22" ht="11.25" customHeight="1" x14ac:dyDescent="0.2">
      <c r="A10" s="64" t="s">
        <v>93</v>
      </c>
      <c r="B10" s="70"/>
      <c r="C10" s="38">
        <v>3010</v>
      </c>
      <c r="D10" s="45"/>
      <c r="E10" s="38">
        <v>2220</v>
      </c>
      <c r="F10" s="45"/>
      <c r="G10" s="38">
        <v>4110</v>
      </c>
      <c r="H10" s="45"/>
      <c r="I10" s="38">
        <v>19400</v>
      </c>
      <c r="J10" s="45"/>
      <c r="K10" s="39">
        <v>7120</v>
      </c>
      <c r="L10" s="45"/>
      <c r="M10" s="39">
        <v>21600</v>
      </c>
      <c r="N10" s="12"/>
      <c r="O10" s="9"/>
      <c r="P10" s="70"/>
      <c r="Q10" s="70"/>
      <c r="R10" s="70"/>
      <c r="S10" s="70"/>
      <c r="T10" s="70"/>
      <c r="U10" s="70"/>
      <c r="V10" s="70"/>
    </row>
    <row r="11" spans="1:22" ht="11.25" customHeight="1" x14ac:dyDescent="0.2">
      <c r="A11" s="64" t="s">
        <v>94</v>
      </c>
      <c r="B11" s="70"/>
      <c r="C11" s="38">
        <v>405</v>
      </c>
      <c r="D11" s="45"/>
      <c r="E11" s="38">
        <v>1250</v>
      </c>
      <c r="F11" s="45"/>
      <c r="G11" s="38">
        <v>2800</v>
      </c>
      <c r="H11" s="45"/>
      <c r="I11" s="38">
        <v>37400</v>
      </c>
      <c r="J11" s="45"/>
      <c r="K11" s="39">
        <v>3200</v>
      </c>
      <c r="L11" s="45"/>
      <c r="M11" s="39">
        <v>38700</v>
      </c>
      <c r="N11" s="12"/>
      <c r="O11" s="9"/>
      <c r="P11" s="70"/>
      <c r="Q11" s="70"/>
      <c r="R11" s="70"/>
      <c r="S11" s="70"/>
      <c r="T11" s="70"/>
      <c r="U11" s="70"/>
      <c r="V11" s="70"/>
    </row>
    <row r="12" spans="1:22" ht="11.25" customHeight="1" x14ac:dyDescent="0.2">
      <c r="A12" s="64" t="s">
        <v>95</v>
      </c>
      <c r="B12" s="70"/>
      <c r="C12" s="33" t="s">
        <v>96</v>
      </c>
      <c r="D12" s="30"/>
      <c r="E12" s="33" t="s">
        <v>96</v>
      </c>
      <c r="F12" s="45"/>
      <c r="G12" s="38">
        <v>535</v>
      </c>
      <c r="H12" s="45"/>
      <c r="I12" s="38">
        <v>957</v>
      </c>
      <c r="J12" s="45"/>
      <c r="K12" s="39">
        <v>535</v>
      </c>
      <c r="L12" s="45"/>
      <c r="M12" s="39">
        <v>957</v>
      </c>
      <c r="N12" s="12"/>
      <c r="O12" s="9"/>
      <c r="P12" s="70"/>
      <c r="Q12" s="70"/>
      <c r="R12" s="38"/>
      <c r="S12" s="11"/>
      <c r="T12" s="37"/>
      <c r="U12" s="12"/>
      <c r="V12" s="37"/>
    </row>
    <row r="13" spans="1:22" ht="11.25" customHeight="1" x14ac:dyDescent="0.2">
      <c r="A13" s="64" t="s">
        <v>97</v>
      </c>
      <c r="B13" s="70"/>
      <c r="C13" s="74" t="s">
        <v>98</v>
      </c>
      <c r="D13" s="45"/>
      <c r="E13" s="38">
        <v>3</v>
      </c>
      <c r="F13" s="45"/>
      <c r="G13" s="38">
        <v>1740</v>
      </c>
      <c r="H13" s="45"/>
      <c r="I13" s="38">
        <v>13100</v>
      </c>
      <c r="J13" s="45"/>
      <c r="K13" s="39">
        <v>1740</v>
      </c>
      <c r="L13" s="45"/>
      <c r="M13" s="39">
        <v>13100</v>
      </c>
      <c r="N13" s="12"/>
      <c r="O13" s="9"/>
      <c r="P13" s="70"/>
      <c r="Q13" s="70"/>
      <c r="R13" s="70"/>
      <c r="S13" s="70"/>
      <c r="T13" s="70"/>
      <c r="U13" s="70"/>
      <c r="V13" s="70"/>
    </row>
    <row r="14" spans="1:22" ht="11.25" customHeight="1" x14ac:dyDescent="0.2">
      <c r="A14" s="64" t="s">
        <v>99</v>
      </c>
      <c r="B14" s="70"/>
      <c r="C14" s="38">
        <v>295</v>
      </c>
      <c r="D14" s="45"/>
      <c r="E14" s="38">
        <v>983</v>
      </c>
      <c r="F14" s="45"/>
      <c r="G14" s="38">
        <v>936</v>
      </c>
      <c r="H14" s="45"/>
      <c r="I14" s="38">
        <v>17800</v>
      </c>
      <c r="J14" s="45"/>
      <c r="K14" s="39">
        <v>1230</v>
      </c>
      <c r="L14" s="45"/>
      <c r="M14" s="39">
        <v>18800</v>
      </c>
      <c r="N14" s="12"/>
      <c r="O14" s="9"/>
      <c r="P14" s="70"/>
      <c r="Q14" s="70"/>
      <c r="R14" s="70"/>
      <c r="S14" s="70"/>
      <c r="T14" s="70"/>
      <c r="U14" s="70"/>
      <c r="V14" s="70"/>
    </row>
    <row r="15" spans="1:22" ht="11.25" customHeight="1" x14ac:dyDescent="0.2">
      <c r="A15" s="64" t="s">
        <v>100</v>
      </c>
      <c r="B15" s="70"/>
      <c r="C15" s="38">
        <v>349</v>
      </c>
      <c r="D15" s="45"/>
      <c r="E15" s="38">
        <v>1190</v>
      </c>
      <c r="F15" s="45"/>
      <c r="G15" s="38">
        <v>556</v>
      </c>
      <c r="H15" s="45"/>
      <c r="I15" s="38">
        <v>4480</v>
      </c>
      <c r="J15" s="45"/>
      <c r="K15" s="39">
        <v>905</v>
      </c>
      <c r="L15" s="45"/>
      <c r="M15" s="39">
        <v>5670</v>
      </c>
      <c r="N15" s="12"/>
      <c r="O15" s="9"/>
      <c r="P15" s="70"/>
      <c r="Q15" s="70"/>
      <c r="R15" s="70"/>
      <c r="S15" s="70"/>
      <c r="T15" s="70"/>
      <c r="U15" s="70"/>
      <c r="V15" s="70"/>
    </row>
    <row r="16" spans="1:22" ht="11.25" customHeight="1" x14ac:dyDescent="0.2">
      <c r="A16" s="64" t="s">
        <v>101</v>
      </c>
      <c r="B16" s="70"/>
      <c r="C16" s="38">
        <v>66</v>
      </c>
      <c r="D16" s="45"/>
      <c r="E16" s="38">
        <v>180</v>
      </c>
      <c r="F16" s="45"/>
      <c r="G16" s="38">
        <v>1160</v>
      </c>
      <c r="H16" s="45"/>
      <c r="I16" s="38">
        <v>13200</v>
      </c>
      <c r="J16" s="45"/>
      <c r="K16" s="39">
        <v>1230</v>
      </c>
      <c r="L16" s="45"/>
      <c r="M16" s="39">
        <v>13400</v>
      </c>
      <c r="N16" s="12"/>
      <c r="O16" s="9"/>
      <c r="P16" s="70"/>
      <c r="Q16" s="70"/>
      <c r="R16" s="70"/>
      <c r="S16" s="70"/>
      <c r="T16" s="70"/>
      <c r="U16" s="70"/>
      <c r="V16" s="70"/>
    </row>
    <row r="17" spans="1:15" ht="11.25" customHeight="1" x14ac:dyDescent="0.2">
      <c r="A17" s="64" t="s">
        <v>102</v>
      </c>
      <c r="B17" s="70"/>
      <c r="C17" s="38">
        <v>459</v>
      </c>
      <c r="D17" s="45"/>
      <c r="E17" s="38">
        <v>2010</v>
      </c>
      <c r="F17" s="45"/>
      <c r="G17" s="38">
        <v>1160</v>
      </c>
      <c r="H17" s="45"/>
      <c r="I17" s="38">
        <v>9610</v>
      </c>
      <c r="J17" s="45"/>
      <c r="K17" s="39">
        <v>1610</v>
      </c>
      <c r="L17" s="45"/>
      <c r="M17" s="39">
        <v>11600</v>
      </c>
      <c r="N17" s="12"/>
      <c r="O17" s="9"/>
    </row>
    <row r="18" spans="1:15" ht="11.25" customHeight="1" x14ac:dyDescent="0.2">
      <c r="A18" s="64" t="s">
        <v>103</v>
      </c>
      <c r="B18" s="70"/>
      <c r="C18" s="38">
        <v>1510</v>
      </c>
      <c r="D18" s="45"/>
      <c r="E18" s="38">
        <v>10500</v>
      </c>
      <c r="F18" s="45"/>
      <c r="G18" s="38">
        <v>1200</v>
      </c>
      <c r="H18" s="45"/>
      <c r="I18" s="38">
        <v>12700</v>
      </c>
      <c r="J18" s="45"/>
      <c r="K18" s="39">
        <v>2710</v>
      </c>
      <c r="L18" s="45"/>
      <c r="M18" s="39">
        <v>23200</v>
      </c>
      <c r="N18" s="12"/>
      <c r="O18" s="9"/>
    </row>
    <row r="19" spans="1:15" ht="11.25" customHeight="1" x14ac:dyDescent="0.2">
      <c r="A19" s="64" t="s">
        <v>104</v>
      </c>
      <c r="B19" s="70"/>
      <c r="C19" s="38">
        <v>2400</v>
      </c>
      <c r="D19" s="45"/>
      <c r="E19" s="38">
        <v>4730</v>
      </c>
      <c r="F19" s="45"/>
      <c r="G19" s="38">
        <v>12000</v>
      </c>
      <c r="H19" s="45"/>
      <c r="I19" s="38">
        <v>29700</v>
      </c>
      <c r="J19" s="45"/>
      <c r="K19" s="39">
        <v>14400</v>
      </c>
      <c r="L19" s="45"/>
      <c r="M19" s="39">
        <v>34400</v>
      </c>
      <c r="N19" s="12"/>
      <c r="O19" s="9"/>
    </row>
    <row r="20" spans="1:15" s="69" customFormat="1" ht="11.25" customHeight="1" x14ac:dyDescent="0.2">
      <c r="A20" s="64" t="s">
        <v>105</v>
      </c>
      <c r="B20" s="70"/>
      <c r="C20" s="38">
        <v>6</v>
      </c>
      <c r="D20" s="45"/>
      <c r="E20" s="38">
        <v>57</v>
      </c>
      <c r="F20" s="45"/>
      <c r="G20" s="38">
        <v>1180</v>
      </c>
      <c r="H20" s="45"/>
      <c r="I20" s="38">
        <v>3560</v>
      </c>
      <c r="J20" s="45"/>
      <c r="K20" s="39">
        <v>1180</v>
      </c>
      <c r="L20" s="45"/>
      <c r="M20" s="39">
        <v>3620</v>
      </c>
      <c r="N20" s="12"/>
      <c r="O20" s="9"/>
    </row>
    <row r="21" spans="1:15" ht="11.25" customHeight="1" x14ac:dyDescent="0.2">
      <c r="A21" s="64" t="s">
        <v>106</v>
      </c>
      <c r="B21" s="70"/>
      <c r="C21" s="33" t="s">
        <v>96</v>
      </c>
      <c r="D21" s="30"/>
      <c r="E21" s="33" t="s">
        <v>96</v>
      </c>
      <c r="F21" s="45"/>
      <c r="G21" s="38">
        <v>1670</v>
      </c>
      <c r="H21" s="45"/>
      <c r="I21" s="38">
        <v>8460</v>
      </c>
      <c r="J21" s="45"/>
      <c r="K21" s="39">
        <v>1670</v>
      </c>
      <c r="L21" s="45"/>
      <c r="M21" s="39">
        <v>8460</v>
      </c>
      <c r="N21" s="12"/>
      <c r="O21" s="9"/>
    </row>
    <row r="22" spans="1:15" ht="11.25" customHeight="1" x14ac:dyDescent="0.2">
      <c r="A22" s="64" t="s">
        <v>107</v>
      </c>
      <c r="B22" s="70"/>
      <c r="C22" s="38">
        <v>15</v>
      </c>
      <c r="D22" s="45"/>
      <c r="E22" s="38">
        <v>49</v>
      </c>
      <c r="F22" s="45"/>
      <c r="G22" s="38">
        <v>598</v>
      </c>
      <c r="H22" s="45"/>
      <c r="I22" s="38">
        <v>10800</v>
      </c>
      <c r="J22" s="45"/>
      <c r="K22" s="39">
        <v>614</v>
      </c>
      <c r="L22" s="45"/>
      <c r="M22" s="39">
        <v>10900</v>
      </c>
      <c r="N22" s="12"/>
      <c r="O22" s="9"/>
    </row>
    <row r="23" spans="1:15" ht="11.25" customHeight="1" x14ac:dyDescent="0.2">
      <c r="A23" s="64" t="s">
        <v>108</v>
      </c>
      <c r="B23" s="70"/>
      <c r="C23" s="38">
        <v>1</v>
      </c>
      <c r="D23" s="45"/>
      <c r="E23" s="38">
        <v>23</v>
      </c>
      <c r="F23" s="45"/>
      <c r="G23" s="38">
        <v>3090</v>
      </c>
      <c r="H23" s="45"/>
      <c r="I23" s="38">
        <v>4310</v>
      </c>
      <c r="J23" s="45"/>
      <c r="K23" s="39">
        <v>3090</v>
      </c>
      <c r="L23" s="45"/>
      <c r="M23" s="39">
        <v>4330</v>
      </c>
      <c r="N23" s="12"/>
      <c r="O23" s="9"/>
    </row>
    <row r="24" spans="1:15" ht="11.25" customHeight="1" x14ac:dyDescent="0.2">
      <c r="A24" s="64" t="s">
        <v>109</v>
      </c>
      <c r="B24" s="70"/>
      <c r="C24" s="37">
        <v>19</v>
      </c>
      <c r="D24" s="47"/>
      <c r="E24" s="37">
        <v>136</v>
      </c>
      <c r="F24" s="45"/>
      <c r="G24" s="38">
        <v>1160</v>
      </c>
      <c r="H24" s="45"/>
      <c r="I24" s="38">
        <v>3140</v>
      </c>
      <c r="J24" s="45"/>
      <c r="K24" s="39">
        <v>1180</v>
      </c>
      <c r="L24" s="45"/>
      <c r="M24" s="39">
        <v>3280</v>
      </c>
      <c r="N24" s="12"/>
      <c r="O24" s="9"/>
    </row>
    <row r="25" spans="1:15" s="70" customFormat="1" ht="11.25" customHeight="1" x14ac:dyDescent="0.2">
      <c r="A25" s="64" t="s">
        <v>110</v>
      </c>
      <c r="C25" s="172">
        <v>522</v>
      </c>
      <c r="D25" s="174"/>
      <c r="E25" s="172">
        <v>2630</v>
      </c>
      <c r="F25" s="174"/>
      <c r="G25" s="172">
        <v>2480</v>
      </c>
      <c r="H25" s="174"/>
      <c r="I25" s="172">
        <v>25500</v>
      </c>
      <c r="J25" s="174"/>
      <c r="K25" s="172">
        <v>3010</v>
      </c>
      <c r="L25" s="174"/>
      <c r="M25" s="37">
        <v>28100</v>
      </c>
      <c r="N25" s="195"/>
      <c r="O25" s="9"/>
    </row>
    <row r="26" spans="1:15" s="70" customFormat="1" ht="11.25" customHeight="1" x14ac:dyDescent="0.2">
      <c r="A26" s="196" t="s">
        <v>34</v>
      </c>
      <c r="B26" s="8"/>
      <c r="C26" s="197">
        <v>9500</v>
      </c>
      <c r="D26" s="198"/>
      <c r="E26" s="197">
        <v>27100</v>
      </c>
      <c r="F26" s="198"/>
      <c r="G26" s="197">
        <v>38700</v>
      </c>
      <c r="H26" s="198"/>
      <c r="I26" s="197">
        <v>225000</v>
      </c>
      <c r="J26" s="198"/>
      <c r="K26" s="197">
        <v>48200</v>
      </c>
      <c r="L26" s="198"/>
      <c r="M26" s="197">
        <v>252000</v>
      </c>
      <c r="N26" s="199"/>
      <c r="O26" s="9"/>
    </row>
    <row r="27" spans="1:15" ht="11.25" customHeight="1" x14ac:dyDescent="0.2">
      <c r="A27" s="52" t="s">
        <v>63</v>
      </c>
      <c r="B27" s="8"/>
      <c r="C27" s="38"/>
      <c r="D27" s="45"/>
      <c r="E27" s="38"/>
      <c r="F27" s="45"/>
      <c r="G27" s="38"/>
      <c r="H27" s="45"/>
      <c r="I27" s="38"/>
      <c r="J27" s="45"/>
      <c r="K27" s="38"/>
      <c r="L27" s="45"/>
      <c r="M27" s="38"/>
      <c r="N27" s="70"/>
      <c r="O27" s="70"/>
    </row>
    <row r="28" spans="1:15" s="69" customFormat="1" ht="11.25" customHeight="1" x14ac:dyDescent="0.2">
      <c r="A28" s="64" t="s">
        <v>91</v>
      </c>
      <c r="B28" s="8"/>
      <c r="C28" s="40">
        <v>253</v>
      </c>
      <c r="D28" s="45"/>
      <c r="E28" s="40">
        <v>767</v>
      </c>
      <c r="F28" s="45"/>
      <c r="G28" s="38">
        <v>348</v>
      </c>
      <c r="H28" s="45"/>
      <c r="I28" s="38">
        <v>1540</v>
      </c>
      <c r="J28" s="45"/>
      <c r="K28" s="38">
        <v>601</v>
      </c>
      <c r="L28" s="45"/>
      <c r="M28" s="38">
        <v>2310</v>
      </c>
      <c r="N28" s="70"/>
      <c r="O28" s="70"/>
    </row>
    <row r="29" spans="1:15" ht="11.25" customHeight="1" x14ac:dyDescent="0.2">
      <c r="A29" s="64" t="s">
        <v>92</v>
      </c>
      <c r="B29" s="70"/>
      <c r="C29" s="38">
        <v>3</v>
      </c>
      <c r="D29" s="45"/>
      <c r="E29" s="38">
        <v>28</v>
      </c>
      <c r="F29" s="45"/>
      <c r="G29" s="40">
        <v>565</v>
      </c>
      <c r="H29" s="45"/>
      <c r="I29" s="40">
        <v>4070</v>
      </c>
      <c r="J29" s="45"/>
      <c r="K29" s="39">
        <v>568</v>
      </c>
      <c r="L29" s="45"/>
      <c r="M29" s="39">
        <v>4090</v>
      </c>
      <c r="N29" s="70"/>
      <c r="O29" s="70"/>
    </row>
    <row r="30" spans="1:15" ht="11.25" customHeight="1" x14ac:dyDescent="0.2">
      <c r="A30" s="64" t="s">
        <v>93</v>
      </c>
      <c r="B30" s="70"/>
      <c r="C30" s="38">
        <v>2140</v>
      </c>
      <c r="D30" s="45"/>
      <c r="E30" s="38">
        <v>2780</v>
      </c>
      <c r="F30" s="45"/>
      <c r="G30" s="38">
        <v>3320</v>
      </c>
      <c r="H30" s="45"/>
      <c r="I30" s="38">
        <v>20000</v>
      </c>
      <c r="J30" s="45"/>
      <c r="K30" s="39">
        <v>5460</v>
      </c>
      <c r="L30" s="45"/>
      <c r="M30" s="39">
        <v>22800</v>
      </c>
      <c r="N30" s="70"/>
      <c r="O30" s="70"/>
    </row>
    <row r="31" spans="1:15" ht="11.25" customHeight="1" x14ac:dyDescent="0.2">
      <c r="A31" s="64" t="s">
        <v>94</v>
      </c>
      <c r="B31" s="70"/>
      <c r="C31" s="38">
        <v>163</v>
      </c>
      <c r="D31" s="45"/>
      <c r="E31" s="38">
        <v>708</v>
      </c>
      <c r="F31" s="45"/>
      <c r="G31" s="38">
        <v>1740</v>
      </c>
      <c r="H31" s="45"/>
      <c r="I31" s="10">
        <v>29700</v>
      </c>
      <c r="J31" s="45"/>
      <c r="K31" s="39">
        <v>1900</v>
      </c>
      <c r="L31" s="45"/>
      <c r="M31" s="39">
        <v>30400</v>
      </c>
      <c r="N31" s="70"/>
      <c r="O31" s="70"/>
    </row>
    <row r="32" spans="1:15" s="70" customFormat="1" ht="11.25" customHeight="1" x14ac:dyDescent="0.2">
      <c r="A32" s="64" t="s">
        <v>95</v>
      </c>
      <c r="C32" s="74" t="s">
        <v>98</v>
      </c>
      <c r="D32" s="30"/>
      <c r="E32" s="38">
        <v>8</v>
      </c>
      <c r="F32" s="45"/>
      <c r="G32" s="38">
        <v>1760</v>
      </c>
      <c r="H32" s="45"/>
      <c r="I32" s="38">
        <v>1960</v>
      </c>
      <c r="J32" s="45"/>
      <c r="K32" s="39">
        <v>1760</v>
      </c>
      <c r="L32" s="45"/>
      <c r="M32" s="39">
        <v>1970</v>
      </c>
    </row>
    <row r="33" spans="1:14" ht="11.25" customHeight="1" x14ac:dyDescent="0.2">
      <c r="A33" s="64" t="s">
        <v>97</v>
      </c>
      <c r="B33" s="70"/>
      <c r="C33" s="38">
        <v>1</v>
      </c>
      <c r="D33" s="45"/>
      <c r="E33" s="38">
        <v>15</v>
      </c>
      <c r="F33" s="45"/>
      <c r="G33" s="38">
        <v>1650</v>
      </c>
      <c r="H33" s="45"/>
      <c r="I33" s="38">
        <v>13800</v>
      </c>
      <c r="J33" s="45"/>
      <c r="K33" s="39">
        <v>1650</v>
      </c>
      <c r="L33" s="45"/>
      <c r="M33" s="39">
        <v>13800</v>
      </c>
      <c r="N33" s="70"/>
    </row>
    <row r="34" spans="1:14" ht="11.25" customHeight="1" x14ac:dyDescent="0.2">
      <c r="A34" s="64" t="s">
        <v>99</v>
      </c>
      <c r="B34" s="70"/>
      <c r="C34" s="38">
        <v>571</v>
      </c>
      <c r="D34" s="45"/>
      <c r="E34" s="38">
        <v>1790</v>
      </c>
      <c r="F34" s="45"/>
      <c r="G34" s="38">
        <v>914</v>
      </c>
      <c r="H34" s="45"/>
      <c r="I34" s="38">
        <v>21200</v>
      </c>
      <c r="J34" s="45"/>
      <c r="K34" s="39">
        <v>1490</v>
      </c>
      <c r="L34" s="45"/>
      <c r="M34" s="39">
        <v>23000</v>
      </c>
      <c r="N34" s="70"/>
    </row>
    <row r="35" spans="1:14" ht="11.25" customHeight="1" x14ac:dyDescent="0.2">
      <c r="A35" s="64" t="s">
        <v>100</v>
      </c>
      <c r="B35" s="70"/>
      <c r="C35" s="38">
        <v>299</v>
      </c>
      <c r="D35" s="45"/>
      <c r="E35" s="38">
        <v>1090</v>
      </c>
      <c r="F35" s="45"/>
      <c r="G35" s="38">
        <v>440</v>
      </c>
      <c r="H35" s="45"/>
      <c r="I35" s="38">
        <v>4660</v>
      </c>
      <c r="J35" s="45"/>
      <c r="K35" s="39">
        <v>739</v>
      </c>
      <c r="L35" s="45"/>
      <c r="M35" s="39">
        <v>5740</v>
      </c>
      <c r="N35" s="70"/>
    </row>
    <row r="36" spans="1:14" ht="11.25" customHeight="1" x14ac:dyDescent="0.2">
      <c r="A36" s="64" t="s">
        <v>101</v>
      </c>
      <c r="B36" s="70"/>
      <c r="C36" s="38">
        <v>37</v>
      </c>
      <c r="D36" s="45"/>
      <c r="E36" s="38">
        <v>203</v>
      </c>
      <c r="F36" s="45"/>
      <c r="G36" s="38">
        <v>1020</v>
      </c>
      <c r="H36" s="45"/>
      <c r="I36" s="38">
        <v>9610</v>
      </c>
      <c r="J36" s="45"/>
      <c r="K36" s="39">
        <v>1050</v>
      </c>
      <c r="L36" s="45"/>
      <c r="M36" s="39">
        <v>9810</v>
      </c>
      <c r="N36" s="70"/>
    </row>
    <row r="37" spans="1:14" ht="11.25" customHeight="1" x14ac:dyDescent="0.2">
      <c r="A37" s="64" t="s">
        <v>102</v>
      </c>
      <c r="B37" s="70"/>
      <c r="C37" s="38">
        <v>322</v>
      </c>
      <c r="D37" s="45"/>
      <c r="E37" s="38">
        <v>1810</v>
      </c>
      <c r="F37" s="45"/>
      <c r="G37" s="38">
        <v>1290</v>
      </c>
      <c r="H37" s="45"/>
      <c r="I37" s="38">
        <v>15000</v>
      </c>
      <c r="J37" s="45"/>
      <c r="K37" s="39">
        <v>1610</v>
      </c>
      <c r="L37" s="45"/>
      <c r="M37" s="39">
        <v>16800</v>
      </c>
      <c r="N37" s="70"/>
    </row>
    <row r="38" spans="1:14" ht="11.25" customHeight="1" x14ac:dyDescent="0.2">
      <c r="A38" s="64" t="s">
        <v>103</v>
      </c>
      <c r="B38" s="70"/>
      <c r="C38" s="38">
        <v>76</v>
      </c>
      <c r="D38" s="45"/>
      <c r="E38" s="38">
        <v>960</v>
      </c>
      <c r="F38" s="45"/>
      <c r="G38" s="38">
        <v>854</v>
      </c>
      <c r="H38" s="45"/>
      <c r="I38" s="38">
        <v>19100</v>
      </c>
      <c r="J38" s="45"/>
      <c r="K38" s="39">
        <v>930</v>
      </c>
      <c r="L38" s="45"/>
      <c r="M38" s="39">
        <v>20100</v>
      </c>
      <c r="N38" s="70"/>
    </row>
    <row r="39" spans="1:14" ht="11.25" customHeight="1" x14ac:dyDescent="0.2">
      <c r="A39" s="64" t="s">
        <v>104</v>
      </c>
      <c r="B39" s="70"/>
      <c r="C39" s="38">
        <v>3260</v>
      </c>
      <c r="D39" s="45"/>
      <c r="E39" s="38">
        <v>7110</v>
      </c>
      <c r="F39" s="45"/>
      <c r="G39" s="38">
        <v>14800</v>
      </c>
      <c r="H39" s="45"/>
      <c r="I39" s="38">
        <v>31800</v>
      </c>
      <c r="J39" s="45"/>
      <c r="K39" s="39">
        <v>18100</v>
      </c>
      <c r="L39" s="45"/>
      <c r="M39" s="39">
        <v>38900</v>
      </c>
      <c r="N39" s="70"/>
    </row>
    <row r="40" spans="1:14" ht="11.25" customHeight="1" x14ac:dyDescent="0.2">
      <c r="A40" s="64" t="s">
        <v>106</v>
      </c>
      <c r="B40" s="70"/>
      <c r="C40" s="38">
        <v>13</v>
      </c>
      <c r="D40" s="45"/>
      <c r="E40" s="38">
        <v>57</v>
      </c>
      <c r="F40" s="45"/>
      <c r="G40" s="38">
        <v>907</v>
      </c>
      <c r="H40" s="45"/>
      <c r="I40" s="38">
        <v>5270</v>
      </c>
      <c r="J40" s="45"/>
      <c r="K40" s="39">
        <v>920</v>
      </c>
      <c r="L40" s="45"/>
      <c r="M40" s="39">
        <v>5330</v>
      </c>
      <c r="N40" s="70"/>
    </row>
    <row r="41" spans="1:14" s="66" customFormat="1" ht="11.25" customHeight="1" x14ac:dyDescent="0.2">
      <c r="A41" s="64" t="s">
        <v>107</v>
      </c>
      <c r="B41" s="70"/>
      <c r="C41" s="38">
        <v>131</v>
      </c>
      <c r="D41" s="45"/>
      <c r="E41" s="38">
        <v>423</v>
      </c>
      <c r="F41" s="45"/>
      <c r="G41" s="38">
        <v>489</v>
      </c>
      <c r="H41" s="45"/>
      <c r="I41" s="38">
        <v>10000</v>
      </c>
      <c r="J41" s="45"/>
      <c r="K41" s="39">
        <v>620</v>
      </c>
      <c r="L41" s="45"/>
      <c r="M41" s="39">
        <v>10400</v>
      </c>
      <c r="N41" s="70"/>
    </row>
    <row r="42" spans="1:14" s="58" customFormat="1" ht="11.25" customHeight="1" x14ac:dyDescent="0.2">
      <c r="A42" s="64" t="s">
        <v>108</v>
      </c>
      <c r="B42" s="70"/>
      <c r="C42" s="38">
        <v>3</v>
      </c>
      <c r="D42" s="45"/>
      <c r="E42" s="38">
        <v>19</v>
      </c>
      <c r="F42" s="45"/>
      <c r="G42" s="38">
        <v>3080</v>
      </c>
      <c r="H42" s="45"/>
      <c r="I42" s="38">
        <v>5680</v>
      </c>
      <c r="J42" s="45"/>
      <c r="K42" s="39">
        <v>3090</v>
      </c>
      <c r="L42" s="45"/>
      <c r="M42" s="39">
        <v>5700</v>
      </c>
      <c r="N42" s="70"/>
    </row>
    <row r="43" spans="1:14" s="58" customFormat="1" ht="11.25" customHeight="1" x14ac:dyDescent="0.2">
      <c r="A43" s="64" t="s">
        <v>109</v>
      </c>
      <c r="B43" s="70"/>
      <c r="C43" s="37">
        <v>79</v>
      </c>
      <c r="D43" s="47"/>
      <c r="E43" s="37">
        <v>345</v>
      </c>
      <c r="F43" s="45"/>
      <c r="G43" s="38">
        <v>1430</v>
      </c>
      <c r="H43" s="45"/>
      <c r="I43" s="38">
        <v>3280</v>
      </c>
      <c r="J43" s="45"/>
      <c r="K43" s="39">
        <v>1510</v>
      </c>
      <c r="L43" s="45"/>
      <c r="M43" s="39">
        <v>3620</v>
      </c>
      <c r="N43" s="70"/>
    </row>
    <row r="44" spans="1:14" ht="11.25" customHeight="1" x14ac:dyDescent="0.2">
      <c r="A44" s="64" t="s">
        <v>110</v>
      </c>
      <c r="B44" s="70"/>
      <c r="C44" s="172">
        <v>427</v>
      </c>
      <c r="D44" s="174"/>
      <c r="E44" s="172">
        <v>2710</v>
      </c>
      <c r="F44" s="174"/>
      <c r="G44" s="172">
        <v>2060</v>
      </c>
      <c r="H44" s="174"/>
      <c r="I44" s="172">
        <v>24300</v>
      </c>
      <c r="J44" s="174"/>
      <c r="K44" s="172">
        <v>2480</v>
      </c>
      <c r="L44" s="174"/>
      <c r="M44" s="37">
        <v>27000</v>
      </c>
      <c r="N44" s="188"/>
    </row>
    <row r="45" spans="1:14" ht="11.25" customHeight="1" x14ac:dyDescent="0.2">
      <c r="A45" s="196" t="s">
        <v>34</v>
      </c>
      <c r="B45" s="188"/>
      <c r="C45" s="172">
        <v>7780</v>
      </c>
      <c r="D45" s="174"/>
      <c r="E45" s="172">
        <v>20800</v>
      </c>
      <c r="F45" s="174"/>
      <c r="G45" s="172">
        <v>36700</v>
      </c>
      <c r="H45" s="174"/>
      <c r="I45" s="172">
        <v>221000</v>
      </c>
      <c r="J45" s="174"/>
      <c r="K45" s="172">
        <v>44500</v>
      </c>
      <c r="L45" s="174"/>
      <c r="M45" s="63">
        <v>242000</v>
      </c>
      <c r="N45" s="188"/>
    </row>
    <row r="46" spans="1:14" s="22" customFormat="1" ht="11.25" customHeight="1" x14ac:dyDescent="0.2">
      <c r="A46" s="250" t="s">
        <v>111</v>
      </c>
      <c r="B46" s="250"/>
      <c r="C46" s="250"/>
      <c r="D46" s="250"/>
      <c r="E46" s="250"/>
      <c r="F46" s="250"/>
      <c r="G46" s="250"/>
      <c r="H46" s="250"/>
      <c r="I46" s="250"/>
      <c r="J46" s="250"/>
      <c r="K46" s="250"/>
      <c r="L46" s="250"/>
      <c r="M46" s="250"/>
      <c r="N46" s="250"/>
    </row>
    <row r="47" spans="1:14" s="44" customFormat="1" ht="22.5" customHeight="1" x14ac:dyDescent="0.2">
      <c r="A47" s="240" t="s">
        <v>26</v>
      </c>
      <c r="B47" s="240"/>
      <c r="C47" s="240"/>
      <c r="D47" s="240"/>
      <c r="E47" s="240"/>
      <c r="F47" s="240"/>
      <c r="G47" s="240"/>
      <c r="H47" s="240"/>
      <c r="I47" s="240"/>
      <c r="J47" s="240"/>
      <c r="K47" s="240"/>
      <c r="L47" s="240"/>
      <c r="M47" s="240"/>
      <c r="N47" s="240"/>
    </row>
    <row r="48" spans="1:14" s="22" customFormat="1" ht="11.25" customHeight="1" x14ac:dyDescent="0.2">
      <c r="A48" s="246" t="s">
        <v>112</v>
      </c>
      <c r="B48" s="246"/>
      <c r="C48" s="246"/>
      <c r="D48" s="246"/>
      <c r="E48" s="246"/>
      <c r="F48" s="246"/>
      <c r="G48" s="246"/>
      <c r="H48" s="246"/>
      <c r="I48" s="246"/>
      <c r="J48" s="246"/>
      <c r="K48" s="246"/>
      <c r="L48" s="246"/>
      <c r="M48" s="246"/>
      <c r="N48" s="246"/>
    </row>
    <row r="49" spans="1:14" s="22" customFormat="1" ht="22.5" customHeight="1" x14ac:dyDescent="0.2">
      <c r="A49" s="240" t="s">
        <v>113</v>
      </c>
      <c r="B49" s="240"/>
      <c r="C49" s="240"/>
      <c r="D49" s="240"/>
      <c r="E49" s="240"/>
      <c r="F49" s="240"/>
      <c r="G49" s="240"/>
      <c r="H49" s="240"/>
      <c r="I49" s="240"/>
      <c r="J49" s="240"/>
      <c r="K49" s="240"/>
      <c r="L49" s="240"/>
      <c r="M49" s="240"/>
      <c r="N49" s="240"/>
    </row>
    <row r="50" spans="1:14" s="22" customFormat="1" ht="33.75" customHeight="1" x14ac:dyDescent="0.2">
      <c r="A50" s="240" t="s">
        <v>114</v>
      </c>
      <c r="B50" s="240"/>
      <c r="C50" s="240"/>
      <c r="D50" s="240"/>
      <c r="E50" s="240"/>
      <c r="F50" s="240"/>
      <c r="G50" s="240"/>
      <c r="H50" s="240"/>
      <c r="I50" s="240"/>
      <c r="J50" s="240"/>
      <c r="K50" s="240"/>
      <c r="L50" s="240"/>
      <c r="M50" s="240"/>
      <c r="N50" s="240"/>
    </row>
    <row r="51" spans="1:14" s="22" customFormat="1" ht="11.25" customHeight="1" x14ac:dyDescent="0.2">
      <c r="A51" s="246" t="s">
        <v>115</v>
      </c>
      <c r="B51" s="246"/>
      <c r="C51" s="246"/>
      <c r="D51" s="246"/>
      <c r="E51" s="246"/>
      <c r="F51" s="246"/>
      <c r="G51" s="246"/>
      <c r="H51" s="246"/>
      <c r="I51" s="246"/>
      <c r="J51" s="246"/>
      <c r="K51" s="246"/>
      <c r="L51" s="246"/>
      <c r="M51" s="246"/>
      <c r="N51" s="246"/>
    </row>
    <row r="52" spans="1:14" s="73" customFormat="1" ht="11.25" customHeight="1" x14ac:dyDescent="0.2">
      <c r="A52" s="246" t="s">
        <v>116</v>
      </c>
      <c r="B52" s="246"/>
      <c r="C52" s="246"/>
      <c r="D52" s="246"/>
      <c r="E52" s="246"/>
      <c r="F52" s="246"/>
      <c r="G52" s="246"/>
      <c r="H52" s="246"/>
      <c r="I52" s="246"/>
      <c r="J52" s="246"/>
      <c r="K52" s="246"/>
      <c r="L52" s="246"/>
      <c r="M52" s="246"/>
      <c r="N52" s="246"/>
    </row>
    <row r="53" spans="1:14" s="20" customFormat="1" ht="11.25" customHeight="1" x14ac:dyDescent="0.2">
      <c r="A53" s="253"/>
      <c r="B53" s="253"/>
      <c r="C53" s="253"/>
      <c r="D53" s="253"/>
      <c r="E53" s="253"/>
      <c r="F53" s="253"/>
      <c r="G53" s="253"/>
      <c r="H53" s="253"/>
      <c r="I53" s="253"/>
      <c r="J53" s="253"/>
      <c r="K53" s="253"/>
      <c r="L53" s="253"/>
      <c r="M53" s="253"/>
      <c r="N53" s="253"/>
    </row>
    <row r="54" spans="1:14" s="26" customFormat="1" ht="11.25" customHeight="1" x14ac:dyDescent="0.2">
      <c r="A54" s="256" t="s">
        <v>117</v>
      </c>
      <c r="B54" s="256"/>
      <c r="C54" s="256"/>
      <c r="D54" s="256"/>
      <c r="E54" s="256"/>
      <c r="F54" s="256"/>
      <c r="G54" s="256"/>
      <c r="H54" s="256"/>
      <c r="I54" s="256"/>
      <c r="J54" s="256"/>
      <c r="K54" s="256"/>
      <c r="L54" s="256"/>
      <c r="M54" s="256"/>
      <c r="N54" s="256"/>
    </row>
  </sheetData>
  <mergeCells count="15">
    <mergeCell ref="A1:N1"/>
    <mergeCell ref="A2:N2"/>
    <mergeCell ref="A3:N3"/>
    <mergeCell ref="A46:N46"/>
    <mergeCell ref="A52:N52"/>
    <mergeCell ref="A53:N53"/>
    <mergeCell ref="A54:N54"/>
    <mergeCell ref="K4:M4"/>
    <mergeCell ref="C4:E4"/>
    <mergeCell ref="G4:I4"/>
    <mergeCell ref="A47:N47"/>
    <mergeCell ref="A48:N48"/>
    <mergeCell ref="A49:N49"/>
    <mergeCell ref="A50:N50"/>
    <mergeCell ref="A51:N51"/>
  </mergeCells>
  <pageMargins left="0.5" right="0.5" top="0.5" bottom="0.75" header="0.3" footer="0.3"/>
  <pageSetup scale="9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V69"/>
  <sheetViews>
    <sheetView zoomScaleNormal="100" workbookViewId="0">
      <selection sqref="A1:U1"/>
    </sheetView>
  </sheetViews>
  <sheetFormatPr defaultColWidth="9.33203125" defaultRowHeight="11.25" customHeight="1" x14ac:dyDescent="0.2"/>
  <cols>
    <col min="1" max="1" width="19.6640625" style="4" bestFit="1" customWidth="1"/>
    <col min="2" max="2" width="1.6640625" style="4" customWidth="1"/>
    <col min="3" max="3" width="11" style="4" customWidth="1"/>
    <col min="4" max="4" width="1.6640625" style="6" customWidth="1"/>
    <col min="5" max="5" width="10.1640625" style="4" customWidth="1"/>
    <col min="6" max="6" width="1.6640625" style="6" customWidth="1"/>
    <col min="7" max="7" width="11" style="4" customWidth="1"/>
    <col min="8" max="8" width="1.6640625" style="6" customWidth="1"/>
    <col min="9" max="9" width="10.1640625" style="4" customWidth="1"/>
    <col min="10" max="10" width="1.6640625" style="6" customWidth="1"/>
    <col min="11" max="11" width="11" style="4" customWidth="1"/>
    <col min="12" max="12" width="1.6640625" style="6" customWidth="1"/>
    <col min="13" max="13" width="10.1640625" style="4" customWidth="1"/>
    <col min="14" max="14" width="1.6640625" style="6" customWidth="1"/>
    <col min="15" max="15" width="10.83203125" style="5" customWidth="1"/>
    <col min="16" max="16" width="1.6640625" style="6" customWidth="1"/>
    <col min="17" max="17" width="10.1640625" style="5" customWidth="1"/>
    <col min="18" max="18" width="1.6640625" style="6" customWidth="1"/>
    <col min="19" max="19" width="11" style="4" customWidth="1"/>
    <col min="20" max="20" width="1.6640625" style="6" customWidth="1"/>
    <col min="21" max="21" width="11" style="4" customWidth="1"/>
    <col min="22" max="22" width="9.6640625" style="4" bestFit="1" customWidth="1"/>
    <col min="23" max="16384" width="9.33203125" style="4"/>
  </cols>
  <sheetData>
    <row r="1" spans="1:22" s="59" customFormat="1" ht="11.25" customHeight="1" x14ac:dyDescent="0.2">
      <c r="A1" s="258" t="s">
        <v>118</v>
      </c>
      <c r="B1" s="258"/>
      <c r="C1" s="258"/>
      <c r="D1" s="258"/>
      <c r="E1" s="258"/>
      <c r="F1" s="258"/>
      <c r="G1" s="258"/>
      <c r="H1" s="258"/>
      <c r="I1" s="258"/>
      <c r="J1" s="258"/>
      <c r="K1" s="258"/>
      <c r="L1" s="258"/>
      <c r="M1" s="258"/>
      <c r="N1" s="258"/>
      <c r="O1" s="258"/>
      <c r="P1" s="258"/>
      <c r="Q1" s="258"/>
      <c r="R1" s="258"/>
      <c r="S1" s="258"/>
      <c r="T1" s="258"/>
      <c r="U1" s="258"/>
    </row>
    <row r="2" spans="1:22" s="59" customFormat="1" ht="11.25" customHeight="1" x14ac:dyDescent="0.2">
      <c r="A2" s="258" t="s">
        <v>119</v>
      </c>
      <c r="B2" s="258"/>
      <c r="C2" s="258"/>
      <c r="D2" s="258"/>
      <c r="E2" s="258"/>
      <c r="F2" s="258"/>
      <c r="G2" s="258"/>
      <c r="H2" s="258"/>
      <c r="I2" s="258"/>
      <c r="J2" s="258"/>
      <c r="K2" s="258"/>
      <c r="L2" s="258"/>
      <c r="M2" s="258"/>
      <c r="N2" s="258"/>
      <c r="O2" s="258"/>
      <c r="P2" s="258"/>
      <c r="Q2" s="258"/>
      <c r="R2" s="258"/>
      <c r="S2" s="258"/>
      <c r="T2" s="258"/>
      <c r="U2" s="258"/>
    </row>
    <row r="3" spans="1:22" s="59" customFormat="1" ht="11.25" customHeight="1" x14ac:dyDescent="0.2">
      <c r="A3" s="259"/>
      <c r="B3" s="259"/>
      <c r="C3" s="259"/>
      <c r="D3" s="259"/>
      <c r="E3" s="259"/>
      <c r="F3" s="259"/>
      <c r="G3" s="259"/>
      <c r="H3" s="259"/>
      <c r="I3" s="259"/>
      <c r="J3" s="259"/>
      <c r="K3" s="259"/>
      <c r="L3" s="259"/>
      <c r="M3" s="259"/>
      <c r="N3" s="259"/>
      <c r="O3" s="259"/>
      <c r="P3" s="259"/>
      <c r="Q3" s="259"/>
      <c r="R3" s="259"/>
      <c r="S3" s="259"/>
      <c r="T3" s="259"/>
      <c r="U3" s="259"/>
    </row>
    <row r="4" spans="1:22" s="59" customFormat="1" ht="11.25" customHeight="1" x14ac:dyDescent="0.2">
      <c r="A4" s="28"/>
      <c r="B4" s="28"/>
      <c r="C4" s="262" t="s">
        <v>120</v>
      </c>
      <c r="D4" s="262"/>
      <c r="E4" s="262"/>
      <c r="F4" s="29"/>
      <c r="G4" s="262" t="s">
        <v>121</v>
      </c>
      <c r="H4" s="262"/>
      <c r="I4" s="262"/>
      <c r="J4" s="29"/>
      <c r="K4" s="262" t="s">
        <v>122</v>
      </c>
      <c r="L4" s="262"/>
      <c r="M4" s="262"/>
      <c r="N4" s="29"/>
      <c r="O4" s="262"/>
      <c r="P4" s="262"/>
      <c r="Q4" s="262"/>
      <c r="R4" s="29"/>
      <c r="S4" s="262"/>
      <c r="T4" s="262"/>
      <c r="U4" s="262"/>
    </row>
    <row r="5" spans="1:22" s="59" customFormat="1" ht="11.25" customHeight="1" x14ac:dyDescent="0.2">
      <c r="A5" s="16"/>
      <c r="B5" s="16"/>
      <c r="C5" s="259" t="s">
        <v>123</v>
      </c>
      <c r="D5" s="259"/>
      <c r="E5" s="259"/>
      <c r="F5" s="160"/>
      <c r="G5" s="260" t="s">
        <v>124</v>
      </c>
      <c r="H5" s="260"/>
      <c r="I5" s="260"/>
      <c r="J5" s="160"/>
      <c r="K5" s="259" t="s">
        <v>125</v>
      </c>
      <c r="L5" s="259"/>
      <c r="M5" s="259"/>
      <c r="N5" s="160"/>
      <c r="O5" s="260" t="s">
        <v>126</v>
      </c>
      <c r="P5" s="260"/>
      <c r="Q5" s="260"/>
      <c r="R5" s="160"/>
      <c r="S5" s="259" t="s">
        <v>34</v>
      </c>
      <c r="T5" s="259"/>
      <c r="U5" s="259"/>
    </row>
    <row r="6" spans="1:22" s="59" customFormat="1" ht="11.25" customHeight="1" x14ac:dyDescent="0.2">
      <c r="A6" s="158"/>
      <c r="B6" s="16"/>
      <c r="C6" s="110" t="s">
        <v>35</v>
      </c>
      <c r="D6" s="100"/>
      <c r="E6" s="110" t="s">
        <v>127</v>
      </c>
      <c r="F6" s="100"/>
      <c r="G6" s="110" t="s">
        <v>35</v>
      </c>
      <c r="H6" s="100"/>
      <c r="I6" s="110" t="s">
        <v>127</v>
      </c>
      <c r="J6" s="100"/>
      <c r="K6" s="110" t="s">
        <v>35</v>
      </c>
      <c r="L6" s="100"/>
      <c r="M6" s="110" t="s">
        <v>127</v>
      </c>
      <c r="N6" s="100"/>
      <c r="O6" s="110" t="s">
        <v>35</v>
      </c>
      <c r="P6" s="100"/>
      <c r="Q6" s="110" t="s">
        <v>127</v>
      </c>
      <c r="R6" s="100"/>
      <c r="S6" s="110" t="s">
        <v>35</v>
      </c>
      <c r="T6" s="100"/>
      <c r="U6" s="110" t="s">
        <v>127</v>
      </c>
    </row>
    <row r="7" spans="1:22" s="59" customFormat="1" ht="11.25" customHeight="1" x14ac:dyDescent="0.2">
      <c r="A7" s="158" t="s">
        <v>90</v>
      </c>
      <c r="B7" s="200"/>
      <c r="C7" s="201" t="s">
        <v>38</v>
      </c>
      <c r="D7" s="202"/>
      <c r="E7" s="201" t="s">
        <v>39</v>
      </c>
      <c r="F7" s="202"/>
      <c r="G7" s="201" t="s">
        <v>38</v>
      </c>
      <c r="H7" s="202"/>
      <c r="I7" s="201" t="s">
        <v>39</v>
      </c>
      <c r="J7" s="202"/>
      <c r="K7" s="201" t="s">
        <v>38</v>
      </c>
      <c r="L7" s="202"/>
      <c r="M7" s="201" t="s">
        <v>39</v>
      </c>
      <c r="N7" s="202"/>
      <c r="O7" s="201" t="s">
        <v>38</v>
      </c>
      <c r="P7" s="202"/>
      <c r="Q7" s="201" t="s">
        <v>39</v>
      </c>
      <c r="R7" s="202"/>
      <c r="S7" s="201" t="s">
        <v>38</v>
      </c>
      <c r="T7" s="202"/>
      <c r="U7" s="203" t="s">
        <v>39</v>
      </c>
    </row>
    <row r="8" spans="1:22" s="59" customFormat="1" ht="11.25" customHeight="1" x14ac:dyDescent="0.2">
      <c r="A8" s="31" t="s">
        <v>58</v>
      </c>
      <c r="B8" s="60"/>
      <c r="C8" s="35"/>
      <c r="D8" s="160"/>
      <c r="E8" s="35"/>
      <c r="F8" s="160"/>
      <c r="G8" s="2"/>
      <c r="H8" s="160"/>
      <c r="I8" s="2"/>
      <c r="J8" s="160"/>
      <c r="K8" s="2"/>
      <c r="L8" s="160"/>
      <c r="M8" s="2"/>
      <c r="N8" s="160"/>
      <c r="O8" s="35"/>
      <c r="P8" s="160"/>
      <c r="Q8" s="35"/>
      <c r="R8" s="160"/>
      <c r="S8" s="35"/>
      <c r="T8" s="160"/>
      <c r="U8" s="35"/>
    </row>
    <row r="9" spans="1:22" s="59" customFormat="1" ht="11.25" customHeight="1" x14ac:dyDescent="0.2">
      <c r="A9" s="77" t="s">
        <v>128</v>
      </c>
      <c r="B9" s="60"/>
      <c r="C9" s="33" t="s">
        <v>96</v>
      </c>
      <c r="D9" s="30"/>
      <c r="E9" s="33" t="s">
        <v>96</v>
      </c>
      <c r="F9" s="160"/>
      <c r="G9" s="33" t="s">
        <v>96</v>
      </c>
      <c r="H9" s="30"/>
      <c r="I9" s="33" t="s">
        <v>96</v>
      </c>
      <c r="J9" s="160"/>
      <c r="K9" s="2">
        <v>19</v>
      </c>
      <c r="L9" s="160"/>
      <c r="M9" s="135">
        <v>70</v>
      </c>
      <c r="N9" s="160"/>
      <c r="O9" s="33" t="s">
        <v>96</v>
      </c>
      <c r="P9" s="30"/>
      <c r="Q9" s="33" t="s">
        <v>96</v>
      </c>
      <c r="R9" s="160"/>
      <c r="S9" s="32">
        <v>19</v>
      </c>
      <c r="T9" s="30"/>
      <c r="U9" s="134">
        <v>70</v>
      </c>
    </row>
    <row r="10" spans="1:22" s="59" customFormat="1" ht="11.25" customHeight="1" x14ac:dyDescent="0.2">
      <c r="A10" s="34" t="s">
        <v>129</v>
      </c>
      <c r="B10" s="7"/>
      <c r="C10" s="32">
        <v>96</v>
      </c>
      <c r="D10" s="30"/>
      <c r="E10" s="134">
        <v>132</v>
      </c>
      <c r="F10" s="30"/>
      <c r="G10" s="33" t="s">
        <v>96</v>
      </c>
      <c r="H10" s="30"/>
      <c r="I10" s="33" t="s">
        <v>96</v>
      </c>
      <c r="J10" s="30"/>
      <c r="K10" s="32">
        <v>4</v>
      </c>
      <c r="L10" s="30"/>
      <c r="M10" s="32">
        <v>96</v>
      </c>
      <c r="N10" s="30"/>
      <c r="O10" s="33" t="s">
        <v>96</v>
      </c>
      <c r="P10" s="30"/>
      <c r="Q10" s="33" t="s">
        <v>96</v>
      </c>
      <c r="R10" s="30"/>
      <c r="S10" s="32">
        <v>100</v>
      </c>
      <c r="T10" s="30"/>
      <c r="U10" s="32">
        <v>229</v>
      </c>
    </row>
    <row r="11" spans="1:22" s="59" customFormat="1" ht="11.25" customHeight="1" x14ac:dyDescent="0.2">
      <c r="A11" s="34" t="s">
        <v>91</v>
      </c>
      <c r="B11" s="7"/>
      <c r="C11" s="32">
        <v>20</v>
      </c>
      <c r="D11" s="30"/>
      <c r="E11" s="32">
        <v>41</v>
      </c>
      <c r="F11" s="30"/>
      <c r="G11" s="33" t="s">
        <v>96</v>
      </c>
      <c r="H11" s="30"/>
      <c r="I11" s="33" t="s">
        <v>96</v>
      </c>
      <c r="J11" s="30"/>
      <c r="K11" s="32">
        <v>7</v>
      </c>
      <c r="L11" s="30"/>
      <c r="M11" s="32">
        <v>18</v>
      </c>
      <c r="N11" s="30"/>
      <c r="O11" s="33" t="s">
        <v>96</v>
      </c>
      <c r="P11" s="30"/>
      <c r="Q11" s="33" t="s">
        <v>96</v>
      </c>
      <c r="R11" s="30"/>
      <c r="S11" s="32">
        <v>27</v>
      </c>
      <c r="T11" s="30"/>
      <c r="U11" s="32">
        <v>59</v>
      </c>
    </row>
    <row r="12" spans="1:22" s="59" customFormat="1" ht="11.25" customHeight="1" x14ac:dyDescent="0.2">
      <c r="A12" s="34" t="s">
        <v>92</v>
      </c>
      <c r="B12" s="7"/>
      <c r="C12" s="32">
        <v>1930</v>
      </c>
      <c r="D12" s="30"/>
      <c r="E12" s="32">
        <v>3490</v>
      </c>
      <c r="F12" s="30"/>
      <c r="G12" s="33" t="s">
        <v>96</v>
      </c>
      <c r="H12" s="30"/>
      <c r="I12" s="33" t="s">
        <v>96</v>
      </c>
      <c r="J12" s="30"/>
      <c r="K12" s="32">
        <v>402</v>
      </c>
      <c r="L12" s="30"/>
      <c r="M12" s="32">
        <v>1100</v>
      </c>
      <c r="N12" s="30"/>
      <c r="O12" s="33" t="s">
        <v>96</v>
      </c>
      <c r="P12" s="30"/>
      <c r="Q12" s="33" t="s">
        <v>96</v>
      </c>
      <c r="R12" s="30"/>
      <c r="S12" s="32">
        <v>2330</v>
      </c>
      <c r="T12" s="30"/>
      <c r="U12" s="32">
        <v>4590</v>
      </c>
    </row>
    <row r="13" spans="1:22" s="59" customFormat="1" ht="11.25" customHeight="1" x14ac:dyDescent="0.2">
      <c r="A13" s="34" t="s">
        <v>93</v>
      </c>
      <c r="B13" s="7"/>
      <c r="C13" s="32">
        <v>8090</v>
      </c>
      <c r="D13" s="30"/>
      <c r="E13" s="32">
        <v>12600</v>
      </c>
      <c r="F13" s="30"/>
      <c r="G13" s="33" t="s">
        <v>96</v>
      </c>
      <c r="H13" s="30"/>
      <c r="I13" s="33" t="s">
        <v>96</v>
      </c>
      <c r="J13" s="30"/>
      <c r="K13" s="32">
        <v>297</v>
      </c>
      <c r="L13" s="30"/>
      <c r="M13" s="32">
        <v>872</v>
      </c>
      <c r="N13" s="30"/>
      <c r="O13" s="32">
        <v>9</v>
      </c>
      <c r="P13" s="30"/>
      <c r="Q13" s="134">
        <v>3</v>
      </c>
      <c r="R13" s="30"/>
      <c r="S13" s="32">
        <v>8400</v>
      </c>
      <c r="T13" s="30"/>
      <c r="U13" s="32">
        <v>13500</v>
      </c>
    </row>
    <row r="14" spans="1:22" s="59" customFormat="1" ht="11.25" customHeight="1" x14ac:dyDescent="0.2">
      <c r="A14" s="34" t="s">
        <v>94</v>
      </c>
      <c r="B14" s="7"/>
      <c r="C14" s="32">
        <v>16800</v>
      </c>
      <c r="D14" s="30"/>
      <c r="E14" s="32">
        <v>21700</v>
      </c>
      <c r="F14" s="30"/>
      <c r="G14" s="33" t="s">
        <v>96</v>
      </c>
      <c r="H14" s="30"/>
      <c r="I14" s="33" t="s">
        <v>96</v>
      </c>
      <c r="J14" s="30"/>
      <c r="K14" s="32">
        <v>26400</v>
      </c>
      <c r="L14" s="30"/>
      <c r="M14" s="32">
        <v>116000</v>
      </c>
      <c r="N14" s="30"/>
      <c r="O14" s="32">
        <v>1840</v>
      </c>
      <c r="P14" s="30"/>
      <c r="Q14" s="32">
        <v>917</v>
      </c>
      <c r="R14" s="30"/>
      <c r="S14" s="32">
        <v>45100</v>
      </c>
      <c r="T14" s="30"/>
      <c r="U14" s="32">
        <v>139000</v>
      </c>
      <c r="V14" s="61"/>
    </row>
    <row r="15" spans="1:22" s="59" customFormat="1" ht="11.25" customHeight="1" x14ac:dyDescent="0.2">
      <c r="A15" s="34" t="s">
        <v>97</v>
      </c>
      <c r="B15" s="7"/>
      <c r="C15" s="33" t="s">
        <v>96</v>
      </c>
      <c r="D15" s="30"/>
      <c r="E15" s="33" t="s">
        <v>96</v>
      </c>
      <c r="F15" s="30"/>
      <c r="G15" s="33" t="s">
        <v>96</v>
      </c>
      <c r="H15" s="30"/>
      <c r="I15" s="33" t="s">
        <v>96</v>
      </c>
      <c r="J15" s="30"/>
      <c r="K15" s="32">
        <v>120</v>
      </c>
      <c r="L15" s="30"/>
      <c r="M15" s="32">
        <v>534</v>
      </c>
      <c r="N15" s="30"/>
      <c r="O15" s="33" t="s">
        <v>96</v>
      </c>
      <c r="P15" s="30"/>
      <c r="Q15" s="33" t="s">
        <v>96</v>
      </c>
      <c r="R15" s="30"/>
      <c r="S15" s="32">
        <v>120</v>
      </c>
      <c r="T15" s="30"/>
      <c r="U15" s="32">
        <v>534</v>
      </c>
    </row>
    <row r="16" spans="1:22" s="59" customFormat="1" ht="11.25" customHeight="1" x14ac:dyDescent="0.2">
      <c r="A16" s="34" t="s">
        <v>99</v>
      </c>
      <c r="B16" s="7"/>
      <c r="C16" s="32">
        <v>22</v>
      </c>
      <c r="D16" s="30"/>
      <c r="E16" s="32">
        <v>39</v>
      </c>
      <c r="F16" s="30"/>
      <c r="G16" s="33" t="s">
        <v>96</v>
      </c>
      <c r="H16" s="30"/>
      <c r="I16" s="33" t="s">
        <v>96</v>
      </c>
      <c r="J16" s="30"/>
      <c r="K16" s="32">
        <v>145</v>
      </c>
      <c r="L16" s="30"/>
      <c r="M16" s="32">
        <v>930</v>
      </c>
      <c r="N16" s="30"/>
      <c r="O16" s="33" t="s">
        <v>96</v>
      </c>
      <c r="P16" s="30"/>
      <c r="Q16" s="33" t="s">
        <v>96</v>
      </c>
      <c r="R16" s="30"/>
      <c r="S16" s="32">
        <v>167</v>
      </c>
      <c r="T16" s="30"/>
      <c r="U16" s="32">
        <v>969</v>
      </c>
    </row>
    <row r="17" spans="1:21" s="59" customFormat="1" ht="11.25" customHeight="1" x14ac:dyDescent="0.2">
      <c r="A17" s="34" t="s">
        <v>130</v>
      </c>
      <c r="B17" s="7"/>
      <c r="C17" s="32">
        <v>82</v>
      </c>
      <c r="D17" s="30"/>
      <c r="E17" s="32">
        <v>92</v>
      </c>
      <c r="F17" s="30"/>
      <c r="G17" s="33" t="s">
        <v>96</v>
      </c>
      <c r="H17" s="30"/>
      <c r="I17" s="33" t="s">
        <v>96</v>
      </c>
      <c r="J17" s="30"/>
      <c r="K17" s="33" t="s">
        <v>96</v>
      </c>
      <c r="L17" s="30"/>
      <c r="M17" s="33" t="s">
        <v>96</v>
      </c>
      <c r="N17" s="30"/>
      <c r="O17" s="32">
        <v>1080</v>
      </c>
      <c r="P17" s="30"/>
      <c r="Q17" s="32">
        <v>639</v>
      </c>
      <c r="R17" s="30"/>
      <c r="S17" s="32">
        <v>1160</v>
      </c>
      <c r="T17" s="30"/>
      <c r="U17" s="32">
        <v>732</v>
      </c>
    </row>
    <row r="18" spans="1:21" s="59" customFormat="1" ht="11.25" customHeight="1" x14ac:dyDescent="0.2">
      <c r="A18" s="34" t="s">
        <v>131</v>
      </c>
      <c r="B18" s="7"/>
      <c r="C18" s="33" t="s">
        <v>96</v>
      </c>
      <c r="D18" s="30"/>
      <c r="E18" s="33" t="s">
        <v>96</v>
      </c>
      <c r="F18" s="30"/>
      <c r="G18" s="33" t="s">
        <v>96</v>
      </c>
      <c r="H18" s="30"/>
      <c r="I18" s="33" t="s">
        <v>96</v>
      </c>
      <c r="J18" s="30"/>
      <c r="K18" s="74" t="s">
        <v>98</v>
      </c>
      <c r="L18" s="30"/>
      <c r="M18" s="32">
        <v>49</v>
      </c>
      <c r="N18" s="30"/>
      <c r="O18" s="33" t="s">
        <v>96</v>
      </c>
      <c r="P18" s="30"/>
      <c r="Q18" s="33" t="s">
        <v>96</v>
      </c>
      <c r="R18" s="30"/>
      <c r="S18" s="74" t="s">
        <v>98</v>
      </c>
      <c r="T18" s="30"/>
      <c r="U18" s="32">
        <v>49</v>
      </c>
    </row>
    <row r="19" spans="1:21" s="59" customFormat="1" ht="11.25" customHeight="1" x14ac:dyDescent="0.2">
      <c r="A19" s="34" t="s">
        <v>102</v>
      </c>
      <c r="B19" s="7"/>
      <c r="C19" s="33" t="s">
        <v>96</v>
      </c>
      <c r="D19" s="30"/>
      <c r="E19" s="33" t="s">
        <v>96</v>
      </c>
      <c r="F19" s="30"/>
      <c r="G19" s="33" t="s">
        <v>96</v>
      </c>
      <c r="H19" s="30"/>
      <c r="I19" s="33" t="s">
        <v>96</v>
      </c>
      <c r="J19" s="30"/>
      <c r="K19" s="32">
        <v>143</v>
      </c>
      <c r="L19" s="30"/>
      <c r="M19" s="32">
        <v>884</v>
      </c>
      <c r="N19" s="30"/>
      <c r="O19" s="33" t="s">
        <v>96</v>
      </c>
      <c r="P19" s="30"/>
      <c r="Q19" s="33" t="s">
        <v>96</v>
      </c>
      <c r="R19" s="30"/>
      <c r="S19" s="32">
        <v>143</v>
      </c>
      <c r="T19" s="30"/>
      <c r="U19" s="32">
        <v>884</v>
      </c>
    </row>
    <row r="20" spans="1:21" s="59" customFormat="1" ht="11.25" customHeight="1" x14ac:dyDescent="0.2">
      <c r="A20" s="34" t="s">
        <v>103</v>
      </c>
      <c r="B20" s="7"/>
      <c r="C20" s="33" t="s">
        <v>96</v>
      </c>
      <c r="D20" s="30"/>
      <c r="E20" s="33" t="s">
        <v>96</v>
      </c>
      <c r="F20" s="30"/>
      <c r="G20" s="33" t="s">
        <v>96</v>
      </c>
      <c r="H20" s="30"/>
      <c r="I20" s="33" t="s">
        <v>96</v>
      </c>
      <c r="J20" s="30"/>
      <c r="K20" s="32">
        <v>61</v>
      </c>
      <c r="L20" s="30"/>
      <c r="M20" s="32">
        <v>408</v>
      </c>
      <c r="N20" s="30"/>
      <c r="O20" s="33" t="s">
        <v>96</v>
      </c>
      <c r="P20" s="30"/>
      <c r="Q20" s="33" t="s">
        <v>96</v>
      </c>
      <c r="R20" s="30"/>
      <c r="S20" s="32">
        <v>61</v>
      </c>
      <c r="T20" s="30"/>
      <c r="U20" s="32">
        <v>408</v>
      </c>
    </row>
    <row r="21" spans="1:21" s="59" customFormat="1" ht="11.25" customHeight="1" x14ac:dyDescent="0.2">
      <c r="A21" s="34" t="s">
        <v>132</v>
      </c>
      <c r="B21" s="7"/>
      <c r="C21" s="32">
        <v>10800</v>
      </c>
      <c r="D21" s="30"/>
      <c r="E21" s="32">
        <v>9850</v>
      </c>
      <c r="F21" s="30"/>
      <c r="G21" s="33" t="s">
        <v>96</v>
      </c>
      <c r="H21" s="30"/>
      <c r="I21" s="33" t="s">
        <v>96</v>
      </c>
      <c r="J21" s="30"/>
      <c r="K21" s="74" t="s">
        <v>98</v>
      </c>
      <c r="L21" s="30"/>
      <c r="M21" s="32">
        <v>10</v>
      </c>
      <c r="N21" s="30"/>
      <c r="O21" s="33" t="s">
        <v>96</v>
      </c>
      <c r="P21" s="30"/>
      <c r="Q21" s="33" t="s">
        <v>96</v>
      </c>
      <c r="R21" s="30"/>
      <c r="S21" s="32">
        <v>10800</v>
      </c>
      <c r="T21" s="30"/>
      <c r="U21" s="32">
        <v>9860</v>
      </c>
    </row>
    <row r="22" spans="1:21" s="59" customFormat="1" ht="11.25" customHeight="1" x14ac:dyDescent="0.2">
      <c r="A22" s="34" t="s">
        <v>133</v>
      </c>
      <c r="B22" s="7"/>
      <c r="C22" s="33" t="s">
        <v>96</v>
      </c>
      <c r="D22" s="30"/>
      <c r="E22" s="33" t="s">
        <v>96</v>
      </c>
      <c r="F22" s="30"/>
      <c r="G22" s="33" t="s">
        <v>96</v>
      </c>
      <c r="H22" s="30"/>
      <c r="I22" s="33" t="s">
        <v>96</v>
      </c>
      <c r="J22" s="30"/>
      <c r="K22" s="74" t="s">
        <v>98</v>
      </c>
      <c r="L22" s="30"/>
      <c r="M22" s="32">
        <v>2</v>
      </c>
      <c r="N22" s="30"/>
      <c r="O22" s="33" t="s">
        <v>96</v>
      </c>
      <c r="P22" s="30"/>
      <c r="Q22" s="33" t="s">
        <v>96</v>
      </c>
      <c r="R22" s="30"/>
      <c r="S22" s="74" t="s">
        <v>98</v>
      </c>
      <c r="T22" s="30"/>
      <c r="U22" s="32">
        <v>2</v>
      </c>
    </row>
    <row r="23" spans="1:21" s="59" customFormat="1" ht="11.25" customHeight="1" x14ac:dyDescent="0.2">
      <c r="A23" s="34" t="s">
        <v>134</v>
      </c>
      <c r="B23" s="7"/>
      <c r="C23" s="32">
        <v>20</v>
      </c>
      <c r="D23" s="30"/>
      <c r="E23" s="32">
        <v>23</v>
      </c>
      <c r="F23" s="30"/>
      <c r="G23" s="33" t="s">
        <v>96</v>
      </c>
      <c r="H23" s="30"/>
      <c r="I23" s="33" t="s">
        <v>96</v>
      </c>
      <c r="J23" s="30"/>
      <c r="K23" s="33" t="s">
        <v>96</v>
      </c>
      <c r="L23" s="30"/>
      <c r="M23" s="33" t="s">
        <v>96</v>
      </c>
      <c r="N23" s="30"/>
      <c r="O23" s="33" t="s">
        <v>96</v>
      </c>
      <c r="P23" s="30"/>
      <c r="Q23" s="33" t="s">
        <v>96</v>
      </c>
      <c r="R23" s="30"/>
      <c r="S23" s="32">
        <v>20</v>
      </c>
      <c r="T23" s="30"/>
      <c r="U23" s="32">
        <v>23</v>
      </c>
    </row>
    <row r="24" spans="1:21" s="59" customFormat="1" ht="11.25" customHeight="1" x14ac:dyDescent="0.2">
      <c r="A24" s="34" t="s">
        <v>104</v>
      </c>
      <c r="B24" s="7"/>
      <c r="C24" s="32">
        <v>176</v>
      </c>
      <c r="D24" s="30"/>
      <c r="E24" s="32">
        <v>196</v>
      </c>
      <c r="F24" s="30"/>
      <c r="G24" s="33" t="s">
        <v>96</v>
      </c>
      <c r="H24" s="30"/>
      <c r="I24" s="33" t="s">
        <v>96</v>
      </c>
      <c r="J24" s="30"/>
      <c r="K24" s="33" t="s">
        <v>96</v>
      </c>
      <c r="L24" s="30"/>
      <c r="M24" s="33" t="s">
        <v>96</v>
      </c>
      <c r="N24" s="30"/>
      <c r="O24" s="32">
        <v>12000</v>
      </c>
      <c r="P24" s="30"/>
      <c r="Q24" s="32">
        <v>6830</v>
      </c>
      <c r="R24" s="30"/>
      <c r="S24" s="32">
        <v>12200</v>
      </c>
      <c r="T24" s="30"/>
      <c r="U24" s="32">
        <v>7020</v>
      </c>
    </row>
    <row r="25" spans="1:21" s="59" customFormat="1" ht="11.25" customHeight="1" x14ac:dyDescent="0.2">
      <c r="A25" s="34" t="s">
        <v>135</v>
      </c>
      <c r="B25" s="7"/>
      <c r="C25" s="32">
        <v>8070</v>
      </c>
      <c r="D25" s="30"/>
      <c r="E25" s="32">
        <v>7000</v>
      </c>
      <c r="F25" s="30"/>
      <c r="G25" s="33" t="s">
        <v>96</v>
      </c>
      <c r="H25" s="30"/>
      <c r="I25" s="33" t="s">
        <v>96</v>
      </c>
      <c r="J25" s="30"/>
      <c r="K25" s="33" t="s">
        <v>96</v>
      </c>
      <c r="L25" s="30"/>
      <c r="M25" s="33" t="s">
        <v>96</v>
      </c>
      <c r="N25" s="30"/>
      <c r="O25" s="33" t="s">
        <v>96</v>
      </c>
      <c r="P25" s="30"/>
      <c r="Q25" s="33" t="s">
        <v>96</v>
      </c>
      <c r="R25" s="30"/>
      <c r="S25" s="32">
        <v>8070</v>
      </c>
      <c r="T25" s="30"/>
      <c r="U25" s="32">
        <v>7000</v>
      </c>
    </row>
    <row r="26" spans="1:21" s="59" customFormat="1" ht="11.25" customHeight="1" x14ac:dyDescent="0.2">
      <c r="A26" s="34" t="s">
        <v>136</v>
      </c>
      <c r="B26" s="7"/>
      <c r="C26" s="32">
        <v>64</v>
      </c>
      <c r="D26" s="30"/>
      <c r="E26" s="32">
        <v>122</v>
      </c>
      <c r="F26" s="30"/>
      <c r="G26" s="33" t="s">
        <v>96</v>
      </c>
      <c r="H26" s="30"/>
      <c r="I26" s="33" t="s">
        <v>96</v>
      </c>
      <c r="J26" s="30"/>
      <c r="K26" s="32">
        <v>27</v>
      </c>
      <c r="L26" s="30"/>
      <c r="M26" s="32">
        <v>90</v>
      </c>
      <c r="N26" s="30"/>
      <c r="O26" s="33" t="s">
        <v>96</v>
      </c>
      <c r="P26" s="30"/>
      <c r="Q26" s="33" t="s">
        <v>96</v>
      </c>
      <c r="R26" s="30"/>
      <c r="S26" s="32">
        <v>91</v>
      </c>
      <c r="T26" s="30"/>
      <c r="U26" s="32">
        <v>212</v>
      </c>
    </row>
    <row r="27" spans="1:21" s="59" customFormat="1" ht="11.25" customHeight="1" x14ac:dyDescent="0.2">
      <c r="A27" s="34" t="s">
        <v>105</v>
      </c>
      <c r="B27" s="7"/>
      <c r="C27" s="33" t="s">
        <v>96</v>
      </c>
      <c r="D27" s="30"/>
      <c r="E27" s="33" t="s">
        <v>96</v>
      </c>
      <c r="F27" s="30"/>
      <c r="G27" s="33" t="s">
        <v>96</v>
      </c>
      <c r="H27" s="30"/>
      <c r="I27" s="33" t="s">
        <v>96</v>
      </c>
      <c r="J27" s="30"/>
      <c r="K27" s="32">
        <v>1</v>
      </c>
      <c r="L27" s="30"/>
      <c r="M27" s="32">
        <v>25</v>
      </c>
      <c r="N27" s="30"/>
      <c r="O27" s="33" t="s">
        <v>96</v>
      </c>
      <c r="P27" s="30"/>
      <c r="Q27" s="33" t="s">
        <v>96</v>
      </c>
      <c r="R27" s="30"/>
      <c r="S27" s="32">
        <v>1</v>
      </c>
      <c r="T27" s="30"/>
      <c r="U27" s="32">
        <v>25</v>
      </c>
    </row>
    <row r="28" spans="1:21" s="59" customFormat="1" ht="11.25" customHeight="1" x14ac:dyDescent="0.2">
      <c r="A28" s="34" t="s">
        <v>137</v>
      </c>
      <c r="B28" s="7"/>
      <c r="C28" s="33" t="s">
        <v>96</v>
      </c>
      <c r="D28" s="30"/>
      <c r="E28" s="33" t="s">
        <v>96</v>
      </c>
      <c r="F28" s="30"/>
      <c r="G28" s="32">
        <v>301</v>
      </c>
      <c r="H28" s="30"/>
      <c r="I28" s="134">
        <v>779</v>
      </c>
      <c r="J28" s="30"/>
      <c r="K28" s="33" t="s">
        <v>96</v>
      </c>
      <c r="L28" s="30"/>
      <c r="M28" s="33" t="s">
        <v>96</v>
      </c>
      <c r="N28" s="30"/>
      <c r="O28" s="33" t="s">
        <v>96</v>
      </c>
      <c r="P28" s="30"/>
      <c r="Q28" s="33" t="s">
        <v>96</v>
      </c>
      <c r="R28" s="30"/>
      <c r="S28" s="32">
        <v>301</v>
      </c>
      <c r="T28" s="30"/>
      <c r="U28" s="32">
        <v>779</v>
      </c>
    </row>
    <row r="29" spans="1:21" s="59" customFormat="1" ht="11.1" customHeight="1" x14ac:dyDescent="0.2">
      <c r="A29" s="34" t="s">
        <v>138</v>
      </c>
      <c r="B29" s="7"/>
      <c r="C29" s="33" t="s">
        <v>96</v>
      </c>
      <c r="D29" s="30"/>
      <c r="E29" s="33" t="s">
        <v>96</v>
      </c>
      <c r="F29" s="30"/>
      <c r="G29" s="33" t="s">
        <v>96</v>
      </c>
      <c r="H29" s="30"/>
      <c r="I29" s="33" t="s">
        <v>96</v>
      </c>
      <c r="J29" s="30"/>
      <c r="K29" s="74" t="s">
        <v>98</v>
      </c>
      <c r="L29" s="30"/>
      <c r="M29" s="32">
        <v>28</v>
      </c>
      <c r="N29" s="30"/>
      <c r="O29" s="33" t="s">
        <v>96</v>
      </c>
      <c r="P29" s="30"/>
      <c r="Q29" s="33" t="s">
        <v>96</v>
      </c>
      <c r="R29" s="30"/>
      <c r="S29" s="74" t="s">
        <v>98</v>
      </c>
      <c r="T29" s="30"/>
      <c r="U29" s="32">
        <v>28</v>
      </c>
    </row>
    <row r="30" spans="1:21" s="59" customFormat="1" ht="11.1" customHeight="1" x14ac:dyDescent="0.2">
      <c r="A30" s="34" t="s">
        <v>139</v>
      </c>
      <c r="B30" s="7"/>
      <c r="C30" s="33" t="s">
        <v>96</v>
      </c>
      <c r="D30" s="30"/>
      <c r="E30" s="33" t="s">
        <v>96</v>
      </c>
      <c r="F30" s="30"/>
      <c r="G30" s="33" t="s">
        <v>96</v>
      </c>
      <c r="H30" s="30"/>
      <c r="I30" s="33" t="s">
        <v>96</v>
      </c>
      <c r="J30" s="30"/>
      <c r="K30" s="74" t="s">
        <v>98</v>
      </c>
      <c r="L30" s="30"/>
      <c r="M30" s="32">
        <v>13</v>
      </c>
      <c r="N30" s="30"/>
      <c r="O30" s="33" t="s">
        <v>96</v>
      </c>
      <c r="P30" s="30"/>
      <c r="Q30" s="33" t="s">
        <v>96</v>
      </c>
      <c r="R30" s="30"/>
      <c r="S30" s="74" t="s">
        <v>98</v>
      </c>
      <c r="T30" s="30"/>
      <c r="U30" s="32">
        <v>13</v>
      </c>
    </row>
    <row r="31" spans="1:21" s="59" customFormat="1" ht="11.25" customHeight="1" x14ac:dyDescent="0.2">
      <c r="A31" s="34" t="s">
        <v>107</v>
      </c>
      <c r="B31" s="7"/>
      <c r="C31" s="33" t="s">
        <v>96</v>
      </c>
      <c r="D31" s="30"/>
      <c r="E31" s="33" t="s">
        <v>96</v>
      </c>
      <c r="F31" s="30"/>
      <c r="G31" s="33" t="s">
        <v>96</v>
      </c>
      <c r="H31" s="30"/>
      <c r="I31" s="33" t="s">
        <v>96</v>
      </c>
      <c r="J31" s="30"/>
      <c r="K31" s="74" t="s">
        <v>98</v>
      </c>
      <c r="L31" s="30"/>
      <c r="M31" s="32">
        <v>16</v>
      </c>
      <c r="N31" s="30"/>
      <c r="O31" s="33" t="s">
        <v>96</v>
      </c>
      <c r="P31" s="30"/>
      <c r="Q31" s="33" t="s">
        <v>96</v>
      </c>
      <c r="R31" s="30"/>
      <c r="S31" s="74" t="s">
        <v>98</v>
      </c>
      <c r="T31" s="30"/>
      <c r="U31" s="32">
        <v>16</v>
      </c>
    </row>
    <row r="32" spans="1:21" s="59" customFormat="1" ht="11.25" customHeight="1" x14ac:dyDescent="0.2">
      <c r="A32" s="34" t="s">
        <v>108</v>
      </c>
      <c r="B32" s="7"/>
      <c r="C32" s="32">
        <v>58</v>
      </c>
      <c r="D32" s="30"/>
      <c r="E32" s="32">
        <v>78</v>
      </c>
      <c r="F32" s="30"/>
      <c r="G32" s="33" t="s">
        <v>96</v>
      </c>
      <c r="H32" s="30"/>
      <c r="I32" s="33" t="s">
        <v>96</v>
      </c>
      <c r="J32" s="30"/>
      <c r="K32" s="33" t="s">
        <v>96</v>
      </c>
      <c r="L32" s="30"/>
      <c r="M32" s="33" t="s">
        <v>96</v>
      </c>
      <c r="N32" s="30"/>
      <c r="O32" s="33" t="s">
        <v>96</v>
      </c>
      <c r="P32" s="30"/>
      <c r="Q32" s="33" t="s">
        <v>96</v>
      </c>
      <c r="R32" s="30"/>
      <c r="S32" s="32">
        <v>58</v>
      </c>
      <c r="T32" s="30"/>
      <c r="U32" s="32">
        <v>78</v>
      </c>
    </row>
    <row r="33" spans="1:21" s="59" customFormat="1" ht="11.25" customHeight="1" x14ac:dyDescent="0.2">
      <c r="A33" s="34" t="s">
        <v>109</v>
      </c>
      <c r="B33" s="7"/>
      <c r="C33" s="204" t="s">
        <v>96</v>
      </c>
      <c r="D33" s="205"/>
      <c r="E33" s="204" t="s">
        <v>96</v>
      </c>
      <c r="F33" s="205"/>
      <c r="G33" s="204" t="s">
        <v>96</v>
      </c>
      <c r="H33" s="205"/>
      <c r="I33" s="204" t="s">
        <v>96</v>
      </c>
      <c r="J33" s="205"/>
      <c r="K33" s="206">
        <v>44</v>
      </c>
      <c r="L33" s="205"/>
      <c r="M33" s="206">
        <v>339</v>
      </c>
      <c r="N33" s="205"/>
      <c r="O33" s="204" t="s">
        <v>96</v>
      </c>
      <c r="P33" s="205"/>
      <c r="Q33" s="204" t="s">
        <v>96</v>
      </c>
      <c r="R33" s="205"/>
      <c r="S33" s="206">
        <v>44</v>
      </c>
      <c r="T33" s="205"/>
      <c r="U33" s="206">
        <v>339</v>
      </c>
    </row>
    <row r="34" spans="1:21" s="59" customFormat="1" ht="11.25" customHeight="1" x14ac:dyDescent="0.2">
      <c r="A34" s="36" t="s">
        <v>34</v>
      </c>
      <c r="B34" s="60"/>
      <c r="C34" s="207">
        <v>46300</v>
      </c>
      <c r="D34" s="208"/>
      <c r="E34" s="207">
        <v>55400</v>
      </c>
      <c r="F34" s="208"/>
      <c r="G34" s="207">
        <v>301</v>
      </c>
      <c r="H34" s="208"/>
      <c r="I34" s="207">
        <v>779</v>
      </c>
      <c r="J34" s="208"/>
      <c r="K34" s="207">
        <v>27700</v>
      </c>
      <c r="L34" s="208"/>
      <c r="M34" s="207">
        <v>122000</v>
      </c>
      <c r="N34" s="208"/>
      <c r="O34" s="207">
        <v>14900</v>
      </c>
      <c r="P34" s="208"/>
      <c r="Q34" s="207">
        <v>8390</v>
      </c>
      <c r="R34" s="208"/>
      <c r="S34" s="207">
        <v>89200</v>
      </c>
      <c r="T34" s="208"/>
      <c r="U34" s="207">
        <v>187000</v>
      </c>
    </row>
    <row r="35" spans="1:21" s="59" customFormat="1" ht="11.25" customHeight="1" x14ac:dyDescent="0.2">
      <c r="A35" s="31" t="s">
        <v>63</v>
      </c>
      <c r="B35" s="60"/>
      <c r="C35" s="35"/>
      <c r="D35" s="160"/>
      <c r="E35" s="35"/>
      <c r="F35" s="160"/>
      <c r="G35" s="2"/>
      <c r="H35" s="160"/>
      <c r="I35" s="2"/>
      <c r="J35" s="160"/>
      <c r="K35" s="2"/>
      <c r="L35" s="160"/>
      <c r="M35" s="2"/>
      <c r="N35" s="160"/>
      <c r="O35" s="35"/>
      <c r="P35" s="160"/>
      <c r="Q35" s="35"/>
      <c r="R35" s="160"/>
      <c r="S35" s="35"/>
      <c r="T35" s="160"/>
      <c r="U35" s="35"/>
    </row>
    <row r="36" spans="1:21" s="59" customFormat="1" ht="11.25" customHeight="1" x14ac:dyDescent="0.2">
      <c r="A36" s="77" t="s">
        <v>128</v>
      </c>
      <c r="B36" s="60"/>
      <c r="C36" s="33" t="s">
        <v>96</v>
      </c>
      <c r="D36" s="30"/>
      <c r="E36" s="33" t="s">
        <v>96</v>
      </c>
      <c r="F36" s="160"/>
      <c r="G36" s="33" t="s">
        <v>96</v>
      </c>
      <c r="H36" s="30"/>
      <c r="I36" s="33" t="s">
        <v>96</v>
      </c>
      <c r="J36" s="160"/>
      <c r="K36" s="33" t="s">
        <v>96</v>
      </c>
      <c r="L36" s="30"/>
      <c r="M36" s="33" t="s">
        <v>96</v>
      </c>
      <c r="N36" s="160"/>
      <c r="O36" s="74" t="s">
        <v>98</v>
      </c>
      <c r="P36" s="30"/>
      <c r="Q36" s="32">
        <v>3</v>
      </c>
      <c r="R36" s="160"/>
      <c r="S36" s="74" t="s">
        <v>98</v>
      </c>
      <c r="T36" s="30"/>
      <c r="U36" s="32">
        <v>3</v>
      </c>
    </row>
    <row r="37" spans="1:21" s="59" customFormat="1" ht="11.25" customHeight="1" x14ac:dyDescent="0.2">
      <c r="A37" s="34" t="s">
        <v>129</v>
      </c>
      <c r="B37" s="7"/>
      <c r="C37" s="32">
        <v>18</v>
      </c>
      <c r="D37" s="30"/>
      <c r="E37" s="32">
        <v>33</v>
      </c>
      <c r="F37" s="30"/>
      <c r="G37" s="33" t="s">
        <v>96</v>
      </c>
      <c r="H37" s="30"/>
      <c r="I37" s="33" t="s">
        <v>96</v>
      </c>
      <c r="J37" s="30"/>
      <c r="K37" s="33" t="s">
        <v>96</v>
      </c>
      <c r="L37" s="30"/>
      <c r="M37" s="33" t="s">
        <v>96</v>
      </c>
      <c r="N37" s="30"/>
      <c r="O37" s="33" t="s">
        <v>96</v>
      </c>
      <c r="P37" s="30"/>
      <c r="Q37" s="33" t="s">
        <v>96</v>
      </c>
      <c r="R37" s="30"/>
      <c r="S37" s="32">
        <v>18</v>
      </c>
      <c r="T37" s="30"/>
      <c r="U37" s="32">
        <v>33</v>
      </c>
    </row>
    <row r="38" spans="1:21" s="59" customFormat="1" ht="11.25" customHeight="1" x14ac:dyDescent="0.2">
      <c r="A38" s="34" t="s">
        <v>91</v>
      </c>
      <c r="B38" s="7"/>
      <c r="C38" s="33" t="s">
        <v>96</v>
      </c>
      <c r="D38" s="30"/>
      <c r="E38" s="33" t="s">
        <v>96</v>
      </c>
      <c r="F38" s="30"/>
      <c r="G38" s="33" t="s">
        <v>96</v>
      </c>
      <c r="H38" s="30"/>
      <c r="I38" s="33" t="s">
        <v>96</v>
      </c>
      <c r="J38" s="30"/>
      <c r="K38" s="32">
        <v>7</v>
      </c>
      <c r="L38" s="30"/>
      <c r="M38" s="32">
        <v>17</v>
      </c>
      <c r="N38" s="30"/>
      <c r="O38" s="33" t="s">
        <v>96</v>
      </c>
      <c r="P38" s="30"/>
      <c r="Q38" s="33" t="s">
        <v>96</v>
      </c>
      <c r="R38" s="30"/>
      <c r="S38" s="32">
        <v>7</v>
      </c>
      <c r="T38" s="30"/>
      <c r="U38" s="32">
        <v>17</v>
      </c>
    </row>
    <row r="39" spans="1:21" s="59" customFormat="1" ht="11.25" customHeight="1" x14ac:dyDescent="0.2">
      <c r="A39" s="34" t="s">
        <v>92</v>
      </c>
      <c r="B39" s="7"/>
      <c r="C39" s="32">
        <v>672</v>
      </c>
      <c r="D39" s="30"/>
      <c r="E39" s="32">
        <v>922</v>
      </c>
      <c r="F39" s="30"/>
      <c r="G39" s="33" t="s">
        <v>96</v>
      </c>
      <c r="H39" s="30"/>
      <c r="I39" s="33" t="s">
        <v>96</v>
      </c>
      <c r="J39" s="30"/>
      <c r="K39" s="32">
        <v>1440</v>
      </c>
      <c r="L39" s="30"/>
      <c r="M39" s="32">
        <v>3760</v>
      </c>
      <c r="N39" s="30"/>
      <c r="O39" s="32">
        <v>496</v>
      </c>
      <c r="P39" s="30"/>
      <c r="Q39" s="32">
        <v>120</v>
      </c>
      <c r="R39" s="30"/>
      <c r="S39" s="32">
        <v>2600</v>
      </c>
      <c r="T39" s="30"/>
      <c r="U39" s="32">
        <v>4800</v>
      </c>
    </row>
    <row r="40" spans="1:21" s="59" customFormat="1" ht="11.25" customHeight="1" x14ac:dyDescent="0.2">
      <c r="A40" s="34" t="s">
        <v>93</v>
      </c>
      <c r="B40" s="7"/>
      <c r="C40" s="32">
        <v>6760</v>
      </c>
      <c r="D40" s="30"/>
      <c r="E40" s="32">
        <v>9820</v>
      </c>
      <c r="F40" s="30"/>
      <c r="G40" s="33" t="s">
        <v>96</v>
      </c>
      <c r="H40" s="30"/>
      <c r="I40" s="33" t="s">
        <v>96</v>
      </c>
      <c r="J40" s="30"/>
      <c r="K40" s="32">
        <v>450</v>
      </c>
      <c r="L40" s="30"/>
      <c r="M40" s="32">
        <v>1200</v>
      </c>
      <c r="N40" s="30"/>
      <c r="O40" s="32">
        <v>26</v>
      </c>
      <c r="P40" s="30"/>
      <c r="Q40" s="32">
        <v>7</v>
      </c>
      <c r="R40" s="30"/>
      <c r="S40" s="32">
        <v>7240</v>
      </c>
      <c r="T40" s="30"/>
      <c r="U40" s="32">
        <v>11000</v>
      </c>
    </row>
    <row r="41" spans="1:21" s="59" customFormat="1" ht="11.25" customHeight="1" x14ac:dyDescent="0.2">
      <c r="A41" s="34" t="s">
        <v>94</v>
      </c>
      <c r="B41" s="7"/>
      <c r="C41" s="32">
        <v>6370</v>
      </c>
      <c r="D41" s="30"/>
      <c r="E41" s="32">
        <v>9320</v>
      </c>
      <c r="F41" s="30"/>
      <c r="G41" s="33" t="s">
        <v>96</v>
      </c>
      <c r="H41" s="30"/>
      <c r="I41" s="33" t="s">
        <v>96</v>
      </c>
      <c r="J41" s="30"/>
      <c r="K41" s="32">
        <v>22000</v>
      </c>
      <c r="L41" s="30"/>
      <c r="M41" s="32">
        <v>101000</v>
      </c>
      <c r="N41" s="30"/>
      <c r="O41" s="32">
        <v>857</v>
      </c>
      <c r="P41" s="30"/>
      <c r="Q41" s="32">
        <v>419</v>
      </c>
      <c r="R41" s="30"/>
      <c r="S41" s="32">
        <v>29300</v>
      </c>
      <c r="T41" s="30"/>
      <c r="U41" s="32">
        <v>110000</v>
      </c>
    </row>
    <row r="42" spans="1:21" s="59" customFormat="1" ht="11.25" customHeight="1" x14ac:dyDescent="0.2">
      <c r="A42" s="34" t="s">
        <v>140</v>
      </c>
      <c r="B42" s="7"/>
      <c r="C42" s="33" t="s">
        <v>96</v>
      </c>
      <c r="D42" s="30"/>
      <c r="E42" s="33" t="s">
        <v>96</v>
      </c>
      <c r="F42" s="30"/>
      <c r="G42" s="33" t="s">
        <v>96</v>
      </c>
      <c r="H42" s="30"/>
      <c r="I42" s="33" t="s">
        <v>96</v>
      </c>
      <c r="J42" s="30"/>
      <c r="K42" s="74" t="s">
        <v>98</v>
      </c>
      <c r="L42" s="30"/>
      <c r="M42" s="32">
        <v>15</v>
      </c>
      <c r="N42" s="30"/>
      <c r="O42" s="33" t="s">
        <v>96</v>
      </c>
      <c r="P42" s="30"/>
      <c r="Q42" s="33" t="s">
        <v>96</v>
      </c>
      <c r="R42" s="30"/>
      <c r="S42" s="74" t="s">
        <v>98</v>
      </c>
      <c r="T42" s="30"/>
      <c r="U42" s="32">
        <v>15</v>
      </c>
    </row>
    <row r="43" spans="1:21" s="59" customFormat="1" ht="11.25" customHeight="1" x14ac:dyDescent="0.2">
      <c r="A43" s="34" t="s">
        <v>141</v>
      </c>
      <c r="B43" s="7"/>
      <c r="C43" s="33" t="s">
        <v>96</v>
      </c>
      <c r="D43" s="30"/>
      <c r="E43" s="33" t="s">
        <v>96</v>
      </c>
      <c r="F43" s="30"/>
      <c r="G43" s="33" t="s">
        <v>96</v>
      </c>
      <c r="H43" s="30"/>
      <c r="I43" s="33" t="s">
        <v>96</v>
      </c>
      <c r="J43" s="30"/>
      <c r="K43" s="32">
        <v>1</v>
      </c>
      <c r="L43" s="30"/>
      <c r="M43" s="32">
        <v>2</v>
      </c>
      <c r="N43" s="30"/>
      <c r="O43" s="33" t="s">
        <v>96</v>
      </c>
      <c r="P43" s="30"/>
      <c r="Q43" s="33" t="s">
        <v>96</v>
      </c>
      <c r="R43" s="30"/>
      <c r="S43" s="32">
        <v>1</v>
      </c>
      <c r="T43" s="30"/>
      <c r="U43" s="32">
        <v>2</v>
      </c>
    </row>
    <row r="44" spans="1:21" ht="11.25" customHeight="1" x14ac:dyDescent="0.2">
      <c r="A44" s="34" t="s">
        <v>99</v>
      </c>
      <c r="B44" s="7"/>
      <c r="C44" s="32">
        <v>63</v>
      </c>
      <c r="D44" s="30"/>
      <c r="E44" s="32">
        <v>125</v>
      </c>
      <c r="F44" s="30"/>
      <c r="G44" s="33" t="s">
        <v>96</v>
      </c>
      <c r="H44" s="30"/>
      <c r="I44" s="33" t="s">
        <v>96</v>
      </c>
      <c r="J44" s="30"/>
      <c r="K44" s="32">
        <v>27</v>
      </c>
      <c r="L44" s="30"/>
      <c r="M44" s="32">
        <v>158</v>
      </c>
      <c r="N44" s="30"/>
      <c r="O44" s="33" t="s">
        <v>96</v>
      </c>
      <c r="P44" s="30"/>
      <c r="Q44" s="33" t="s">
        <v>96</v>
      </c>
      <c r="R44" s="30"/>
      <c r="S44" s="32">
        <v>90</v>
      </c>
      <c r="T44" s="30"/>
      <c r="U44" s="32">
        <v>282</v>
      </c>
    </row>
    <row r="45" spans="1:21" ht="11.25" customHeight="1" x14ac:dyDescent="0.2">
      <c r="A45" s="34" t="s">
        <v>100</v>
      </c>
      <c r="B45" s="7"/>
      <c r="C45" s="32">
        <v>20</v>
      </c>
      <c r="D45" s="30"/>
      <c r="E45" s="32">
        <v>38</v>
      </c>
      <c r="F45" s="30"/>
      <c r="G45" s="33" t="s">
        <v>96</v>
      </c>
      <c r="H45" s="30"/>
      <c r="I45" s="33" t="s">
        <v>96</v>
      </c>
      <c r="J45" s="30"/>
      <c r="K45" s="32">
        <v>20</v>
      </c>
      <c r="L45" s="30"/>
      <c r="M45" s="32">
        <v>76</v>
      </c>
      <c r="N45" s="30"/>
      <c r="O45" s="33" t="s">
        <v>96</v>
      </c>
      <c r="P45" s="30"/>
      <c r="Q45" s="33" t="s">
        <v>96</v>
      </c>
      <c r="R45" s="30"/>
      <c r="S45" s="32">
        <v>40</v>
      </c>
      <c r="T45" s="30"/>
      <c r="U45" s="32">
        <v>114</v>
      </c>
    </row>
    <row r="46" spans="1:21" ht="11.25" customHeight="1" x14ac:dyDescent="0.2">
      <c r="A46" s="34" t="s">
        <v>102</v>
      </c>
      <c r="B46" s="7"/>
      <c r="C46" s="33" t="s">
        <v>96</v>
      </c>
      <c r="D46" s="30"/>
      <c r="E46" s="33" t="s">
        <v>96</v>
      </c>
      <c r="F46" s="30"/>
      <c r="G46" s="33" t="s">
        <v>96</v>
      </c>
      <c r="H46" s="30"/>
      <c r="I46" s="33" t="s">
        <v>96</v>
      </c>
      <c r="J46" s="30"/>
      <c r="K46" s="32">
        <v>86</v>
      </c>
      <c r="L46" s="30"/>
      <c r="M46" s="32">
        <v>940</v>
      </c>
      <c r="N46" s="30"/>
      <c r="O46" s="33" t="s">
        <v>96</v>
      </c>
      <c r="P46" s="30"/>
      <c r="Q46" s="33" t="s">
        <v>96</v>
      </c>
      <c r="R46" s="30"/>
      <c r="S46" s="32">
        <v>86</v>
      </c>
      <c r="T46" s="30"/>
      <c r="U46" s="32">
        <v>940</v>
      </c>
    </row>
    <row r="47" spans="1:21" ht="11.25" customHeight="1" x14ac:dyDescent="0.2">
      <c r="A47" s="34" t="s">
        <v>103</v>
      </c>
      <c r="B47" s="7"/>
      <c r="C47" s="32">
        <v>18</v>
      </c>
      <c r="D47" s="30"/>
      <c r="E47" s="32">
        <v>32</v>
      </c>
      <c r="F47" s="30"/>
      <c r="G47" s="33" t="s">
        <v>96</v>
      </c>
      <c r="H47" s="30"/>
      <c r="I47" s="33" t="s">
        <v>96</v>
      </c>
      <c r="J47" s="30"/>
      <c r="K47" s="32">
        <v>250</v>
      </c>
      <c r="L47" s="30"/>
      <c r="M47" s="32">
        <v>1130</v>
      </c>
      <c r="N47" s="30"/>
      <c r="O47" s="33" t="s">
        <v>96</v>
      </c>
      <c r="P47" s="30"/>
      <c r="Q47" s="33" t="s">
        <v>96</v>
      </c>
      <c r="R47" s="30"/>
      <c r="S47" s="32">
        <v>268</v>
      </c>
      <c r="T47" s="30"/>
      <c r="U47" s="32">
        <v>1170</v>
      </c>
    </row>
    <row r="48" spans="1:21" ht="11.25" customHeight="1" x14ac:dyDescent="0.2">
      <c r="A48" s="34" t="s">
        <v>132</v>
      </c>
      <c r="B48" s="7"/>
      <c r="C48" s="32">
        <v>5920</v>
      </c>
      <c r="D48" s="30"/>
      <c r="E48" s="32">
        <v>5860</v>
      </c>
      <c r="F48" s="30"/>
      <c r="G48" s="33" t="s">
        <v>96</v>
      </c>
      <c r="H48" s="30"/>
      <c r="I48" s="33" t="s">
        <v>96</v>
      </c>
      <c r="J48" s="30"/>
      <c r="K48" s="32">
        <v>20</v>
      </c>
      <c r="L48" s="30"/>
      <c r="M48" s="32">
        <v>77</v>
      </c>
      <c r="N48" s="30"/>
      <c r="O48" s="33" t="s">
        <v>96</v>
      </c>
      <c r="P48" s="30"/>
      <c r="Q48" s="33" t="s">
        <v>96</v>
      </c>
      <c r="R48" s="30"/>
      <c r="S48" s="32">
        <v>5940</v>
      </c>
      <c r="T48" s="30"/>
      <c r="U48" s="32">
        <v>5940</v>
      </c>
    </row>
    <row r="49" spans="1:22" ht="11.25" customHeight="1" x14ac:dyDescent="0.2">
      <c r="A49" s="34" t="s">
        <v>104</v>
      </c>
      <c r="B49" s="7"/>
      <c r="C49" s="32">
        <v>138</v>
      </c>
      <c r="D49" s="30"/>
      <c r="E49" s="32">
        <v>180</v>
      </c>
      <c r="F49" s="30"/>
      <c r="G49" s="33" t="s">
        <v>96</v>
      </c>
      <c r="H49" s="30"/>
      <c r="I49" s="33" t="s">
        <v>96</v>
      </c>
      <c r="J49" s="30"/>
      <c r="K49" s="33" t="s">
        <v>96</v>
      </c>
      <c r="L49" s="30"/>
      <c r="M49" s="33" t="s">
        <v>96</v>
      </c>
      <c r="N49" s="30"/>
      <c r="O49" s="32">
        <v>6930</v>
      </c>
      <c r="P49" s="30"/>
      <c r="Q49" s="32">
        <v>4480</v>
      </c>
      <c r="R49" s="30"/>
      <c r="S49" s="32">
        <v>7070</v>
      </c>
      <c r="T49" s="30"/>
      <c r="U49" s="32">
        <v>4660</v>
      </c>
    </row>
    <row r="50" spans="1:22" ht="11.25" customHeight="1" x14ac:dyDescent="0.2">
      <c r="A50" s="34" t="s">
        <v>135</v>
      </c>
      <c r="B50" s="7"/>
      <c r="C50" s="32">
        <v>19100</v>
      </c>
      <c r="D50" s="30"/>
      <c r="E50" s="32">
        <v>15900</v>
      </c>
      <c r="F50" s="30"/>
      <c r="G50" s="33" t="s">
        <v>96</v>
      </c>
      <c r="H50" s="30"/>
      <c r="I50" s="33" t="s">
        <v>96</v>
      </c>
      <c r="J50" s="30"/>
      <c r="K50" s="33" t="s">
        <v>96</v>
      </c>
      <c r="L50" s="30"/>
      <c r="M50" s="33" t="s">
        <v>96</v>
      </c>
      <c r="N50" s="30"/>
      <c r="O50" s="33" t="s">
        <v>96</v>
      </c>
      <c r="P50" s="30"/>
      <c r="Q50" s="33" t="s">
        <v>96</v>
      </c>
      <c r="R50" s="30"/>
      <c r="S50" s="32">
        <v>19100</v>
      </c>
      <c r="T50" s="30"/>
      <c r="U50" s="32">
        <v>15900</v>
      </c>
      <c r="V50" s="65"/>
    </row>
    <row r="51" spans="1:22" ht="11.25" customHeight="1" x14ac:dyDescent="0.2">
      <c r="A51" s="34" t="s">
        <v>142</v>
      </c>
      <c r="B51" s="7"/>
      <c r="C51" s="33" t="s">
        <v>96</v>
      </c>
      <c r="D51" s="30"/>
      <c r="E51" s="33" t="s">
        <v>96</v>
      </c>
      <c r="F51" s="30"/>
      <c r="G51" s="33" t="s">
        <v>96</v>
      </c>
      <c r="H51" s="30"/>
      <c r="I51" s="33" t="s">
        <v>96</v>
      </c>
      <c r="J51" s="30"/>
      <c r="K51" s="32">
        <v>4</v>
      </c>
      <c r="L51" s="30"/>
      <c r="M51" s="32">
        <v>13</v>
      </c>
      <c r="N51" s="30"/>
      <c r="O51" s="33" t="s">
        <v>96</v>
      </c>
      <c r="P51" s="30"/>
      <c r="Q51" s="33" t="s">
        <v>96</v>
      </c>
      <c r="R51" s="30"/>
      <c r="S51" s="32">
        <v>4</v>
      </c>
      <c r="T51" s="30"/>
      <c r="U51" s="32">
        <v>13</v>
      </c>
      <c r="V51" s="65"/>
    </row>
    <row r="52" spans="1:22" ht="11.25" customHeight="1" x14ac:dyDescent="0.2">
      <c r="A52" s="34" t="s">
        <v>136</v>
      </c>
      <c r="B52" s="7"/>
      <c r="C52" s="32">
        <v>107</v>
      </c>
      <c r="D52" s="30"/>
      <c r="E52" s="32">
        <v>204</v>
      </c>
      <c r="F52" s="30"/>
      <c r="G52" s="33" t="s">
        <v>96</v>
      </c>
      <c r="H52" s="30"/>
      <c r="I52" s="33" t="s">
        <v>96</v>
      </c>
      <c r="J52" s="30"/>
      <c r="K52" s="32">
        <v>25</v>
      </c>
      <c r="L52" s="30"/>
      <c r="M52" s="32">
        <v>63</v>
      </c>
      <c r="N52" s="30"/>
      <c r="O52" s="33" t="s">
        <v>96</v>
      </c>
      <c r="P52" s="30"/>
      <c r="Q52" s="33" t="s">
        <v>96</v>
      </c>
      <c r="R52" s="30"/>
      <c r="S52" s="32">
        <v>132</v>
      </c>
      <c r="T52" s="30"/>
      <c r="U52" s="32">
        <v>267</v>
      </c>
    </row>
    <row r="53" spans="1:22" ht="11.25" customHeight="1" x14ac:dyDescent="0.2">
      <c r="A53" s="34" t="s">
        <v>105</v>
      </c>
      <c r="B53" s="7"/>
      <c r="C53" s="32">
        <v>38</v>
      </c>
      <c r="D53" s="30"/>
      <c r="E53" s="32">
        <v>47</v>
      </c>
      <c r="F53" s="30"/>
      <c r="G53" s="33" t="s">
        <v>96</v>
      </c>
      <c r="H53" s="30"/>
      <c r="I53" s="33" t="s">
        <v>96</v>
      </c>
      <c r="J53" s="30"/>
      <c r="K53" s="33" t="s">
        <v>96</v>
      </c>
      <c r="L53" s="30"/>
      <c r="M53" s="33" t="s">
        <v>96</v>
      </c>
      <c r="N53" s="30"/>
      <c r="O53" s="33" t="s">
        <v>96</v>
      </c>
      <c r="P53" s="30"/>
      <c r="Q53" s="33" t="s">
        <v>96</v>
      </c>
      <c r="R53" s="30"/>
      <c r="S53" s="32">
        <v>38</v>
      </c>
      <c r="T53" s="30"/>
      <c r="U53" s="32">
        <v>47</v>
      </c>
    </row>
    <row r="54" spans="1:22" ht="11.25" customHeight="1" x14ac:dyDescent="0.2">
      <c r="A54" s="34" t="s">
        <v>143</v>
      </c>
      <c r="B54" s="7"/>
      <c r="C54" s="32">
        <v>20</v>
      </c>
      <c r="D54" s="30"/>
      <c r="E54" s="32">
        <v>23</v>
      </c>
      <c r="F54" s="30"/>
      <c r="G54" s="33" t="s">
        <v>96</v>
      </c>
      <c r="H54" s="30"/>
      <c r="I54" s="33" t="s">
        <v>96</v>
      </c>
      <c r="J54" s="30"/>
      <c r="K54" s="33" t="s">
        <v>96</v>
      </c>
      <c r="L54" s="30"/>
      <c r="M54" s="33" t="s">
        <v>96</v>
      </c>
      <c r="N54" s="30"/>
      <c r="O54" s="32">
        <v>1210</v>
      </c>
      <c r="P54" s="30"/>
      <c r="Q54" s="32">
        <v>748</v>
      </c>
      <c r="R54" s="30"/>
      <c r="S54" s="32">
        <v>1230</v>
      </c>
      <c r="T54" s="30"/>
      <c r="U54" s="32">
        <v>772</v>
      </c>
    </row>
    <row r="55" spans="1:22" ht="11.25" customHeight="1" x14ac:dyDescent="0.2">
      <c r="A55" s="34" t="s">
        <v>137</v>
      </c>
      <c r="B55" s="7"/>
      <c r="C55" s="33" t="s">
        <v>96</v>
      </c>
      <c r="D55" s="30"/>
      <c r="E55" s="33" t="s">
        <v>96</v>
      </c>
      <c r="F55" s="30"/>
      <c r="G55" s="32">
        <v>288</v>
      </c>
      <c r="H55" s="30"/>
      <c r="I55" s="32">
        <v>685</v>
      </c>
      <c r="J55" s="30"/>
      <c r="K55" s="33" t="s">
        <v>96</v>
      </c>
      <c r="L55" s="30"/>
      <c r="M55" s="33" t="s">
        <v>96</v>
      </c>
      <c r="N55" s="30"/>
      <c r="O55" s="33" t="s">
        <v>96</v>
      </c>
      <c r="P55" s="30"/>
      <c r="Q55" s="33" t="s">
        <v>96</v>
      </c>
      <c r="R55" s="30"/>
      <c r="S55" s="32">
        <v>288</v>
      </c>
      <c r="T55" s="30"/>
      <c r="U55" s="32">
        <v>685</v>
      </c>
    </row>
    <row r="56" spans="1:22" ht="11.25" customHeight="1" x14ac:dyDescent="0.2">
      <c r="A56" s="34" t="s">
        <v>107</v>
      </c>
      <c r="B56" s="7"/>
      <c r="C56" s="33" t="s">
        <v>96</v>
      </c>
      <c r="D56" s="30"/>
      <c r="E56" s="33" t="s">
        <v>96</v>
      </c>
      <c r="F56" s="30"/>
      <c r="G56" s="33" t="s">
        <v>96</v>
      </c>
      <c r="H56" s="30"/>
      <c r="I56" s="33" t="s">
        <v>96</v>
      </c>
      <c r="J56" s="30"/>
      <c r="K56" s="32">
        <v>1</v>
      </c>
      <c r="L56" s="30"/>
      <c r="M56" s="32">
        <v>20</v>
      </c>
      <c r="N56" s="30"/>
      <c r="O56" s="33" t="s">
        <v>96</v>
      </c>
      <c r="P56" s="30"/>
      <c r="Q56" s="33" t="s">
        <v>96</v>
      </c>
      <c r="R56" s="30"/>
      <c r="S56" s="32">
        <v>1</v>
      </c>
      <c r="T56" s="30"/>
      <c r="U56" s="32">
        <v>20</v>
      </c>
    </row>
    <row r="57" spans="1:22" ht="11.25" customHeight="1" x14ac:dyDescent="0.2">
      <c r="A57" s="34" t="s">
        <v>144</v>
      </c>
      <c r="B57" s="7"/>
      <c r="C57" s="33" t="s">
        <v>96</v>
      </c>
      <c r="D57" s="30"/>
      <c r="E57" s="33" t="s">
        <v>96</v>
      </c>
      <c r="F57" s="30"/>
      <c r="G57" s="33" t="s">
        <v>96</v>
      </c>
      <c r="H57" s="30"/>
      <c r="I57" s="33" t="s">
        <v>96</v>
      </c>
      <c r="J57" s="30"/>
      <c r="K57" s="74" t="s">
        <v>98</v>
      </c>
      <c r="L57" s="30"/>
      <c r="M57" s="32">
        <v>8</v>
      </c>
      <c r="N57" s="30"/>
      <c r="O57" s="32">
        <v>19</v>
      </c>
      <c r="P57" s="30"/>
      <c r="Q57" s="32">
        <v>9</v>
      </c>
      <c r="R57" s="30"/>
      <c r="S57" s="32">
        <v>19</v>
      </c>
      <c r="T57" s="30"/>
      <c r="U57" s="32">
        <v>17</v>
      </c>
    </row>
    <row r="58" spans="1:22" ht="11.25" customHeight="1" x14ac:dyDescent="0.2">
      <c r="A58" s="34" t="s">
        <v>108</v>
      </c>
      <c r="B58" s="7"/>
      <c r="C58" s="32">
        <v>40</v>
      </c>
      <c r="D58" s="30"/>
      <c r="E58" s="32">
        <v>58</v>
      </c>
      <c r="F58" s="30"/>
      <c r="G58" s="33" t="s">
        <v>96</v>
      </c>
      <c r="H58" s="30"/>
      <c r="I58" s="33" t="s">
        <v>96</v>
      </c>
      <c r="J58" s="30"/>
      <c r="K58" s="33" t="s">
        <v>96</v>
      </c>
      <c r="L58" s="30"/>
      <c r="M58" s="33" t="s">
        <v>96</v>
      </c>
      <c r="N58" s="30"/>
      <c r="O58" s="33" t="s">
        <v>96</v>
      </c>
      <c r="P58" s="30"/>
      <c r="Q58" s="33" t="s">
        <v>96</v>
      </c>
      <c r="R58" s="30"/>
      <c r="S58" s="32">
        <v>40</v>
      </c>
      <c r="T58" s="30"/>
      <c r="U58" s="32">
        <v>58</v>
      </c>
    </row>
    <row r="59" spans="1:22" ht="11.25" customHeight="1" x14ac:dyDescent="0.2">
      <c r="A59" s="34" t="s">
        <v>109</v>
      </c>
      <c r="B59" s="7"/>
      <c r="C59" s="32">
        <v>19</v>
      </c>
      <c r="D59" s="30"/>
      <c r="E59" s="32">
        <v>27</v>
      </c>
      <c r="F59" s="205"/>
      <c r="G59" s="204" t="s">
        <v>96</v>
      </c>
      <c r="H59" s="205"/>
      <c r="I59" s="204" t="s">
        <v>96</v>
      </c>
      <c r="J59" s="205"/>
      <c r="K59" s="206">
        <v>4</v>
      </c>
      <c r="L59" s="205"/>
      <c r="M59" s="206">
        <v>52</v>
      </c>
      <c r="N59" s="205"/>
      <c r="O59" s="204" t="s">
        <v>96</v>
      </c>
      <c r="P59" s="205"/>
      <c r="Q59" s="204" t="s">
        <v>96</v>
      </c>
      <c r="R59" s="205"/>
      <c r="S59" s="206">
        <v>24</v>
      </c>
      <c r="T59" s="205"/>
      <c r="U59" s="206">
        <v>79</v>
      </c>
    </row>
    <row r="60" spans="1:22" ht="11.25" customHeight="1" x14ac:dyDescent="0.2">
      <c r="A60" s="36" t="s">
        <v>34</v>
      </c>
      <c r="B60" s="60"/>
      <c r="C60" s="67">
        <v>39300</v>
      </c>
      <c r="D60" s="30"/>
      <c r="E60" s="67">
        <v>42600</v>
      </c>
      <c r="F60" s="30"/>
      <c r="G60" s="67">
        <v>288</v>
      </c>
      <c r="H60" s="30"/>
      <c r="I60" s="67">
        <v>685</v>
      </c>
      <c r="J60" s="30"/>
      <c r="K60" s="67">
        <v>24400</v>
      </c>
      <c r="L60" s="30"/>
      <c r="M60" s="67">
        <v>108000</v>
      </c>
      <c r="N60" s="30"/>
      <c r="O60" s="67">
        <v>9540</v>
      </c>
      <c r="P60" s="30"/>
      <c r="Q60" s="67">
        <v>5790</v>
      </c>
      <c r="R60" s="30"/>
      <c r="S60" s="67">
        <v>73500</v>
      </c>
      <c r="T60" s="30"/>
      <c r="U60" s="67">
        <v>157000</v>
      </c>
    </row>
    <row r="61" spans="1:22" s="62" customFormat="1" ht="11.25" customHeight="1" x14ac:dyDescent="0.2">
      <c r="A61" s="263" t="s">
        <v>145</v>
      </c>
      <c r="B61" s="263"/>
      <c r="C61" s="263"/>
      <c r="D61" s="263"/>
      <c r="E61" s="263"/>
      <c r="F61" s="263"/>
      <c r="G61" s="263"/>
      <c r="H61" s="263"/>
      <c r="I61" s="263"/>
      <c r="J61" s="263"/>
      <c r="K61" s="263"/>
      <c r="L61" s="263"/>
      <c r="M61" s="263"/>
      <c r="N61" s="263"/>
      <c r="O61" s="263"/>
      <c r="P61" s="263"/>
      <c r="Q61" s="263"/>
      <c r="R61" s="263"/>
      <c r="S61" s="263"/>
      <c r="T61" s="263"/>
      <c r="U61" s="263"/>
    </row>
    <row r="62" spans="1:22" s="62" customFormat="1" ht="11.25" customHeight="1" x14ac:dyDescent="0.2">
      <c r="A62" s="264" t="s">
        <v>146</v>
      </c>
      <c r="B62" s="264"/>
      <c r="C62" s="264"/>
      <c r="D62" s="264"/>
      <c r="E62" s="264"/>
      <c r="F62" s="264"/>
      <c r="G62" s="264"/>
      <c r="H62" s="264"/>
      <c r="I62" s="264"/>
      <c r="J62" s="264"/>
      <c r="K62" s="264"/>
      <c r="L62" s="264"/>
      <c r="M62" s="264"/>
      <c r="N62" s="264"/>
      <c r="O62" s="264"/>
      <c r="P62" s="264"/>
      <c r="Q62" s="264"/>
      <c r="R62" s="264"/>
      <c r="S62" s="264"/>
      <c r="T62" s="264"/>
      <c r="U62" s="264"/>
    </row>
    <row r="63" spans="1:22" s="62" customFormat="1" ht="11.25" customHeight="1" x14ac:dyDescent="0.2">
      <c r="A63" s="264" t="s">
        <v>147</v>
      </c>
      <c r="B63" s="264"/>
      <c r="C63" s="264"/>
      <c r="D63" s="264"/>
      <c r="E63" s="264"/>
      <c r="F63" s="264"/>
      <c r="G63" s="264"/>
      <c r="H63" s="264"/>
      <c r="I63" s="264"/>
      <c r="J63" s="264"/>
      <c r="K63" s="264"/>
      <c r="L63" s="264"/>
      <c r="M63" s="264"/>
      <c r="N63" s="264"/>
      <c r="O63" s="264"/>
      <c r="P63" s="264"/>
      <c r="Q63" s="264"/>
      <c r="R63" s="264"/>
      <c r="S63" s="264"/>
      <c r="T63" s="264"/>
      <c r="U63" s="264"/>
    </row>
    <row r="64" spans="1:22" s="62" customFormat="1" ht="11.25" customHeight="1" x14ac:dyDescent="0.2">
      <c r="A64" s="264" t="s">
        <v>148</v>
      </c>
      <c r="B64" s="264"/>
      <c r="C64" s="264"/>
      <c r="D64" s="264"/>
      <c r="E64" s="264"/>
      <c r="F64" s="264"/>
      <c r="G64" s="264"/>
      <c r="H64" s="264"/>
      <c r="I64" s="264"/>
      <c r="J64" s="264"/>
      <c r="K64" s="264"/>
      <c r="L64" s="264"/>
      <c r="M64" s="264"/>
      <c r="N64" s="264"/>
      <c r="O64" s="264"/>
      <c r="P64" s="264"/>
      <c r="Q64" s="264"/>
      <c r="R64" s="264"/>
      <c r="S64" s="264"/>
      <c r="T64" s="264"/>
      <c r="U64" s="264"/>
    </row>
    <row r="65" spans="1:21" s="62" customFormat="1" ht="11.25" customHeight="1" x14ac:dyDescent="0.2">
      <c r="A65" s="264" t="s">
        <v>149</v>
      </c>
      <c r="B65" s="264"/>
      <c r="C65" s="264"/>
      <c r="D65" s="264"/>
      <c r="E65" s="264"/>
      <c r="F65" s="264"/>
      <c r="G65" s="264"/>
      <c r="H65" s="264"/>
      <c r="I65" s="264"/>
      <c r="J65" s="264"/>
      <c r="K65" s="264"/>
      <c r="L65" s="264"/>
      <c r="M65" s="264"/>
      <c r="N65" s="264"/>
      <c r="O65" s="264"/>
      <c r="P65" s="264"/>
      <c r="Q65" s="264"/>
      <c r="R65" s="264"/>
      <c r="S65" s="264"/>
      <c r="T65" s="264"/>
      <c r="U65" s="264"/>
    </row>
    <row r="66" spans="1:21" s="62" customFormat="1" ht="11.25" customHeight="1" x14ac:dyDescent="0.2">
      <c r="A66" s="264" t="s">
        <v>150</v>
      </c>
      <c r="B66" s="264"/>
      <c r="C66" s="264"/>
      <c r="D66" s="264"/>
      <c r="E66" s="264"/>
      <c r="F66" s="264"/>
      <c r="G66" s="264"/>
      <c r="H66" s="264"/>
      <c r="I66" s="264"/>
      <c r="J66" s="264"/>
      <c r="K66" s="264"/>
      <c r="L66" s="264"/>
      <c r="M66" s="264"/>
      <c r="N66" s="264"/>
      <c r="O66" s="264"/>
      <c r="P66" s="264"/>
      <c r="Q66" s="264"/>
      <c r="R66" s="264"/>
      <c r="S66" s="264"/>
      <c r="T66" s="264"/>
      <c r="U66" s="264"/>
    </row>
    <row r="67" spans="1:21" s="62" customFormat="1" ht="11.25" customHeight="1" x14ac:dyDescent="0.2">
      <c r="A67" s="265" t="s">
        <v>151</v>
      </c>
      <c r="B67" s="265"/>
      <c r="C67" s="265"/>
      <c r="D67" s="265"/>
      <c r="E67" s="265"/>
      <c r="F67" s="265"/>
      <c r="G67" s="265"/>
      <c r="H67" s="265"/>
      <c r="I67" s="265"/>
      <c r="J67" s="265"/>
      <c r="K67" s="265"/>
      <c r="L67" s="265"/>
      <c r="M67" s="265"/>
      <c r="N67" s="265"/>
      <c r="O67" s="265"/>
      <c r="P67" s="265"/>
      <c r="Q67" s="265"/>
      <c r="R67" s="265"/>
      <c r="S67" s="265"/>
      <c r="T67" s="265"/>
      <c r="U67" s="265"/>
    </row>
    <row r="68" spans="1:21" s="62" customFormat="1" ht="11.25" customHeight="1" x14ac:dyDescent="0.2">
      <c r="A68" s="261"/>
      <c r="B68" s="261"/>
      <c r="C68" s="261"/>
      <c r="D68" s="261"/>
      <c r="E68" s="261"/>
      <c r="F68" s="261"/>
      <c r="G68" s="261"/>
      <c r="H68" s="261"/>
      <c r="I68" s="261"/>
      <c r="J68" s="261"/>
      <c r="K68" s="261"/>
      <c r="L68" s="261"/>
      <c r="M68" s="261"/>
      <c r="N68" s="261"/>
      <c r="O68" s="261"/>
      <c r="P68" s="261"/>
      <c r="Q68" s="261"/>
      <c r="R68" s="261"/>
      <c r="S68" s="261"/>
      <c r="T68" s="261"/>
      <c r="U68" s="261"/>
    </row>
    <row r="69" spans="1:21" s="62" customFormat="1" ht="11.25" customHeight="1" x14ac:dyDescent="0.2">
      <c r="A69" s="261" t="s">
        <v>152</v>
      </c>
      <c r="B69" s="261"/>
      <c r="C69" s="261"/>
      <c r="D69" s="261"/>
      <c r="E69" s="261"/>
      <c r="F69" s="261"/>
      <c r="G69" s="261"/>
      <c r="H69" s="261"/>
      <c r="I69" s="261"/>
      <c r="J69" s="261"/>
      <c r="K69" s="261"/>
      <c r="L69" s="261"/>
      <c r="M69" s="261"/>
      <c r="N69" s="261"/>
      <c r="O69" s="261"/>
      <c r="P69" s="261"/>
      <c r="Q69" s="261"/>
      <c r="R69" s="261"/>
      <c r="S69" s="261"/>
      <c r="T69" s="261"/>
      <c r="U69" s="261"/>
    </row>
  </sheetData>
  <mergeCells count="22">
    <mergeCell ref="A69:U69"/>
    <mergeCell ref="C4:E4"/>
    <mergeCell ref="G4:I4"/>
    <mergeCell ref="K4:M4"/>
    <mergeCell ref="O4:Q4"/>
    <mergeCell ref="S4:U4"/>
    <mergeCell ref="A61:U61"/>
    <mergeCell ref="A62:U62"/>
    <mergeCell ref="A66:U66"/>
    <mergeCell ref="A67:U67"/>
    <mergeCell ref="A68:U68"/>
    <mergeCell ref="A63:U63"/>
    <mergeCell ref="A64:U64"/>
    <mergeCell ref="A65:U65"/>
    <mergeCell ref="A1:U1"/>
    <mergeCell ref="A2:U2"/>
    <mergeCell ref="A3:U3"/>
    <mergeCell ref="C5:E5"/>
    <mergeCell ref="G5:I5"/>
    <mergeCell ref="K5:M5"/>
    <mergeCell ref="O5:Q5"/>
    <mergeCell ref="S5:U5"/>
  </mergeCells>
  <pageMargins left="1" right="0.5" top="0.5" bottom="0.5" header="0.3" footer="0.3"/>
  <pageSetup scale="81"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49"/>
  <sheetViews>
    <sheetView zoomScaleNormal="100" workbookViewId="0">
      <selection sqref="A1:E1"/>
    </sheetView>
  </sheetViews>
  <sheetFormatPr defaultColWidth="9.33203125" defaultRowHeight="11.25" customHeight="1" x14ac:dyDescent="0.2"/>
  <cols>
    <col min="1" max="1" width="28" style="3" customWidth="1"/>
    <col min="2" max="2" width="1.83203125" style="3" customWidth="1"/>
    <col min="3" max="3" width="15.6640625" style="3" customWidth="1"/>
    <col min="4" max="4" width="1.83203125" style="3" customWidth="1"/>
    <col min="5" max="5" width="16.1640625" style="3" customWidth="1"/>
    <col min="6" max="12" width="9.33203125" style="3"/>
    <col min="13" max="13" width="9" style="14" customWidth="1"/>
    <col min="14" max="16384" width="9.33203125" style="3"/>
  </cols>
  <sheetData>
    <row r="1" spans="1:5" s="1" customFormat="1" ht="11.25" customHeight="1" x14ac:dyDescent="0.2">
      <c r="A1" s="258" t="s">
        <v>153</v>
      </c>
      <c r="B1" s="258"/>
      <c r="C1" s="258"/>
      <c r="D1" s="258"/>
      <c r="E1" s="258"/>
    </row>
    <row r="2" spans="1:5" s="1" customFormat="1" ht="11.25" customHeight="1" x14ac:dyDescent="0.2">
      <c r="A2" s="258" t="s">
        <v>154</v>
      </c>
      <c r="B2" s="258"/>
      <c r="C2" s="258"/>
      <c r="D2" s="258"/>
      <c r="E2" s="258"/>
    </row>
    <row r="3" spans="1:5" s="1" customFormat="1" ht="11.25" customHeight="1" x14ac:dyDescent="0.2">
      <c r="A3" s="258" t="s">
        <v>155</v>
      </c>
      <c r="B3" s="258"/>
      <c r="C3" s="258"/>
      <c r="D3" s="258"/>
      <c r="E3" s="258"/>
    </row>
    <row r="4" spans="1:5" s="1" customFormat="1" ht="11.25" customHeight="1" x14ac:dyDescent="0.2">
      <c r="A4" s="268" t="s">
        <v>156</v>
      </c>
      <c r="B4" s="268"/>
      <c r="C4" s="268"/>
      <c r="D4" s="268"/>
      <c r="E4" s="268"/>
    </row>
    <row r="5" spans="1:5" s="1" customFormat="1" ht="11.25" customHeight="1" x14ac:dyDescent="0.2">
      <c r="A5" s="28"/>
      <c r="B5" s="29"/>
      <c r="C5" s="159" t="s">
        <v>157</v>
      </c>
      <c r="D5" s="29"/>
      <c r="E5" s="159" t="s">
        <v>158</v>
      </c>
    </row>
    <row r="6" spans="1:5" s="1" customFormat="1" ht="11.25" customHeight="1" x14ac:dyDescent="0.2">
      <c r="A6" s="203" t="s">
        <v>90</v>
      </c>
      <c r="B6" s="205"/>
      <c r="C6" s="203" t="s">
        <v>38</v>
      </c>
      <c r="D6" s="205"/>
      <c r="E6" s="203" t="s">
        <v>39</v>
      </c>
    </row>
    <row r="7" spans="1:5" s="1" customFormat="1" ht="11.25" customHeight="1" x14ac:dyDescent="0.2">
      <c r="A7" s="209" t="s">
        <v>58</v>
      </c>
      <c r="B7" s="160"/>
      <c r="C7" s="2"/>
      <c r="D7" s="56"/>
      <c r="E7" s="2"/>
    </row>
    <row r="8" spans="1:5" s="1" customFormat="1" ht="11.25" customHeight="1" x14ac:dyDescent="0.2">
      <c r="A8" s="210" t="s">
        <v>129</v>
      </c>
      <c r="B8" s="160"/>
      <c r="C8" s="68">
        <v>3610</v>
      </c>
      <c r="D8" s="56"/>
      <c r="E8" s="136">
        <v>20900</v>
      </c>
    </row>
    <row r="9" spans="1:5" s="1" customFormat="1" ht="11.25" customHeight="1" x14ac:dyDescent="0.2">
      <c r="A9" s="210" t="s">
        <v>93</v>
      </c>
      <c r="B9" s="160"/>
      <c r="C9" s="68">
        <v>806</v>
      </c>
      <c r="D9" s="56"/>
      <c r="E9" s="68">
        <v>421</v>
      </c>
    </row>
    <row r="10" spans="1:5" s="1" customFormat="1" ht="11.25" customHeight="1" x14ac:dyDescent="0.2">
      <c r="A10" s="210" t="s">
        <v>94</v>
      </c>
      <c r="B10" s="160"/>
      <c r="C10" s="68">
        <v>11000</v>
      </c>
      <c r="D10" s="56"/>
      <c r="E10" s="68">
        <v>32500</v>
      </c>
    </row>
    <row r="11" spans="1:5" s="1" customFormat="1" ht="11.25" customHeight="1" x14ac:dyDescent="0.2">
      <c r="A11" s="210" t="s">
        <v>97</v>
      </c>
      <c r="B11" s="160"/>
      <c r="C11" s="68">
        <v>3820</v>
      </c>
      <c r="D11" s="56"/>
      <c r="E11" s="68">
        <v>23200</v>
      </c>
    </row>
    <row r="12" spans="1:5" s="1" customFormat="1" ht="11.25" customHeight="1" x14ac:dyDescent="0.2">
      <c r="A12" s="210" t="s">
        <v>159</v>
      </c>
      <c r="B12" s="160"/>
      <c r="C12" s="68">
        <v>427</v>
      </c>
      <c r="D12" s="56"/>
      <c r="E12" s="68">
        <v>14100</v>
      </c>
    </row>
    <row r="13" spans="1:5" s="1" customFormat="1" ht="11.25" customHeight="1" x14ac:dyDescent="0.2">
      <c r="A13" s="210" t="s">
        <v>100</v>
      </c>
      <c r="B13" s="160"/>
      <c r="C13" s="68">
        <v>34400</v>
      </c>
      <c r="D13" s="56"/>
      <c r="E13" s="68">
        <v>73600</v>
      </c>
    </row>
    <row r="14" spans="1:5" s="1" customFormat="1" ht="11.25" customHeight="1" x14ac:dyDescent="0.2">
      <c r="A14" s="210" t="s">
        <v>101</v>
      </c>
      <c r="B14" s="160"/>
      <c r="C14" s="68">
        <v>4700</v>
      </c>
      <c r="D14" s="56"/>
      <c r="E14" s="68">
        <v>28600</v>
      </c>
    </row>
    <row r="15" spans="1:5" s="1" customFormat="1" ht="11.25" customHeight="1" x14ac:dyDescent="0.2">
      <c r="A15" s="210" t="s">
        <v>102</v>
      </c>
      <c r="B15" s="160"/>
      <c r="C15" s="68">
        <v>2530</v>
      </c>
      <c r="D15" s="56"/>
      <c r="E15" s="68">
        <v>16400</v>
      </c>
    </row>
    <row r="16" spans="1:5" s="1" customFormat="1" ht="11.25" customHeight="1" x14ac:dyDescent="0.2">
      <c r="A16" s="210" t="s">
        <v>133</v>
      </c>
      <c r="B16" s="160"/>
      <c r="C16" s="68">
        <v>2180</v>
      </c>
      <c r="D16" s="56"/>
      <c r="E16" s="68">
        <v>14200</v>
      </c>
    </row>
    <row r="17" spans="1:5" s="1" customFormat="1" ht="11.25" customHeight="1" x14ac:dyDescent="0.2">
      <c r="A17" s="210" t="s">
        <v>104</v>
      </c>
      <c r="B17" s="160"/>
      <c r="C17" s="68">
        <v>20300</v>
      </c>
      <c r="D17" s="56"/>
      <c r="E17" s="68">
        <v>77200</v>
      </c>
    </row>
    <row r="18" spans="1:5" s="1" customFormat="1" ht="11.25" customHeight="1" x14ac:dyDescent="0.2">
      <c r="A18" s="210" t="s">
        <v>105</v>
      </c>
      <c r="B18" s="160"/>
      <c r="C18" s="68">
        <v>2660</v>
      </c>
      <c r="D18" s="56"/>
      <c r="E18" s="68">
        <v>12800</v>
      </c>
    </row>
    <row r="19" spans="1:5" s="1" customFormat="1" ht="11.25" customHeight="1" x14ac:dyDescent="0.2">
      <c r="A19" s="210" t="s">
        <v>160</v>
      </c>
      <c r="B19" s="160"/>
      <c r="C19" s="68">
        <v>10400</v>
      </c>
      <c r="D19" s="56"/>
      <c r="E19" s="68">
        <v>31400</v>
      </c>
    </row>
    <row r="20" spans="1:5" s="1" customFormat="1" ht="11.25" customHeight="1" x14ac:dyDescent="0.2">
      <c r="A20" s="210" t="s">
        <v>161</v>
      </c>
      <c r="B20" s="160"/>
      <c r="C20" s="68">
        <v>1710</v>
      </c>
      <c r="D20" s="56"/>
      <c r="E20" s="68">
        <v>9820</v>
      </c>
    </row>
    <row r="21" spans="1:5" s="1" customFormat="1" ht="11.25" customHeight="1" x14ac:dyDescent="0.2">
      <c r="A21" s="210" t="s">
        <v>107</v>
      </c>
      <c r="B21" s="160"/>
      <c r="C21" s="68">
        <v>95</v>
      </c>
      <c r="D21" s="56"/>
      <c r="E21" s="68">
        <v>476</v>
      </c>
    </row>
    <row r="22" spans="1:5" s="1" customFormat="1" ht="11.25" customHeight="1" x14ac:dyDescent="0.2">
      <c r="A22" s="210" t="s">
        <v>162</v>
      </c>
      <c r="B22" s="160"/>
      <c r="C22" s="68">
        <v>1640</v>
      </c>
      <c r="D22" s="56"/>
      <c r="E22" s="68">
        <v>5340</v>
      </c>
    </row>
    <row r="23" spans="1:5" s="1" customFormat="1" ht="11.25" customHeight="1" x14ac:dyDescent="0.2">
      <c r="A23" s="210" t="s">
        <v>109</v>
      </c>
      <c r="B23" s="160"/>
      <c r="C23" s="68">
        <v>561</v>
      </c>
      <c r="D23" s="56"/>
      <c r="E23" s="68">
        <v>1960</v>
      </c>
    </row>
    <row r="24" spans="1:5" s="1" customFormat="1" ht="11.25" customHeight="1" x14ac:dyDescent="0.2">
      <c r="A24" s="210" t="s">
        <v>163</v>
      </c>
      <c r="B24" s="160"/>
      <c r="C24" s="211">
        <v>53</v>
      </c>
      <c r="D24" s="56"/>
      <c r="E24" s="68">
        <v>460</v>
      </c>
    </row>
    <row r="25" spans="1:5" s="1" customFormat="1" ht="11.25" customHeight="1" x14ac:dyDescent="0.2">
      <c r="A25" s="212" t="s">
        <v>34</v>
      </c>
      <c r="B25" s="30"/>
      <c r="C25" s="213">
        <v>101000</v>
      </c>
      <c r="D25" s="214"/>
      <c r="E25" s="213">
        <v>363000</v>
      </c>
    </row>
    <row r="26" spans="1:5" s="1" customFormat="1" ht="11.25" customHeight="1" x14ac:dyDescent="0.2">
      <c r="A26" s="209" t="s">
        <v>63</v>
      </c>
      <c r="B26" s="160"/>
      <c r="C26" s="2"/>
      <c r="D26" s="56"/>
      <c r="E26" s="2"/>
    </row>
    <row r="27" spans="1:5" s="1" customFormat="1" ht="11.25" customHeight="1" x14ac:dyDescent="0.2">
      <c r="A27" s="210" t="s">
        <v>129</v>
      </c>
      <c r="B27" s="160"/>
      <c r="C27" s="68">
        <v>2530</v>
      </c>
      <c r="D27" s="56"/>
      <c r="E27" s="68">
        <v>15300</v>
      </c>
    </row>
    <row r="28" spans="1:5" s="1" customFormat="1" ht="11.25" customHeight="1" x14ac:dyDescent="0.2">
      <c r="A28" s="210" t="s">
        <v>93</v>
      </c>
      <c r="B28" s="160"/>
      <c r="C28" s="68">
        <v>213</v>
      </c>
      <c r="D28" s="56"/>
      <c r="E28" s="68">
        <v>251</v>
      </c>
    </row>
    <row r="29" spans="1:5" s="1" customFormat="1" ht="11.25" customHeight="1" x14ac:dyDescent="0.2">
      <c r="A29" s="210" t="s">
        <v>94</v>
      </c>
      <c r="B29" s="160"/>
      <c r="C29" s="68">
        <v>11600</v>
      </c>
      <c r="D29" s="56"/>
      <c r="E29" s="68">
        <v>36200</v>
      </c>
    </row>
    <row r="30" spans="1:5" s="1" customFormat="1" ht="11.25" customHeight="1" x14ac:dyDescent="0.2">
      <c r="A30" s="210" t="s">
        <v>97</v>
      </c>
      <c r="B30" s="160"/>
      <c r="C30" s="68">
        <v>1840</v>
      </c>
      <c r="D30" s="56"/>
      <c r="E30" s="68">
        <v>11000</v>
      </c>
    </row>
    <row r="31" spans="1:5" s="1" customFormat="1" ht="11.25" customHeight="1" x14ac:dyDescent="0.2">
      <c r="A31" s="210" t="s">
        <v>99</v>
      </c>
      <c r="B31" s="160"/>
      <c r="C31" s="68">
        <v>104</v>
      </c>
      <c r="D31" s="56"/>
      <c r="E31" s="68">
        <v>10600</v>
      </c>
    </row>
    <row r="32" spans="1:5" s="1" customFormat="1" ht="11.25" customHeight="1" x14ac:dyDescent="0.2">
      <c r="A32" s="210" t="s">
        <v>100</v>
      </c>
      <c r="B32" s="160"/>
      <c r="C32" s="68">
        <v>29100</v>
      </c>
      <c r="D32" s="56"/>
      <c r="E32" s="68">
        <v>62500</v>
      </c>
    </row>
    <row r="33" spans="1:5" s="1" customFormat="1" ht="11.25" customHeight="1" x14ac:dyDescent="0.2">
      <c r="A33" s="210" t="s">
        <v>101</v>
      </c>
      <c r="B33" s="160"/>
      <c r="C33" s="68">
        <v>2940</v>
      </c>
      <c r="D33" s="56"/>
      <c r="E33" s="68">
        <v>18800</v>
      </c>
    </row>
    <row r="34" spans="1:5" s="1" customFormat="1" ht="11.25" customHeight="1" x14ac:dyDescent="0.2">
      <c r="A34" s="210" t="s">
        <v>102</v>
      </c>
      <c r="B34" s="160"/>
      <c r="C34" s="68">
        <v>2530</v>
      </c>
      <c r="D34" s="56"/>
      <c r="E34" s="68">
        <v>13400</v>
      </c>
    </row>
    <row r="35" spans="1:5" s="1" customFormat="1" ht="11.25" customHeight="1" x14ac:dyDescent="0.2">
      <c r="A35" s="210" t="s">
        <v>133</v>
      </c>
      <c r="B35" s="160"/>
      <c r="C35" s="68">
        <v>195</v>
      </c>
      <c r="D35" s="56"/>
      <c r="E35" s="68">
        <v>1320</v>
      </c>
    </row>
    <row r="36" spans="1:5" s="1" customFormat="1" ht="11.25" customHeight="1" x14ac:dyDescent="0.2">
      <c r="A36" s="210" t="s">
        <v>104</v>
      </c>
      <c r="B36" s="160"/>
      <c r="C36" s="68">
        <v>13900</v>
      </c>
      <c r="D36" s="56"/>
      <c r="E36" s="68">
        <v>66100</v>
      </c>
    </row>
    <row r="37" spans="1:5" s="1" customFormat="1" ht="11.25" customHeight="1" x14ac:dyDescent="0.2">
      <c r="A37" s="210" t="s">
        <v>105</v>
      </c>
      <c r="B37" s="160"/>
      <c r="C37" s="68">
        <v>5380</v>
      </c>
      <c r="D37" s="56"/>
      <c r="E37" s="68">
        <v>33800</v>
      </c>
    </row>
    <row r="38" spans="1:5" s="1" customFormat="1" ht="11.25" customHeight="1" x14ac:dyDescent="0.2">
      <c r="A38" s="210" t="s">
        <v>160</v>
      </c>
      <c r="B38" s="160"/>
      <c r="C38" s="68">
        <v>165</v>
      </c>
      <c r="D38" s="56"/>
      <c r="E38" s="68">
        <v>588</v>
      </c>
    </row>
    <row r="39" spans="1:5" s="1" customFormat="1" ht="11.25" customHeight="1" x14ac:dyDescent="0.2">
      <c r="A39" s="210" t="s">
        <v>161</v>
      </c>
      <c r="B39" s="160"/>
      <c r="C39" s="68">
        <v>2150</v>
      </c>
      <c r="D39" s="56"/>
      <c r="E39" s="68">
        <v>13100</v>
      </c>
    </row>
    <row r="40" spans="1:5" s="1" customFormat="1" ht="11.25" customHeight="1" x14ac:dyDescent="0.2">
      <c r="A40" s="210" t="s">
        <v>162</v>
      </c>
      <c r="B40" s="160"/>
      <c r="C40" s="68">
        <v>1060</v>
      </c>
      <c r="D40" s="56"/>
      <c r="E40" s="68">
        <v>4010</v>
      </c>
    </row>
    <row r="41" spans="1:5" s="1" customFormat="1" ht="11.25" customHeight="1" x14ac:dyDescent="0.2">
      <c r="A41" s="210" t="s">
        <v>109</v>
      </c>
      <c r="B41" s="160"/>
      <c r="C41" s="68">
        <v>615</v>
      </c>
      <c r="D41" s="56"/>
      <c r="E41" s="68">
        <v>1850</v>
      </c>
    </row>
    <row r="42" spans="1:5" s="1" customFormat="1" ht="11.25" customHeight="1" x14ac:dyDescent="0.2">
      <c r="A42" s="210" t="s">
        <v>163</v>
      </c>
      <c r="B42" s="160"/>
      <c r="C42" s="211">
        <v>204</v>
      </c>
      <c r="D42" s="56"/>
      <c r="E42" s="68">
        <v>740</v>
      </c>
    </row>
    <row r="43" spans="1:5" s="1" customFormat="1" ht="11.25" customHeight="1" x14ac:dyDescent="0.2">
      <c r="A43" s="212" t="s">
        <v>34</v>
      </c>
      <c r="B43" s="215"/>
      <c r="C43" s="216">
        <v>74500</v>
      </c>
      <c r="D43" s="217"/>
      <c r="E43" s="218">
        <v>290000</v>
      </c>
    </row>
    <row r="44" spans="1:5" s="1" customFormat="1" ht="22.5" customHeight="1" x14ac:dyDescent="0.2">
      <c r="A44" s="266" t="s">
        <v>164</v>
      </c>
      <c r="B44" s="266"/>
      <c r="C44" s="266"/>
      <c r="D44" s="266"/>
      <c r="E44" s="266"/>
    </row>
    <row r="45" spans="1:5" s="1" customFormat="1" ht="67.5" customHeight="1" x14ac:dyDescent="0.2">
      <c r="A45" s="266" t="s">
        <v>165</v>
      </c>
      <c r="B45" s="266"/>
      <c r="C45" s="266"/>
      <c r="D45" s="266"/>
      <c r="E45" s="266"/>
    </row>
    <row r="46" spans="1:5" s="19" customFormat="1" ht="11.25" customHeight="1" x14ac:dyDescent="0.2">
      <c r="A46" s="264" t="s">
        <v>166</v>
      </c>
      <c r="B46" s="264"/>
      <c r="C46" s="264"/>
      <c r="D46" s="264"/>
      <c r="E46" s="264"/>
    </row>
    <row r="47" spans="1:5" s="19" customFormat="1" ht="11.25" customHeight="1" x14ac:dyDescent="0.2">
      <c r="A47" s="267"/>
      <c r="B47" s="267"/>
      <c r="C47" s="267"/>
      <c r="D47" s="267"/>
      <c r="E47" s="267"/>
    </row>
    <row r="48" spans="1:5" s="19" customFormat="1" ht="11.25" customHeight="1" x14ac:dyDescent="0.2">
      <c r="A48" s="261" t="s">
        <v>117</v>
      </c>
      <c r="B48" s="261"/>
      <c r="C48" s="261"/>
      <c r="D48" s="261"/>
      <c r="E48" s="261"/>
    </row>
    <row r="49" spans="5:5" ht="11.25" customHeight="1" x14ac:dyDescent="0.2">
      <c r="E49" s="4"/>
    </row>
  </sheetData>
  <mergeCells count="9">
    <mergeCell ref="A45:E45"/>
    <mergeCell ref="A46:E46"/>
    <mergeCell ref="A47:E47"/>
    <mergeCell ref="A48:E48"/>
    <mergeCell ref="A1:E1"/>
    <mergeCell ref="A2:E2"/>
    <mergeCell ref="A3:E3"/>
    <mergeCell ref="A4:E4"/>
    <mergeCell ref="A44:E44"/>
  </mergeCells>
  <pageMargins left="0.5" right="0.5" top="0.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71C5E-4A41-40A7-855A-01A122AAB90E}">
  <dimension ref="A1:K42"/>
  <sheetViews>
    <sheetView workbookViewId="0">
      <selection sqref="A1:I1"/>
    </sheetView>
  </sheetViews>
  <sheetFormatPr defaultColWidth="9.33203125" defaultRowHeight="11.25" x14ac:dyDescent="0.2"/>
  <cols>
    <col min="1" max="1" width="31.1640625" style="106" customWidth="1"/>
    <col min="2" max="2" width="1.6640625" style="106" customWidth="1"/>
    <col min="3" max="3" width="13.33203125" style="106" customWidth="1"/>
    <col min="4" max="4" width="1.6640625" style="106" customWidth="1"/>
    <col min="5" max="5" width="12.33203125" style="106" customWidth="1"/>
    <col min="6" max="6" width="1.6640625" style="106" customWidth="1"/>
    <col min="7" max="7" width="12.33203125" style="106" customWidth="1"/>
    <col min="8" max="8" width="1.6640625" style="106" customWidth="1"/>
    <col min="9" max="9" width="11.33203125" style="106" customWidth="1"/>
    <col min="10" max="16384" width="9.33203125" style="106"/>
  </cols>
  <sheetData>
    <row r="1" spans="1:9" s="93" customFormat="1" ht="11.25" customHeight="1" x14ac:dyDescent="0.2">
      <c r="A1" s="271" t="s">
        <v>167</v>
      </c>
      <c r="B1" s="271"/>
      <c r="C1" s="271"/>
      <c r="D1" s="271"/>
      <c r="E1" s="271"/>
      <c r="F1" s="271"/>
      <c r="G1" s="245"/>
      <c r="H1" s="245"/>
      <c r="I1" s="245"/>
    </row>
    <row r="2" spans="1:9" s="93" customFormat="1" ht="11.25" customHeight="1" x14ac:dyDescent="0.2">
      <c r="A2" s="271" t="s">
        <v>168</v>
      </c>
      <c r="B2" s="271"/>
      <c r="C2" s="271"/>
      <c r="D2" s="271"/>
      <c r="E2" s="271"/>
      <c r="F2" s="271"/>
      <c r="G2" s="245"/>
      <c r="H2" s="245"/>
      <c r="I2" s="245"/>
    </row>
    <row r="3" spans="1:9" s="93" customFormat="1" ht="11.25" customHeight="1" x14ac:dyDescent="0.2">
      <c r="A3" s="272" t="s">
        <v>156</v>
      </c>
      <c r="B3" s="272"/>
      <c r="C3" s="272"/>
      <c r="D3" s="272"/>
      <c r="E3" s="272"/>
      <c r="F3" s="272"/>
      <c r="G3" s="272"/>
      <c r="H3" s="272"/>
      <c r="I3" s="272"/>
    </row>
    <row r="4" spans="1:9" s="93" customFormat="1" ht="11.25" customHeight="1" x14ac:dyDescent="0.2">
      <c r="A4" s="161"/>
      <c r="B4" s="161"/>
      <c r="C4" s="273" t="s">
        <v>5</v>
      </c>
      <c r="D4" s="273"/>
      <c r="E4" s="273"/>
      <c r="F4" s="94"/>
      <c r="G4" s="273" t="s">
        <v>6</v>
      </c>
      <c r="H4" s="273"/>
      <c r="I4" s="273"/>
    </row>
    <row r="5" spans="1:9" s="93" customFormat="1" ht="11.25" customHeight="1" x14ac:dyDescent="0.2">
      <c r="A5" s="95"/>
      <c r="B5" s="95"/>
      <c r="C5" s="161" t="s">
        <v>157</v>
      </c>
      <c r="D5" s="163"/>
      <c r="E5" s="161" t="s">
        <v>158</v>
      </c>
      <c r="F5" s="163"/>
      <c r="G5" s="161" t="s">
        <v>157</v>
      </c>
      <c r="H5" s="163"/>
      <c r="I5" s="161" t="s">
        <v>158</v>
      </c>
    </row>
    <row r="6" spans="1:9" s="93" customFormat="1" ht="11.25" customHeight="1" x14ac:dyDescent="0.2">
      <c r="A6" s="219" t="s">
        <v>90</v>
      </c>
      <c r="B6" s="220"/>
      <c r="C6" s="219" t="s">
        <v>38</v>
      </c>
      <c r="D6" s="221"/>
      <c r="E6" s="219" t="s">
        <v>39</v>
      </c>
      <c r="F6" s="163"/>
      <c r="G6" s="219" t="s">
        <v>38</v>
      </c>
      <c r="H6" s="221"/>
      <c r="I6" s="219" t="s">
        <v>39</v>
      </c>
    </row>
    <row r="7" spans="1:9" s="93" customFormat="1" ht="11.25" customHeight="1" x14ac:dyDescent="0.2">
      <c r="A7" s="137" t="s">
        <v>128</v>
      </c>
      <c r="B7" s="111"/>
      <c r="C7" s="96">
        <v>5</v>
      </c>
      <c r="D7" s="163"/>
      <c r="E7" s="97">
        <v>60</v>
      </c>
      <c r="F7" s="163"/>
      <c r="G7" s="96">
        <v>7</v>
      </c>
      <c r="H7" s="163"/>
      <c r="I7" s="97">
        <v>24</v>
      </c>
    </row>
    <row r="8" spans="1:9" s="93" customFormat="1" ht="11.25" customHeight="1" x14ac:dyDescent="0.2">
      <c r="A8" s="222" t="s">
        <v>129</v>
      </c>
      <c r="B8" s="95"/>
      <c r="C8" s="96">
        <v>259</v>
      </c>
      <c r="D8" s="163"/>
      <c r="E8" s="96">
        <v>1440</v>
      </c>
      <c r="F8" s="163"/>
      <c r="G8" s="96">
        <v>40</v>
      </c>
      <c r="H8" s="163"/>
      <c r="I8" s="96">
        <v>185</v>
      </c>
    </row>
    <row r="9" spans="1:9" s="93" customFormat="1" ht="11.25" customHeight="1" x14ac:dyDescent="0.2">
      <c r="A9" s="222" t="s">
        <v>91</v>
      </c>
      <c r="B9" s="98"/>
      <c r="C9" s="96">
        <v>66</v>
      </c>
      <c r="D9" s="163"/>
      <c r="E9" s="96">
        <v>441</v>
      </c>
      <c r="F9" s="163"/>
      <c r="G9" s="96">
        <v>2</v>
      </c>
      <c r="H9" s="163"/>
      <c r="I9" s="96">
        <v>114</v>
      </c>
    </row>
    <row r="10" spans="1:9" s="93" customFormat="1" ht="11.25" customHeight="1" x14ac:dyDescent="0.2">
      <c r="A10" s="222" t="s">
        <v>92</v>
      </c>
      <c r="B10" s="98"/>
      <c r="C10" s="96">
        <v>2660</v>
      </c>
      <c r="D10" s="163"/>
      <c r="E10" s="96">
        <v>3850</v>
      </c>
      <c r="F10" s="163"/>
      <c r="G10" s="96">
        <v>2460</v>
      </c>
      <c r="H10" s="163"/>
      <c r="I10" s="96">
        <v>4840</v>
      </c>
    </row>
    <row r="11" spans="1:9" s="93" customFormat="1" ht="11.25" customHeight="1" x14ac:dyDescent="0.2">
      <c r="A11" s="222" t="s">
        <v>93</v>
      </c>
      <c r="B11" s="98"/>
      <c r="C11" s="96">
        <v>2660</v>
      </c>
      <c r="D11" s="163"/>
      <c r="E11" s="96">
        <v>7050</v>
      </c>
      <c r="F11" s="163"/>
      <c r="G11" s="96">
        <v>5850</v>
      </c>
      <c r="H11" s="163"/>
      <c r="I11" s="96">
        <v>8440</v>
      </c>
    </row>
    <row r="12" spans="1:9" s="93" customFormat="1" ht="11.25" customHeight="1" x14ac:dyDescent="0.2">
      <c r="A12" s="222" t="s">
        <v>94</v>
      </c>
      <c r="B12" s="98"/>
      <c r="C12" s="96">
        <v>88600</v>
      </c>
      <c r="D12" s="163"/>
      <c r="E12" s="96">
        <v>348000</v>
      </c>
      <c r="F12" s="163"/>
      <c r="G12" s="96">
        <v>75100</v>
      </c>
      <c r="H12" s="163"/>
      <c r="I12" s="96">
        <v>319000</v>
      </c>
    </row>
    <row r="13" spans="1:9" s="93" customFormat="1" ht="11.25" customHeight="1" x14ac:dyDescent="0.2">
      <c r="A13" s="222" t="s">
        <v>95</v>
      </c>
      <c r="B13" s="98"/>
      <c r="C13" s="99" t="s">
        <v>96</v>
      </c>
      <c r="D13" s="100"/>
      <c r="E13" s="99" t="s">
        <v>96</v>
      </c>
      <c r="F13" s="163"/>
      <c r="G13" s="96">
        <v>19</v>
      </c>
      <c r="H13" s="163"/>
      <c r="I13" s="96">
        <v>74</v>
      </c>
    </row>
    <row r="14" spans="1:9" s="93" customFormat="1" ht="11.25" customHeight="1" x14ac:dyDescent="0.2">
      <c r="A14" s="222" t="s">
        <v>97</v>
      </c>
      <c r="B14" s="98"/>
      <c r="C14" s="96">
        <v>2660</v>
      </c>
      <c r="D14" s="163"/>
      <c r="E14" s="96">
        <v>17900</v>
      </c>
      <c r="F14" s="163"/>
      <c r="G14" s="96">
        <v>3160</v>
      </c>
      <c r="H14" s="163"/>
      <c r="I14" s="96">
        <v>16300</v>
      </c>
    </row>
    <row r="15" spans="1:9" s="93" customFormat="1" ht="11.25" customHeight="1" x14ac:dyDescent="0.2">
      <c r="A15" s="222" t="s">
        <v>99</v>
      </c>
      <c r="B15" s="98"/>
      <c r="C15" s="96">
        <v>886</v>
      </c>
      <c r="D15" s="163"/>
      <c r="E15" s="96">
        <v>13900</v>
      </c>
      <c r="F15" s="163"/>
      <c r="G15" s="96">
        <v>1240</v>
      </c>
      <c r="H15" s="163"/>
      <c r="I15" s="96">
        <v>21900</v>
      </c>
    </row>
    <row r="16" spans="1:9" s="93" customFormat="1" ht="11.25" customHeight="1" x14ac:dyDescent="0.2">
      <c r="A16" s="222" t="s">
        <v>100</v>
      </c>
      <c r="B16" s="98"/>
      <c r="C16" s="96">
        <v>1720</v>
      </c>
      <c r="D16" s="163"/>
      <c r="E16" s="96">
        <v>9730</v>
      </c>
      <c r="F16" s="163"/>
      <c r="G16" s="96">
        <v>2490</v>
      </c>
      <c r="H16" s="163"/>
      <c r="I16" s="96">
        <v>12800</v>
      </c>
    </row>
    <row r="17" spans="1:9" s="93" customFormat="1" ht="11.25" customHeight="1" x14ac:dyDescent="0.2">
      <c r="A17" s="222" t="s">
        <v>101</v>
      </c>
      <c r="B17" s="98"/>
      <c r="C17" s="96">
        <v>1070</v>
      </c>
      <c r="D17" s="163"/>
      <c r="E17" s="96">
        <v>3920</v>
      </c>
      <c r="F17" s="163"/>
      <c r="G17" s="96">
        <v>250</v>
      </c>
      <c r="H17" s="163"/>
      <c r="I17" s="96">
        <v>2670</v>
      </c>
    </row>
    <row r="18" spans="1:9" s="93" customFormat="1" ht="11.25" customHeight="1" x14ac:dyDescent="0.2">
      <c r="A18" s="222" t="s">
        <v>102</v>
      </c>
      <c r="B18" s="98"/>
      <c r="C18" s="96">
        <v>3270</v>
      </c>
      <c r="D18" s="163"/>
      <c r="E18" s="96">
        <v>29000</v>
      </c>
      <c r="F18" s="163" t="s">
        <v>20</v>
      </c>
      <c r="G18" s="96">
        <v>1790</v>
      </c>
      <c r="H18" s="163"/>
      <c r="I18" s="96">
        <v>20300</v>
      </c>
    </row>
    <row r="19" spans="1:9" s="93" customFormat="1" ht="11.25" customHeight="1" x14ac:dyDescent="0.2">
      <c r="A19" s="222" t="s">
        <v>103</v>
      </c>
      <c r="B19" s="98"/>
      <c r="C19" s="96">
        <v>2210</v>
      </c>
      <c r="D19" s="163"/>
      <c r="E19" s="96">
        <v>18100</v>
      </c>
      <c r="F19" s="163"/>
      <c r="G19" s="96">
        <v>3280</v>
      </c>
      <c r="H19" s="163"/>
      <c r="I19" s="96">
        <v>29000</v>
      </c>
    </row>
    <row r="20" spans="1:9" s="93" customFormat="1" ht="11.25" customHeight="1" x14ac:dyDescent="0.2">
      <c r="A20" s="222" t="s">
        <v>133</v>
      </c>
      <c r="B20" s="98"/>
      <c r="C20" s="96">
        <v>1360</v>
      </c>
      <c r="D20" s="163"/>
      <c r="E20" s="96">
        <v>5180</v>
      </c>
      <c r="F20" s="163"/>
      <c r="G20" s="96">
        <v>949</v>
      </c>
      <c r="H20" s="163"/>
      <c r="I20" s="96">
        <v>4840</v>
      </c>
    </row>
    <row r="21" spans="1:9" s="93" customFormat="1" ht="11.25" customHeight="1" x14ac:dyDescent="0.2">
      <c r="A21" s="222" t="s">
        <v>104</v>
      </c>
      <c r="B21" s="98"/>
      <c r="C21" s="96">
        <v>27600</v>
      </c>
      <c r="D21" s="163"/>
      <c r="E21" s="96">
        <v>85500</v>
      </c>
      <c r="F21" s="163"/>
      <c r="G21" s="96">
        <v>18900</v>
      </c>
      <c r="H21" s="163"/>
      <c r="I21" s="96">
        <v>83700</v>
      </c>
    </row>
    <row r="22" spans="1:9" s="93" customFormat="1" ht="11.25" customHeight="1" x14ac:dyDescent="0.2">
      <c r="A22" s="222" t="s">
        <v>142</v>
      </c>
      <c r="B22" s="98"/>
      <c r="C22" s="96">
        <v>268</v>
      </c>
      <c r="D22" s="163"/>
      <c r="E22" s="96">
        <v>1270</v>
      </c>
      <c r="F22" s="163"/>
      <c r="G22" s="96">
        <v>149</v>
      </c>
      <c r="H22" s="163"/>
      <c r="I22" s="96">
        <v>1120</v>
      </c>
    </row>
    <row r="23" spans="1:9" s="93" customFormat="1" ht="11.25" customHeight="1" x14ac:dyDescent="0.2">
      <c r="A23" s="222" t="s">
        <v>136</v>
      </c>
      <c r="B23" s="98"/>
      <c r="C23" s="96">
        <v>95</v>
      </c>
      <c r="D23" s="163"/>
      <c r="E23" s="96">
        <v>90</v>
      </c>
      <c r="F23" s="163"/>
      <c r="G23" s="96">
        <v>28</v>
      </c>
      <c r="H23" s="163"/>
      <c r="I23" s="96">
        <v>108</v>
      </c>
    </row>
    <row r="24" spans="1:9" s="93" customFormat="1" ht="11.25" customHeight="1" x14ac:dyDescent="0.2">
      <c r="A24" s="222" t="s">
        <v>105</v>
      </c>
      <c r="B24" s="98"/>
      <c r="C24" s="96">
        <v>1400</v>
      </c>
      <c r="D24" s="163"/>
      <c r="E24" s="96">
        <v>4650</v>
      </c>
      <c r="F24" s="163"/>
      <c r="G24" s="96">
        <v>315</v>
      </c>
      <c r="H24" s="163"/>
      <c r="I24" s="96">
        <v>3080</v>
      </c>
    </row>
    <row r="25" spans="1:9" s="93" customFormat="1" ht="11.25" customHeight="1" x14ac:dyDescent="0.2">
      <c r="A25" s="222" t="s">
        <v>160</v>
      </c>
      <c r="B25" s="98"/>
      <c r="C25" s="96">
        <v>11</v>
      </c>
      <c r="D25" s="163"/>
      <c r="E25" s="96">
        <v>346</v>
      </c>
      <c r="F25" s="163"/>
      <c r="G25" s="101" t="s">
        <v>169</v>
      </c>
      <c r="H25" s="163"/>
      <c r="I25" s="96">
        <v>4</v>
      </c>
    </row>
    <row r="26" spans="1:9" s="93" customFormat="1" ht="11.25" customHeight="1" x14ac:dyDescent="0.2">
      <c r="A26" s="222" t="s">
        <v>170</v>
      </c>
      <c r="B26" s="98"/>
      <c r="C26" s="96">
        <v>343</v>
      </c>
      <c r="D26" s="163"/>
      <c r="E26" s="96">
        <v>1380</v>
      </c>
      <c r="F26" s="163"/>
      <c r="G26" s="96">
        <v>6</v>
      </c>
      <c r="H26" s="163"/>
      <c r="I26" s="96">
        <v>35</v>
      </c>
    </row>
    <row r="27" spans="1:9" s="93" customFormat="1" ht="11.25" customHeight="1" x14ac:dyDescent="0.2">
      <c r="A27" s="222" t="s">
        <v>143</v>
      </c>
      <c r="B27" s="98"/>
      <c r="C27" s="96">
        <v>43</v>
      </c>
      <c r="D27" s="163"/>
      <c r="E27" s="96">
        <v>148</v>
      </c>
      <c r="F27" s="163"/>
      <c r="G27" s="96">
        <v>24</v>
      </c>
      <c r="H27" s="163"/>
      <c r="I27" s="96">
        <v>96</v>
      </c>
    </row>
    <row r="28" spans="1:9" s="93" customFormat="1" ht="11.25" customHeight="1" x14ac:dyDescent="0.2">
      <c r="A28" s="222" t="s">
        <v>161</v>
      </c>
      <c r="B28" s="98"/>
      <c r="C28" s="96">
        <v>9810</v>
      </c>
      <c r="D28" s="163"/>
      <c r="E28" s="96">
        <v>55700</v>
      </c>
      <c r="F28" s="163"/>
      <c r="G28" s="96">
        <v>5970</v>
      </c>
      <c r="H28" s="163"/>
      <c r="I28" s="96">
        <v>28600</v>
      </c>
    </row>
    <row r="29" spans="1:9" s="93" customFormat="1" ht="11.25" customHeight="1" x14ac:dyDescent="0.2">
      <c r="A29" s="222" t="s">
        <v>137</v>
      </c>
      <c r="B29" s="98"/>
      <c r="C29" s="96">
        <v>31</v>
      </c>
      <c r="D29" s="163"/>
      <c r="E29" s="96">
        <v>95</v>
      </c>
      <c r="F29" s="163"/>
      <c r="G29" s="99" t="s">
        <v>96</v>
      </c>
      <c r="H29" s="100"/>
      <c r="I29" s="99" t="s">
        <v>96</v>
      </c>
    </row>
    <row r="30" spans="1:9" s="93" customFormat="1" ht="11.25" customHeight="1" x14ac:dyDescent="0.2">
      <c r="A30" s="222" t="s">
        <v>138</v>
      </c>
      <c r="B30" s="98"/>
      <c r="C30" s="101" t="s">
        <v>169</v>
      </c>
      <c r="D30" s="163"/>
      <c r="E30" s="96">
        <v>7</v>
      </c>
      <c r="F30" s="163"/>
      <c r="G30" s="96">
        <v>8</v>
      </c>
      <c r="H30" s="163"/>
      <c r="I30" s="96">
        <v>101</v>
      </c>
    </row>
    <row r="31" spans="1:9" s="93" customFormat="1" ht="11.25" customHeight="1" x14ac:dyDescent="0.2">
      <c r="A31" s="222" t="s">
        <v>139</v>
      </c>
      <c r="B31" s="98"/>
      <c r="C31" s="96">
        <v>2650</v>
      </c>
      <c r="D31" s="163"/>
      <c r="E31" s="96">
        <v>22400</v>
      </c>
      <c r="F31" s="163"/>
      <c r="G31" s="96">
        <v>2300</v>
      </c>
      <c r="H31" s="163"/>
      <c r="I31" s="96">
        <v>17300</v>
      </c>
    </row>
    <row r="32" spans="1:9" s="93" customFormat="1" ht="11.25" customHeight="1" x14ac:dyDescent="0.2">
      <c r="A32" s="222" t="s">
        <v>107</v>
      </c>
      <c r="B32" s="98"/>
      <c r="C32" s="96">
        <v>13</v>
      </c>
      <c r="D32" s="163"/>
      <c r="E32" s="96">
        <v>272</v>
      </c>
      <c r="F32" s="163"/>
      <c r="G32" s="96">
        <v>8</v>
      </c>
      <c r="H32" s="163"/>
      <c r="I32" s="96">
        <v>144</v>
      </c>
    </row>
    <row r="33" spans="1:11" s="93" customFormat="1" ht="11.25" customHeight="1" x14ac:dyDescent="0.2">
      <c r="A33" s="222" t="s">
        <v>109</v>
      </c>
      <c r="B33" s="98"/>
      <c r="C33" s="96">
        <v>1090</v>
      </c>
      <c r="D33" s="163"/>
      <c r="E33" s="96">
        <v>3930</v>
      </c>
      <c r="F33" s="163"/>
      <c r="G33" s="96">
        <v>22</v>
      </c>
      <c r="H33" s="163"/>
      <c r="I33" s="96">
        <v>374</v>
      </c>
    </row>
    <row r="34" spans="1:11" s="93" customFormat="1" ht="11.25" customHeight="1" x14ac:dyDescent="0.2">
      <c r="A34" s="223" t="s">
        <v>110</v>
      </c>
      <c r="B34" s="102"/>
      <c r="C34" s="224">
        <v>7</v>
      </c>
      <c r="D34" s="225" t="s">
        <v>20</v>
      </c>
      <c r="E34" s="224">
        <v>132</v>
      </c>
      <c r="F34" s="225" t="s">
        <v>20</v>
      </c>
      <c r="G34" s="224">
        <v>6</v>
      </c>
      <c r="H34" s="225"/>
      <c r="I34" s="224">
        <v>187</v>
      </c>
    </row>
    <row r="35" spans="1:11" s="93" customFormat="1" ht="11.25" customHeight="1" x14ac:dyDescent="0.2">
      <c r="A35" s="226" t="s">
        <v>34</v>
      </c>
      <c r="B35" s="227"/>
      <c r="C35" s="103">
        <v>151000</v>
      </c>
      <c r="D35" s="104"/>
      <c r="E35" s="103">
        <v>634000</v>
      </c>
      <c r="F35" s="104" t="s">
        <v>20</v>
      </c>
      <c r="G35" s="103">
        <v>124000</v>
      </c>
      <c r="H35" s="104"/>
      <c r="I35" s="103">
        <v>575000</v>
      </c>
    </row>
    <row r="36" spans="1:11" s="105" customFormat="1" ht="11.25" customHeight="1" x14ac:dyDescent="0.2">
      <c r="A36" s="274" t="s">
        <v>171</v>
      </c>
      <c r="B36" s="275"/>
      <c r="C36" s="275"/>
      <c r="D36" s="275"/>
      <c r="E36" s="275"/>
      <c r="F36" s="275"/>
      <c r="G36" s="275"/>
      <c r="H36" s="275"/>
      <c r="I36" s="275"/>
      <c r="J36" s="162"/>
    </row>
    <row r="37" spans="1:11" s="105" customFormat="1" ht="22.5" customHeight="1" x14ac:dyDescent="0.2">
      <c r="A37" s="276" t="s">
        <v>146</v>
      </c>
      <c r="B37" s="277"/>
      <c r="C37" s="277"/>
      <c r="D37" s="277"/>
      <c r="E37" s="277"/>
      <c r="F37" s="277"/>
      <c r="G37" s="277"/>
      <c r="H37" s="277"/>
      <c r="I37" s="277"/>
    </row>
    <row r="38" spans="1:11" s="105" customFormat="1" ht="22.5" customHeight="1" x14ac:dyDescent="0.2">
      <c r="A38" s="278" t="s">
        <v>172</v>
      </c>
      <c r="B38" s="277"/>
      <c r="C38" s="277"/>
      <c r="D38" s="277"/>
      <c r="E38" s="277"/>
      <c r="F38" s="277"/>
      <c r="G38" s="277"/>
      <c r="H38" s="277"/>
      <c r="I38" s="277"/>
    </row>
    <row r="39" spans="1:11" s="105" customFormat="1" ht="11.25" customHeight="1" x14ac:dyDescent="0.2">
      <c r="A39" s="279" t="s">
        <v>166</v>
      </c>
      <c r="B39" s="275"/>
      <c r="C39" s="275"/>
      <c r="D39" s="275"/>
      <c r="E39" s="275"/>
      <c r="F39" s="275"/>
      <c r="G39" s="275"/>
      <c r="H39" s="275"/>
      <c r="I39" s="275"/>
    </row>
    <row r="40" spans="1:11" s="105" customFormat="1" ht="11.25" customHeight="1" x14ac:dyDescent="0.2">
      <c r="A40" s="279" t="s">
        <v>173</v>
      </c>
      <c r="B40" s="279"/>
      <c r="C40" s="279"/>
      <c r="D40" s="279"/>
      <c r="E40" s="279"/>
      <c r="F40" s="279"/>
      <c r="G40" s="279"/>
      <c r="H40" s="279"/>
      <c r="I40" s="279"/>
    </row>
    <row r="41" spans="1:11" s="105" customFormat="1" ht="11.25" customHeight="1" x14ac:dyDescent="0.2">
      <c r="A41" s="280"/>
      <c r="B41" s="275"/>
      <c r="C41" s="275"/>
      <c r="D41" s="275"/>
      <c r="E41" s="275"/>
      <c r="F41" s="275"/>
      <c r="G41" s="275"/>
      <c r="H41" s="275"/>
      <c r="I41" s="275"/>
    </row>
    <row r="42" spans="1:11" s="93" customFormat="1" ht="11.25" customHeight="1" x14ac:dyDescent="0.2">
      <c r="A42" s="269" t="s">
        <v>174</v>
      </c>
      <c r="B42" s="270"/>
      <c r="C42" s="270"/>
      <c r="D42" s="270"/>
      <c r="E42" s="270"/>
      <c r="F42" s="270"/>
      <c r="G42" s="270"/>
      <c r="H42" s="270"/>
      <c r="I42" s="270"/>
      <c r="J42" s="105"/>
      <c r="K42" s="105"/>
    </row>
  </sheetData>
  <mergeCells count="12">
    <mergeCell ref="A42:I42"/>
    <mergeCell ref="A1:I1"/>
    <mergeCell ref="A2:I2"/>
    <mergeCell ref="A3:I3"/>
    <mergeCell ref="C4:E4"/>
    <mergeCell ref="G4:I4"/>
    <mergeCell ref="A36:I36"/>
    <mergeCell ref="A37:I37"/>
    <mergeCell ref="A38:I38"/>
    <mergeCell ref="A39:I39"/>
    <mergeCell ref="A40:I40"/>
    <mergeCell ref="A41:I41"/>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66B41-F401-4035-8066-2D48C3F6DBFB}">
  <dimension ref="A1:N58"/>
  <sheetViews>
    <sheetView workbookViewId="0">
      <selection sqref="A1:L1"/>
    </sheetView>
  </sheetViews>
  <sheetFormatPr defaultColWidth="13.5" defaultRowHeight="11.25" x14ac:dyDescent="0.2"/>
  <cols>
    <col min="1" max="1" width="32.33203125" style="122" customWidth="1"/>
    <col min="2" max="2" width="2.33203125" style="123" customWidth="1"/>
    <col min="3" max="3" width="11.33203125" style="124" customWidth="1"/>
    <col min="4" max="4" width="2.33203125" style="152" customWidth="1"/>
    <col min="5" max="5" width="11.33203125" style="124" customWidth="1"/>
    <col min="6" max="6" width="3.83203125" style="152" customWidth="1"/>
    <col min="7" max="7" width="11.33203125" style="124" customWidth="1"/>
    <col min="8" max="8" width="2.33203125" style="152" customWidth="1"/>
    <col min="9" max="9" width="11.33203125" style="124" customWidth="1"/>
    <col min="10" max="10" width="3.83203125" style="152" customWidth="1"/>
    <col min="11" max="11" width="11.33203125" style="124" customWidth="1"/>
    <col min="12" max="12" width="2.33203125" style="152" customWidth="1"/>
    <col min="13" max="16384" width="13.5" style="113"/>
  </cols>
  <sheetData>
    <row r="1" spans="1:13" ht="11.25" customHeight="1" x14ac:dyDescent="0.2">
      <c r="A1" s="283" t="s">
        <v>175</v>
      </c>
      <c r="B1" s="283"/>
      <c r="C1" s="283"/>
      <c r="D1" s="283"/>
      <c r="E1" s="283"/>
      <c r="F1" s="283"/>
      <c r="G1" s="283"/>
      <c r="H1" s="283"/>
      <c r="I1" s="283"/>
      <c r="J1" s="283"/>
      <c r="K1" s="283"/>
      <c r="L1" s="283"/>
      <c r="M1" s="112"/>
    </row>
    <row r="2" spans="1:13" ht="11.25" customHeight="1" x14ac:dyDescent="0.2">
      <c r="A2" s="283" t="s">
        <v>176</v>
      </c>
      <c r="B2" s="283"/>
      <c r="C2" s="283"/>
      <c r="D2" s="283"/>
      <c r="E2" s="283"/>
      <c r="F2" s="283"/>
      <c r="G2" s="283"/>
      <c r="H2" s="283"/>
      <c r="I2" s="283"/>
      <c r="J2" s="283"/>
      <c r="K2" s="283"/>
      <c r="L2" s="283"/>
      <c r="M2" s="112"/>
    </row>
    <row r="3" spans="1:13" ht="11.25" customHeight="1" x14ac:dyDescent="0.2">
      <c r="A3" s="284"/>
      <c r="B3" s="284"/>
      <c r="C3" s="284"/>
      <c r="D3" s="284"/>
      <c r="E3" s="284"/>
      <c r="F3" s="284"/>
      <c r="G3" s="284"/>
      <c r="H3" s="284"/>
      <c r="I3" s="284"/>
      <c r="J3" s="284"/>
      <c r="K3" s="284"/>
      <c r="L3" s="284"/>
      <c r="M3" s="112"/>
    </row>
    <row r="4" spans="1:13" ht="11.25" customHeight="1" x14ac:dyDescent="0.2">
      <c r="A4" s="283" t="s">
        <v>177</v>
      </c>
      <c r="B4" s="285"/>
      <c r="C4" s="285"/>
      <c r="D4" s="285"/>
      <c r="E4" s="285"/>
      <c r="F4" s="285"/>
      <c r="G4" s="285"/>
      <c r="H4" s="285"/>
      <c r="I4" s="285"/>
      <c r="J4" s="285"/>
      <c r="K4" s="285"/>
      <c r="L4" s="285"/>
      <c r="M4" s="112"/>
    </row>
    <row r="5" spans="1:13" ht="11.25" customHeight="1" x14ac:dyDescent="0.2">
      <c r="A5" s="286"/>
      <c r="B5" s="287"/>
      <c r="C5" s="287"/>
      <c r="D5" s="287"/>
      <c r="E5" s="287"/>
      <c r="F5" s="287"/>
      <c r="G5" s="287"/>
      <c r="H5" s="287"/>
      <c r="I5" s="287"/>
      <c r="J5" s="287"/>
      <c r="K5" s="287"/>
      <c r="L5" s="287"/>
      <c r="M5" s="112"/>
    </row>
    <row r="6" spans="1:13" ht="11.25" customHeight="1" x14ac:dyDescent="0.2">
      <c r="A6" s="228" t="s">
        <v>90</v>
      </c>
      <c r="B6" s="228"/>
      <c r="C6" s="229">
        <v>2019</v>
      </c>
      <c r="D6" s="230"/>
      <c r="E6" s="229">
        <v>2020</v>
      </c>
      <c r="F6" s="230"/>
      <c r="G6" s="229" t="s">
        <v>4</v>
      </c>
      <c r="H6" s="230"/>
      <c r="I6" s="229" t="s">
        <v>5</v>
      </c>
      <c r="J6" s="230"/>
      <c r="K6" s="229" t="s">
        <v>6</v>
      </c>
      <c r="L6" s="230"/>
      <c r="M6" s="112"/>
    </row>
    <row r="7" spans="1:13" ht="11.25" customHeight="1" x14ac:dyDescent="0.2">
      <c r="A7" s="231" t="s">
        <v>178</v>
      </c>
      <c r="B7" s="164"/>
      <c r="C7" s="114">
        <v>500</v>
      </c>
      <c r="D7" s="164"/>
      <c r="E7" s="114">
        <v>500</v>
      </c>
      <c r="F7" s="164"/>
      <c r="G7" s="114">
        <v>500</v>
      </c>
      <c r="H7" s="164"/>
      <c r="I7" s="114">
        <v>500</v>
      </c>
      <c r="J7" s="164"/>
      <c r="K7" s="114">
        <v>500</v>
      </c>
      <c r="L7" s="164"/>
      <c r="M7" s="112"/>
    </row>
    <row r="8" spans="1:13" ht="11.25" customHeight="1" x14ac:dyDescent="0.2">
      <c r="A8" s="231" t="s">
        <v>179</v>
      </c>
      <c r="B8" s="164"/>
      <c r="C8" s="114">
        <v>81770</v>
      </c>
      <c r="D8" s="164"/>
      <c r="E8" s="114">
        <v>56053</v>
      </c>
      <c r="F8" s="164" t="s">
        <v>20</v>
      </c>
      <c r="G8" s="114">
        <v>67271</v>
      </c>
      <c r="H8" s="164" t="s">
        <v>20</v>
      </c>
      <c r="I8" s="114">
        <v>69420</v>
      </c>
      <c r="J8" s="164" t="s">
        <v>20</v>
      </c>
      <c r="K8" s="114">
        <v>66346</v>
      </c>
      <c r="L8" s="164"/>
      <c r="M8" s="112"/>
    </row>
    <row r="9" spans="1:13" ht="11.25" customHeight="1" x14ac:dyDescent="0.2">
      <c r="A9" s="231" t="s">
        <v>180</v>
      </c>
      <c r="B9" s="164"/>
      <c r="C9" s="115">
        <v>4332</v>
      </c>
      <c r="D9" s="116" t="s">
        <v>20</v>
      </c>
      <c r="E9" s="115">
        <v>16239</v>
      </c>
      <c r="F9" s="116" t="s">
        <v>20</v>
      </c>
      <c r="G9" s="115">
        <v>9290</v>
      </c>
      <c r="H9" s="116" t="s">
        <v>20</v>
      </c>
      <c r="I9" s="115">
        <v>2530</v>
      </c>
      <c r="J9" s="116" t="s">
        <v>20</v>
      </c>
      <c r="K9" s="115">
        <v>5470</v>
      </c>
      <c r="L9" s="116"/>
      <c r="M9" s="112"/>
    </row>
    <row r="10" spans="1:13" ht="11.25" customHeight="1" x14ac:dyDescent="0.2">
      <c r="A10" s="231" t="s">
        <v>181</v>
      </c>
      <c r="B10" s="164"/>
      <c r="C10" s="117"/>
      <c r="D10" s="164"/>
      <c r="E10" s="117"/>
      <c r="F10" s="164"/>
      <c r="G10" s="117"/>
      <c r="H10" s="164"/>
      <c r="I10" s="117"/>
      <c r="J10" s="164"/>
      <c r="K10" s="117"/>
      <c r="L10" s="164"/>
      <c r="M10" s="112"/>
    </row>
    <row r="11" spans="1:13" ht="11.25" customHeight="1" x14ac:dyDescent="0.2">
      <c r="A11" s="232" t="s">
        <v>182</v>
      </c>
      <c r="B11" s="164"/>
      <c r="C11" s="114">
        <v>473600</v>
      </c>
      <c r="D11" s="164" t="s">
        <v>183</v>
      </c>
      <c r="E11" s="114">
        <v>170000</v>
      </c>
      <c r="F11" s="164"/>
      <c r="G11" s="114">
        <v>179000</v>
      </c>
      <c r="H11" s="164"/>
      <c r="I11" s="114">
        <v>174000</v>
      </c>
      <c r="J11" s="164" t="s">
        <v>20</v>
      </c>
      <c r="K11" s="114">
        <v>181000</v>
      </c>
      <c r="L11" s="164"/>
      <c r="M11" s="112"/>
    </row>
    <row r="12" spans="1:13" ht="11.25" customHeight="1" x14ac:dyDescent="0.2">
      <c r="A12" s="232" t="s">
        <v>120</v>
      </c>
      <c r="B12" s="164"/>
      <c r="C12" s="147">
        <v>711400</v>
      </c>
      <c r="D12" s="148" t="s">
        <v>183</v>
      </c>
      <c r="E12" s="147">
        <v>920000</v>
      </c>
      <c r="F12" s="148" t="s">
        <v>183</v>
      </c>
      <c r="G12" s="147">
        <v>1010000</v>
      </c>
      <c r="H12" s="148"/>
      <c r="I12" s="147">
        <v>987000</v>
      </c>
      <c r="J12" s="148" t="s">
        <v>20</v>
      </c>
      <c r="K12" s="147">
        <v>1030000</v>
      </c>
      <c r="L12" s="148"/>
      <c r="M12" s="112"/>
    </row>
    <row r="13" spans="1:13" ht="11.25" customHeight="1" x14ac:dyDescent="0.2">
      <c r="A13" s="233" t="s">
        <v>34</v>
      </c>
      <c r="B13" s="164"/>
      <c r="C13" s="114">
        <v>1185000</v>
      </c>
      <c r="D13" s="164"/>
      <c r="E13" s="114">
        <v>1090000</v>
      </c>
      <c r="F13" s="164"/>
      <c r="G13" s="114">
        <v>1189000</v>
      </c>
      <c r="H13" s="164"/>
      <c r="I13" s="114">
        <v>1161000</v>
      </c>
      <c r="J13" s="164" t="s">
        <v>20</v>
      </c>
      <c r="K13" s="114">
        <v>1211000</v>
      </c>
      <c r="L13" s="164"/>
      <c r="M13" s="112"/>
    </row>
    <row r="14" spans="1:13" ht="11.25" customHeight="1" x14ac:dyDescent="0.2">
      <c r="A14" s="231" t="s">
        <v>184</v>
      </c>
      <c r="B14" s="164"/>
      <c r="C14" s="115">
        <v>207</v>
      </c>
      <c r="D14" s="116"/>
      <c r="E14" s="115">
        <v>108</v>
      </c>
      <c r="F14" s="116"/>
      <c r="G14" s="115">
        <v>181</v>
      </c>
      <c r="H14" s="116"/>
      <c r="I14" s="115">
        <v>185</v>
      </c>
      <c r="J14" s="116" t="s">
        <v>20</v>
      </c>
      <c r="K14" s="115">
        <v>180</v>
      </c>
      <c r="L14" s="116"/>
      <c r="M14" s="112"/>
    </row>
    <row r="15" spans="1:13" ht="11.25" customHeight="1" x14ac:dyDescent="0.2">
      <c r="A15" s="231" t="s">
        <v>185</v>
      </c>
      <c r="B15" s="164"/>
      <c r="C15" s="114"/>
      <c r="D15" s="164"/>
      <c r="E15" s="114"/>
      <c r="F15" s="164"/>
      <c r="G15" s="114"/>
      <c r="H15" s="164"/>
      <c r="I15" s="114"/>
      <c r="J15" s="164"/>
      <c r="K15" s="114"/>
      <c r="L15" s="164"/>
      <c r="M15" s="112"/>
    </row>
    <row r="16" spans="1:13" ht="11.25" customHeight="1" x14ac:dyDescent="0.2">
      <c r="A16" s="232" t="s">
        <v>182</v>
      </c>
      <c r="B16" s="164"/>
      <c r="C16" s="114">
        <v>600</v>
      </c>
      <c r="D16" s="164" t="s">
        <v>20</v>
      </c>
      <c r="E16" s="114">
        <v>600</v>
      </c>
      <c r="F16" s="164"/>
      <c r="G16" s="114">
        <v>600</v>
      </c>
      <c r="H16" s="164" t="s">
        <v>20</v>
      </c>
      <c r="I16" s="114">
        <v>600</v>
      </c>
      <c r="J16" s="164" t="s">
        <v>20</v>
      </c>
      <c r="K16" s="114">
        <v>600</v>
      </c>
      <c r="L16" s="164"/>
      <c r="M16" s="112"/>
    </row>
    <row r="17" spans="1:13" ht="11.25" customHeight="1" x14ac:dyDescent="0.2">
      <c r="A17" s="232" t="s">
        <v>120</v>
      </c>
      <c r="B17" s="164"/>
      <c r="C17" s="147">
        <v>5600</v>
      </c>
      <c r="D17" s="148" t="s">
        <v>20</v>
      </c>
      <c r="E17" s="147">
        <v>5200</v>
      </c>
      <c r="F17" s="148" t="s">
        <v>20</v>
      </c>
      <c r="G17" s="147">
        <v>6500</v>
      </c>
      <c r="H17" s="148" t="s">
        <v>20</v>
      </c>
      <c r="I17" s="147">
        <v>17000</v>
      </c>
      <c r="J17" s="148" t="s">
        <v>20</v>
      </c>
      <c r="K17" s="147">
        <v>25000</v>
      </c>
      <c r="L17" s="148"/>
      <c r="M17" s="112"/>
    </row>
    <row r="18" spans="1:13" ht="11.25" customHeight="1" x14ac:dyDescent="0.2">
      <c r="A18" s="233" t="s">
        <v>34</v>
      </c>
      <c r="B18" s="164"/>
      <c r="C18" s="234">
        <v>6200</v>
      </c>
      <c r="D18" s="235" t="s">
        <v>20</v>
      </c>
      <c r="E18" s="234">
        <v>5800</v>
      </c>
      <c r="F18" s="235" t="s">
        <v>20</v>
      </c>
      <c r="G18" s="234">
        <v>7100</v>
      </c>
      <c r="H18" s="235" t="s">
        <v>20</v>
      </c>
      <c r="I18" s="234">
        <v>17600</v>
      </c>
      <c r="J18" s="235" t="s">
        <v>20</v>
      </c>
      <c r="K18" s="234">
        <v>25600</v>
      </c>
      <c r="L18" s="235"/>
      <c r="M18" s="112"/>
    </row>
    <row r="19" spans="1:13" ht="11.25" customHeight="1" x14ac:dyDescent="0.2">
      <c r="A19" s="231" t="s">
        <v>186</v>
      </c>
      <c r="B19" s="164"/>
      <c r="C19" s="114"/>
      <c r="D19" s="164"/>
      <c r="E19" s="114"/>
      <c r="F19" s="164"/>
      <c r="G19" s="114"/>
      <c r="H19" s="164"/>
      <c r="I19" s="114"/>
      <c r="J19" s="164"/>
      <c r="K19" s="114"/>
      <c r="L19" s="164"/>
      <c r="M19" s="112"/>
    </row>
    <row r="20" spans="1:13" ht="11.25" customHeight="1" x14ac:dyDescent="0.2">
      <c r="A20" s="232" t="s">
        <v>182</v>
      </c>
      <c r="B20" s="164"/>
      <c r="C20" s="114">
        <v>3600</v>
      </c>
      <c r="D20" s="164"/>
      <c r="E20" s="114">
        <v>3600</v>
      </c>
      <c r="F20" s="164"/>
      <c r="G20" s="114">
        <v>3600</v>
      </c>
      <c r="H20" s="164"/>
      <c r="I20" s="114">
        <v>3600</v>
      </c>
      <c r="J20" s="164"/>
      <c r="K20" s="114">
        <v>3600</v>
      </c>
      <c r="L20" s="164"/>
      <c r="M20" s="112"/>
    </row>
    <row r="21" spans="1:13" ht="11.25" customHeight="1" x14ac:dyDescent="0.2">
      <c r="A21" s="232" t="s">
        <v>120</v>
      </c>
      <c r="B21" s="164"/>
      <c r="C21" s="147">
        <v>4500</v>
      </c>
      <c r="D21" s="148"/>
      <c r="E21" s="147">
        <v>4500</v>
      </c>
      <c r="F21" s="148"/>
      <c r="G21" s="147">
        <v>4500</v>
      </c>
      <c r="H21" s="148"/>
      <c r="I21" s="147">
        <v>4500</v>
      </c>
      <c r="J21" s="148"/>
      <c r="K21" s="147">
        <v>4500</v>
      </c>
      <c r="L21" s="148"/>
      <c r="M21" s="112"/>
    </row>
    <row r="22" spans="1:13" ht="11.25" customHeight="1" x14ac:dyDescent="0.2">
      <c r="A22" s="233" t="s">
        <v>34</v>
      </c>
      <c r="B22" s="164"/>
      <c r="C22" s="234">
        <v>8100</v>
      </c>
      <c r="D22" s="235"/>
      <c r="E22" s="234">
        <v>8100</v>
      </c>
      <c r="F22" s="235"/>
      <c r="G22" s="234">
        <v>8100</v>
      </c>
      <c r="H22" s="235"/>
      <c r="I22" s="234">
        <v>8100</v>
      </c>
      <c r="J22" s="235"/>
      <c r="K22" s="234">
        <v>8100</v>
      </c>
      <c r="L22" s="235"/>
      <c r="M22" s="112"/>
    </row>
    <row r="23" spans="1:13" ht="11.25" customHeight="1" x14ac:dyDescent="0.2">
      <c r="A23" s="231" t="s">
        <v>187</v>
      </c>
      <c r="B23" s="164"/>
      <c r="C23" s="114"/>
      <c r="D23" s="164"/>
      <c r="E23" s="114"/>
      <c r="F23" s="164"/>
      <c r="G23" s="114"/>
      <c r="H23" s="164"/>
      <c r="I23" s="114"/>
      <c r="J23" s="164"/>
      <c r="K23" s="114"/>
      <c r="L23" s="164"/>
      <c r="M23" s="112"/>
    </row>
    <row r="24" spans="1:13" ht="11.25" customHeight="1" x14ac:dyDescent="0.2">
      <c r="A24" s="232" t="s">
        <v>182</v>
      </c>
      <c r="B24" s="164"/>
      <c r="C24" s="118" t="s">
        <v>96</v>
      </c>
      <c r="D24" s="164"/>
      <c r="E24" s="118" t="s">
        <v>96</v>
      </c>
      <c r="F24" s="164"/>
      <c r="G24" s="114">
        <v>7812</v>
      </c>
      <c r="H24" s="164"/>
      <c r="I24" s="114">
        <v>16758</v>
      </c>
      <c r="J24" s="164"/>
      <c r="K24" s="114">
        <v>9615</v>
      </c>
      <c r="L24" s="164"/>
      <c r="M24" s="112"/>
    </row>
    <row r="25" spans="1:13" ht="11.25" customHeight="1" x14ac:dyDescent="0.2">
      <c r="A25" s="232" t="s">
        <v>120</v>
      </c>
      <c r="B25" s="164"/>
      <c r="C25" s="147">
        <v>302</v>
      </c>
      <c r="D25" s="148"/>
      <c r="E25" s="147">
        <v>3052</v>
      </c>
      <c r="F25" s="148"/>
      <c r="G25" s="147">
        <v>10485</v>
      </c>
      <c r="H25" s="148"/>
      <c r="I25" s="147">
        <v>7040</v>
      </c>
      <c r="J25" s="148"/>
      <c r="K25" s="149" t="s">
        <v>96</v>
      </c>
      <c r="L25" s="148"/>
      <c r="M25" s="112"/>
    </row>
    <row r="26" spans="1:13" ht="11.25" customHeight="1" x14ac:dyDescent="0.2">
      <c r="A26" s="233" t="s">
        <v>34</v>
      </c>
      <c r="B26" s="164"/>
      <c r="C26" s="114">
        <v>302</v>
      </c>
      <c r="D26" s="164"/>
      <c r="E26" s="114">
        <v>3052</v>
      </c>
      <c r="F26" s="164"/>
      <c r="G26" s="114">
        <v>18297</v>
      </c>
      <c r="H26" s="164"/>
      <c r="I26" s="114">
        <v>23798</v>
      </c>
      <c r="J26" s="164"/>
      <c r="K26" s="114">
        <v>9615</v>
      </c>
      <c r="L26" s="164"/>
      <c r="M26" s="112"/>
    </row>
    <row r="27" spans="1:13" ht="11.25" customHeight="1" x14ac:dyDescent="0.2">
      <c r="A27" s="231" t="s">
        <v>188</v>
      </c>
      <c r="B27" s="164"/>
      <c r="C27" s="114">
        <v>53400</v>
      </c>
      <c r="D27" s="164" t="s">
        <v>20</v>
      </c>
      <c r="E27" s="114">
        <v>48500</v>
      </c>
      <c r="F27" s="164" t="s">
        <v>20</v>
      </c>
      <c r="G27" s="114">
        <v>91100</v>
      </c>
      <c r="H27" s="164" t="s">
        <v>20</v>
      </c>
      <c r="I27" s="114">
        <v>116700</v>
      </c>
      <c r="J27" s="164" t="s">
        <v>20</v>
      </c>
      <c r="K27" s="114">
        <v>63000</v>
      </c>
      <c r="L27" s="164" t="s">
        <v>189</v>
      </c>
      <c r="M27" s="112"/>
    </row>
    <row r="28" spans="1:13" ht="11.25" customHeight="1" x14ac:dyDescent="0.2">
      <c r="A28" s="231" t="s">
        <v>190</v>
      </c>
      <c r="B28" s="164"/>
      <c r="C28" s="114">
        <v>1591</v>
      </c>
      <c r="D28" s="164" t="s">
        <v>20</v>
      </c>
      <c r="E28" s="114">
        <v>1461</v>
      </c>
      <c r="F28" s="164" t="s">
        <v>20</v>
      </c>
      <c r="G28" s="114">
        <v>1778</v>
      </c>
      <c r="H28" s="164" t="s">
        <v>20</v>
      </c>
      <c r="I28" s="114">
        <v>1976</v>
      </c>
      <c r="J28" s="164" t="s">
        <v>20</v>
      </c>
      <c r="K28" s="114">
        <v>1297</v>
      </c>
      <c r="L28" s="164"/>
      <c r="M28" s="112"/>
    </row>
    <row r="29" spans="1:13" ht="11.25" customHeight="1" x14ac:dyDescent="0.2">
      <c r="A29" s="231" t="s">
        <v>191</v>
      </c>
      <c r="B29" s="164"/>
      <c r="C29" s="114">
        <v>113803</v>
      </c>
      <c r="D29" s="164"/>
      <c r="E29" s="114">
        <v>18159</v>
      </c>
      <c r="F29" s="164"/>
      <c r="G29" s="114">
        <v>77116</v>
      </c>
      <c r="H29" s="164"/>
      <c r="I29" s="114">
        <v>165932</v>
      </c>
      <c r="J29" s="164"/>
      <c r="K29" s="114">
        <v>98000</v>
      </c>
      <c r="L29" s="164" t="s">
        <v>189</v>
      </c>
      <c r="M29" s="112"/>
    </row>
    <row r="30" spans="1:13" ht="11.25" customHeight="1" x14ac:dyDescent="0.2">
      <c r="A30" s="231" t="s">
        <v>192</v>
      </c>
      <c r="B30" s="164"/>
      <c r="C30" s="117">
        <v>9780</v>
      </c>
      <c r="D30" s="164"/>
      <c r="E30" s="117">
        <v>5549</v>
      </c>
      <c r="F30" s="164"/>
      <c r="G30" s="117">
        <v>6293</v>
      </c>
      <c r="H30" s="164"/>
      <c r="I30" s="117">
        <v>10380</v>
      </c>
      <c r="J30" s="164"/>
      <c r="K30" s="117">
        <v>6483</v>
      </c>
      <c r="L30" s="164"/>
      <c r="M30" s="112"/>
    </row>
    <row r="31" spans="1:13" ht="11.25" customHeight="1" x14ac:dyDescent="0.2">
      <c r="A31" s="231" t="s">
        <v>193</v>
      </c>
      <c r="B31" s="164"/>
      <c r="C31" s="117">
        <v>17500</v>
      </c>
      <c r="D31" s="164" t="s">
        <v>194</v>
      </c>
      <c r="E31" s="117">
        <v>12900</v>
      </c>
      <c r="F31" s="164" t="s">
        <v>194</v>
      </c>
      <c r="G31" s="117">
        <v>16200</v>
      </c>
      <c r="H31" s="164" t="s">
        <v>194</v>
      </c>
      <c r="I31" s="117">
        <v>18800</v>
      </c>
      <c r="J31" s="164" t="s">
        <v>20</v>
      </c>
      <c r="K31" s="117">
        <v>15000</v>
      </c>
      <c r="L31" s="164" t="s">
        <v>189</v>
      </c>
      <c r="M31" s="112"/>
    </row>
    <row r="32" spans="1:13" ht="11.25" customHeight="1" x14ac:dyDescent="0.2">
      <c r="A32" s="231" t="s">
        <v>195</v>
      </c>
      <c r="B32" s="164"/>
      <c r="C32" s="114">
        <v>2648</v>
      </c>
      <c r="D32" s="164"/>
      <c r="E32" s="114">
        <v>1800</v>
      </c>
      <c r="F32" s="164" t="s">
        <v>196</v>
      </c>
      <c r="G32" s="114">
        <v>3388</v>
      </c>
      <c r="H32" s="164" t="s">
        <v>197</v>
      </c>
      <c r="I32" s="114">
        <v>3096</v>
      </c>
      <c r="J32" s="164" t="s">
        <v>198</v>
      </c>
      <c r="K32" s="114">
        <v>2998</v>
      </c>
      <c r="L32" s="164" t="s">
        <v>197</v>
      </c>
      <c r="M32" s="112"/>
    </row>
    <row r="33" spans="1:14" ht="11.25" customHeight="1" x14ac:dyDescent="0.2">
      <c r="A33" s="231" t="s">
        <v>199</v>
      </c>
      <c r="B33" s="164"/>
      <c r="C33" s="114">
        <v>10900</v>
      </c>
      <c r="D33" s="164"/>
      <c r="E33" s="114">
        <v>2490</v>
      </c>
      <c r="F33" s="164"/>
      <c r="G33" s="114">
        <v>3230</v>
      </c>
      <c r="H33" s="164"/>
      <c r="I33" s="114">
        <v>6120</v>
      </c>
      <c r="J33" s="164" t="s">
        <v>189</v>
      </c>
      <c r="K33" s="114">
        <v>13200</v>
      </c>
      <c r="L33" s="164" t="s">
        <v>189</v>
      </c>
      <c r="M33" s="112"/>
    </row>
    <row r="34" spans="1:14" ht="11.25" customHeight="1" x14ac:dyDescent="0.2">
      <c r="A34" s="231" t="s">
        <v>200</v>
      </c>
      <c r="B34" s="164"/>
      <c r="C34" s="114">
        <v>1000</v>
      </c>
      <c r="D34" s="164"/>
      <c r="E34" s="114">
        <v>1520</v>
      </c>
      <c r="F34" s="164" t="s">
        <v>20</v>
      </c>
      <c r="G34" s="114">
        <v>2830</v>
      </c>
      <c r="H34" s="164" t="s">
        <v>20</v>
      </c>
      <c r="I34" s="114">
        <v>2770</v>
      </c>
      <c r="J34" s="164" t="s">
        <v>20</v>
      </c>
      <c r="K34" s="114">
        <v>2800</v>
      </c>
      <c r="L34" s="164"/>
      <c r="M34" s="112"/>
    </row>
    <row r="35" spans="1:14" ht="11.25" customHeight="1" x14ac:dyDescent="0.2">
      <c r="A35" s="231" t="s">
        <v>201</v>
      </c>
      <c r="B35" s="164"/>
      <c r="C35" s="114">
        <v>16000</v>
      </c>
      <c r="D35" s="164" t="s">
        <v>189</v>
      </c>
      <c r="E35" s="114">
        <v>10000</v>
      </c>
      <c r="F35" s="164" t="s">
        <v>189</v>
      </c>
      <c r="G35" s="114">
        <v>10000</v>
      </c>
      <c r="H35" s="164" t="s">
        <v>189</v>
      </c>
      <c r="I35" s="114">
        <v>846</v>
      </c>
      <c r="J35" s="164" t="s">
        <v>202</v>
      </c>
      <c r="K35" s="114">
        <v>1670</v>
      </c>
      <c r="L35" s="164" t="s">
        <v>203</v>
      </c>
      <c r="M35" s="112"/>
    </row>
    <row r="36" spans="1:14" ht="11.25" customHeight="1" x14ac:dyDescent="0.2">
      <c r="A36" s="231" t="s">
        <v>204</v>
      </c>
      <c r="B36" s="164"/>
      <c r="C36" s="114">
        <v>3500</v>
      </c>
      <c r="D36" s="164"/>
      <c r="E36" s="114">
        <v>3700</v>
      </c>
      <c r="F36" s="164"/>
      <c r="G36" s="114">
        <v>1200</v>
      </c>
      <c r="H36" s="164"/>
      <c r="I36" s="114">
        <v>500</v>
      </c>
      <c r="J36" s="164"/>
      <c r="K36" s="114">
        <v>2500</v>
      </c>
      <c r="L36" s="164"/>
      <c r="M36" s="112"/>
    </row>
    <row r="37" spans="1:14" ht="11.25" customHeight="1" x14ac:dyDescent="0.2">
      <c r="A37" s="232" t="s">
        <v>205</v>
      </c>
      <c r="B37" s="164"/>
      <c r="C37" s="119">
        <v>1520000</v>
      </c>
      <c r="D37" s="120"/>
      <c r="E37" s="119">
        <v>1290000</v>
      </c>
      <c r="F37" s="120" t="s">
        <v>20</v>
      </c>
      <c r="G37" s="119">
        <v>1510000</v>
      </c>
      <c r="H37" s="120" t="s">
        <v>20</v>
      </c>
      <c r="I37" s="119">
        <v>1610000</v>
      </c>
      <c r="J37" s="120" t="s">
        <v>20</v>
      </c>
      <c r="K37" s="119">
        <v>1530000</v>
      </c>
      <c r="L37" s="120"/>
      <c r="M37" s="112"/>
    </row>
    <row r="38" spans="1:14" ht="11.25" customHeight="1" x14ac:dyDescent="0.2">
      <c r="A38" s="233" t="s">
        <v>206</v>
      </c>
      <c r="B38" s="164"/>
      <c r="C38" s="118"/>
      <c r="D38" s="164"/>
      <c r="E38" s="118"/>
      <c r="F38" s="164"/>
      <c r="G38" s="118"/>
      <c r="H38" s="164"/>
      <c r="I38" s="118"/>
      <c r="J38" s="164"/>
      <c r="K38" s="118"/>
      <c r="L38" s="164"/>
      <c r="M38" s="112"/>
    </row>
    <row r="39" spans="1:14" ht="11.25" customHeight="1" x14ac:dyDescent="0.2">
      <c r="A39" s="236" t="s">
        <v>182</v>
      </c>
      <c r="B39" s="164"/>
      <c r="C39" s="114">
        <v>481000</v>
      </c>
      <c r="D39" s="164" t="s">
        <v>20</v>
      </c>
      <c r="E39" s="114">
        <v>178000</v>
      </c>
      <c r="F39" s="164"/>
      <c r="G39" s="114">
        <v>196000</v>
      </c>
      <c r="H39" s="164"/>
      <c r="I39" s="114">
        <v>200000</v>
      </c>
      <c r="J39" s="164"/>
      <c r="K39" s="114">
        <v>199000</v>
      </c>
      <c r="L39" s="164"/>
      <c r="M39" s="112"/>
    </row>
    <row r="40" spans="1:14" ht="11.25" customHeight="1" x14ac:dyDescent="0.2">
      <c r="A40" s="236" t="s">
        <v>120</v>
      </c>
      <c r="B40" s="164"/>
      <c r="C40" s="114">
        <v>1030000</v>
      </c>
      <c r="D40" s="164"/>
      <c r="E40" s="114">
        <v>1110000</v>
      </c>
      <c r="F40" s="164" t="s">
        <v>20</v>
      </c>
      <c r="G40" s="114">
        <v>1310000</v>
      </c>
      <c r="H40" s="164" t="s">
        <v>20</v>
      </c>
      <c r="I40" s="114">
        <v>1410000</v>
      </c>
      <c r="J40" s="164" t="s">
        <v>20</v>
      </c>
      <c r="K40" s="114">
        <v>1330000</v>
      </c>
      <c r="L40" s="164"/>
      <c r="M40" s="112"/>
    </row>
    <row r="41" spans="1:14" ht="11.25" customHeight="1" x14ac:dyDescent="0.2">
      <c r="A41" s="236" t="s">
        <v>207</v>
      </c>
      <c r="B41" s="164"/>
      <c r="C41" s="129">
        <v>2650</v>
      </c>
      <c r="D41" s="164"/>
      <c r="E41" s="129">
        <f>SUM(E32)</f>
        <v>1800</v>
      </c>
      <c r="F41" s="164" t="s">
        <v>20</v>
      </c>
      <c r="G41" s="129">
        <v>3390</v>
      </c>
      <c r="H41" s="164"/>
      <c r="I41" s="129">
        <v>3100</v>
      </c>
      <c r="J41" s="164" t="s">
        <v>20</v>
      </c>
      <c r="K41" s="129">
        <v>3000</v>
      </c>
      <c r="L41" s="164"/>
      <c r="M41" s="112"/>
    </row>
    <row r="42" spans="1:14" ht="11.25" customHeight="1" x14ac:dyDescent="0.2">
      <c r="A42" s="288" t="s">
        <v>208</v>
      </c>
      <c r="B42" s="288"/>
      <c r="C42" s="288"/>
      <c r="D42" s="288"/>
      <c r="E42" s="288"/>
      <c r="F42" s="288"/>
      <c r="G42" s="288"/>
      <c r="H42" s="288"/>
      <c r="I42" s="288"/>
      <c r="J42" s="288"/>
      <c r="K42" s="288"/>
      <c r="L42" s="288"/>
      <c r="M42" s="121"/>
      <c r="N42" s="121"/>
    </row>
    <row r="43" spans="1:14" ht="22.5" customHeight="1" x14ac:dyDescent="0.2">
      <c r="A43" s="289" t="s">
        <v>209</v>
      </c>
      <c r="B43" s="289"/>
      <c r="C43" s="289"/>
      <c r="D43" s="289"/>
      <c r="E43" s="289"/>
      <c r="F43" s="289"/>
      <c r="G43" s="289"/>
      <c r="H43" s="289"/>
      <c r="I43" s="289"/>
      <c r="J43" s="289"/>
      <c r="K43" s="289"/>
      <c r="L43" s="289"/>
      <c r="M43" s="121"/>
      <c r="N43" s="121"/>
    </row>
    <row r="44" spans="1:14" ht="11.25" customHeight="1" x14ac:dyDescent="0.2">
      <c r="A44" s="290" t="s">
        <v>210</v>
      </c>
      <c r="B44" s="291"/>
      <c r="C44" s="291"/>
      <c r="D44" s="291"/>
      <c r="E44" s="291"/>
      <c r="F44" s="291"/>
      <c r="G44" s="291"/>
      <c r="H44" s="291"/>
      <c r="I44" s="291"/>
      <c r="J44" s="291"/>
      <c r="K44" s="291"/>
      <c r="L44" s="291"/>
      <c r="M44" s="121"/>
      <c r="N44" s="121"/>
    </row>
    <row r="45" spans="1:14" ht="11.25" customHeight="1" x14ac:dyDescent="0.2">
      <c r="A45" s="290" t="s">
        <v>211</v>
      </c>
      <c r="B45" s="291"/>
      <c r="C45" s="291"/>
      <c r="D45" s="291"/>
      <c r="E45" s="291"/>
      <c r="F45" s="291"/>
      <c r="G45" s="291"/>
      <c r="H45" s="291"/>
      <c r="I45" s="291"/>
      <c r="J45" s="291"/>
      <c r="K45" s="291"/>
      <c r="L45" s="291"/>
      <c r="M45" s="121"/>
      <c r="N45" s="121"/>
    </row>
    <row r="46" spans="1:14" ht="11.25" customHeight="1" x14ac:dyDescent="0.2">
      <c r="A46" s="281" t="s">
        <v>212</v>
      </c>
      <c r="B46" s="291"/>
      <c r="C46" s="291"/>
      <c r="D46" s="291"/>
      <c r="E46" s="291"/>
      <c r="F46" s="291"/>
      <c r="G46" s="291"/>
      <c r="H46" s="291"/>
      <c r="I46" s="291"/>
      <c r="J46" s="291"/>
      <c r="K46" s="291"/>
      <c r="L46" s="291"/>
      <c r="M46" s="121"/>
      <c r="N46" s="121"/>
    </row>
    <row r="47" spans="1:14" ht="11.25" customHeight="1" x14ac:dyDescent="0.2">
      <c r="A47" s="281" t="s">
        <v>213</v>
      </c>
      <c r="B47" s="291"/>
      <c r="C47" s="291"/>
      <c r="D47" s="291"/>
      <c r="E47" s="291"/>
      <c r="F47" s="291"/>
      <c r="G47" s="291"/>
      <c r="H47" s="291"/>
      <c r="I47" s="291"/>
      <c r="J47" s="291"/>
      <c r="K47" s="291"/>
      <c r="L47" s="291"/>
      <c r="M47" s="121"/>
      <c r="N47" s="121"/>
    </row>
    <row r="48" spans="1:14" ht="11.25" customHeight="1" x14ac:dyDescent="0.2">
      <c r="A48" s="281" t="s">
        <v>214</v>
      </c>
      <c r="B48" s="282"/>
      <c r="C48" s="282"/>
      <c r="D48" s="282"/>
      <c r="E48" s="282"/>
      <c r="F48" s="282"/>
      <c r="G48" s="282"/>
      <c r="H48" s="282"/>
      <c r="I48" s="282"/>
      <c r="J48" s="282"/>
      <c r="K48" s="282"/>
      <c r="L48" s="282"/>
    </row>
    <row r="49" spans="1:12" ht="11.25" customHeight="1" x14ac:dyDescent="0.2">
      <c r="A49" s="281" t="s">
        <v>215</v>
      </c>
      <c r="B49" s="282"/>
      <c r="C49" s="282"/>
      <c r="D49" s="282"/>
      <c r="E49" s="282"/>
      <c r="F49" s="282"/>
      <c r="G49" s="282"/>
      <c r="H49" s="282"/>
      <c r="I49" s="282"/>
      <c r="J49" s="282"/>
      <c r="K49" s="282"/>
      <c r="L49" s="282"/>
    </row>
    <row r="50" spans="1:12" ht="11.25" customHeight="1" x14ac:dyDescent="0.2">
      <c r="A50" s="281" t="s">
        <v>216</v>
      </c>
      <c r="B50" s="282"/>
      <c r="C50" s="282"/>
      <c r="D50" s="282"/>
      <c r="E50" s="282"/>
      <c r="F50" s="282"/>
      <c r="G50" s="282"/>
      <c r="H50" s="282"/>
      <c r="I50" s="282"/>
      <c r="J50" s="282"/>
      <c r="K50" s="282"/>
      <c r="L50" s="282"/>
    </row>
    <row r="51" spans="1:12" ht="11.25" customHeight="1" x14ac:dyDescent="0.2">
      <c r="A51" s="281" t="s">
        <v>217</v>
      </c>
      <c r="B51" s="282"/>
      <c r="C51" s="282"/>
      <c r="D51" s="282"/>
      <c r="E51" s="282"/>
      <c r="F51" s="282"/>
      <c r="G51" s="282"/>
      <c r="H51" s="282"/>
      <c r="I51" s="282"/>
      <c r="J51" s="282"/>
      <c r="K51" s="282"/>
      <c r="L51" s="282"/>
    </row>
    <row r="52" spans="1:12" ht="11.25" customHeight="1" x14ac:dyDescent="0.2">
      <c r="A52" s="281" t="s">
        <v>218</v>
      </c>
      <c r="B52" s="282"/>
      <c r="C52" s="282"/>
      <c r="D52" s="282"/>
      <c r="E52" s="282"/>
      <c r="F52" s="282"/>
      <c r="G52" s="282"/>
      <c r="H52" s="282"/>
      <c r="I52" s="282"/>
      <c r="J52" s="282"/>
      <c r="K52" s="282"/>
      <c r="L52" s="282"/>
    </row>
    <row r="53" spans="1:12" ht="11.25" customHeight="1" x14ac:dyDescent="0.2">
      <c r="A53" s="281" t="s">
        <v>219</v>
      </c>
      <c r="B53" s="282"/>
      <c r="C53" s="282"/>
      <c r="D53" s="282"/>
      <c r="E53" s="282"/>
      <c r="F53" s="282"/>
      <c r="G53" s="282"/>
      <c r="H53" s="282"/>
      <c r="I53" s="282"/>
      <c r="J53" s="282"/>
      <c r="K53" s="282"/>
      <c r="L53" s="282"/>
    </row>
    <row r="54" spans="1:12" ht="11.25" customHeight="1" x14ac:dyDescent="0.2">
      <c r="A54" s="281" t="s">
        <v>220</v>
      </c>
      <c r="B54" s="282"/>
      <c r="C54" s="282"/>
      <c r="D54" s="282"/>
      <c r="E54" s="282"/>
      <c r="F54" s="282"/>
      <c r="G54" s="282"/>
      <c r="H54" s="282"/>
      <c r="I54" s="282"/>
      <c r="J54" s="282"/>
      <c r="K54" s="282"/>
      <c r="L54" s="282"/>
    </row>
    <row r="55" spans="1:12" s="138" customFormat="1" ht="11.25" customHeight="1" x14ac:dyDescent="0.2">
      <c r="A55" s="281" t="s">
        <v>221</v>
      </c>
      <c r="B55" s="282"/>
      <c r="C55" s="282"/>
      <c r="D55" s="282"/>
      <c r="E55" s="282"/>
      <c r="F55" s="282"/>
      <c r="G55" s="282"/>
      <c r="H55" s="282"/>
      <c r="I55" s="282"/>
      <c r="J55" s="282"/>
      <c r="K55" s="282"/>
      <c r="L55" s="282"/>
    </row>
    <row r="56" spans="1:12" s="138" customFormat="1" ht="11.25" customHeight="1" x14ac:dyDescent="0.2">
      <c r="A56" s="281" t="s">
        <v>222</v>
      </c>
      <c r="B56" s="282"/>
      <c r="C56" s="282"/>
      <c r="D56" s="282"/>
      <c r="E56" s="282"/>
      <c r="F56" s="282"/>
      <c r="G56" s="282"/>
      <c r="H56" s="282"/>
      <c r="I56" s="282"/>
      <c r="J56" s="282"/>
      <c r="K56" s="282"/>
      <c r="L56" s="282"/>
    </row>
    <row r="57" spans="1:12" s="138" customFormat="1" ht="11.25" customHeight="1" x14ac:dyDescent="0.2">
      <c r="A57" s="281" t="s">
        <v>223</v>
      </c>
      <c r="B57" s="282"/>
      <c r="C57" s="282"/>
      <c r="D57" s="282"/>
      <c r="E57" s="282"/>
      <c r="F57" s="282"/>
      <c r="G57" s="282"/>
      <c r="H57" s="282"/>
      <c r="I57" s="282"/>
      <c r="J57" s="282"/>
      <c r="K57" s="282"/>
      <c r="L57" s="282"/>
    </row>
    <row r="58" spans="1:12" ht="11.25" customHeight="1" x14ac:dyDescent="0.2">
      <c r="A58" s="281" t="s">
        <v>224</v>
      </c>
      <c r="B58" s="282"/>
      <c r="C58" s="282"/>
      <c r="D58" s="282"/>
      <c r="E58" s="282"/>
      <c r="F58" s="282"/>
      <c r="G58" s="282"/>
      <c r="H58" s="282"/>
      <c r="I58" s="282"/>
      <c r="J58" s="282"/>
      <c r="K58" s="282"/>
      <c r="L58" s="282"/>
    </row>
  </sheetData>
  <mergeCells count="22">
    <mergeCell ref="A55:L55"/>
    <mergeCell ref="A56:L56"/>
    <mergeCell ref="A57:L57"/>
    <mergeCell ref="A58:L58"/>
    <mergeCell ref="A49:L49"/>
    <mergeCell ref="A50:L50"/>
    <mergeCell ref="A51:L51"/>
    <mergeCell ref="A52:L52"/>
    <mergeCell ref="A53:L53"/>
    <mergeCell ref="A54:L54"/>
    <mergeCell ref="A48:L48"/>
    <mergeCell ref="A1:L1"/>
    <mergeCell ref="A2:L2"/>
    <mergeCell ref="A3:L3"/>
    <mergeCell ref="A4:L4"/>
    <mergeCell ref="A5:L5"/>
    <mergeCell ref="A42:L42"/>
    <mergeCell ref="A43:L43"/>
    <mergeCell ref="A44:L44"/>
    <mergeCell ref="A45:L45"/>
    <mergeCell ref="A46:L46"/>
    <mergeCell ref="A47:L47"/>
  </mergeCells>
  <printOptions horizontalCentered="1"/>
  <pageMargins left="0.5" right="0.5" top="0.5" bottom="0.75" header="0.3" footer="0.3"/>
  <pageSetup orientation="portrait" horizontalDpi="4294967295" verticalDpi="4294967295"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70AE6DDCCE4F64AB96B54634ACF1B32" ma:contentTypeVersion="19" ma:contentTypeDescription="Create a new document." ma:contentTypeScope="" ma:versionID="2f129b4818b48e7881630c11aef9b62d">
  <xsd:schema xmlns:xsd="http://www.w3.org/2001/XMLSchema" xmlns:xs="http://www.w3.org/2001/XMLSchema" xmlns:p="http://schemas.microsoft.com/office/2006/metadata/properties" xmlns:ns1="http://schemas.microsoft.com/sharepoint/v3" xmlns:ns2="d925d976-9e2a-4bab-ad6d-d3ef45ec2550" xmlns:ns3="08020ff4-f632-4952-8504-a4a18e274e6c" xmlns:ns4="31062a0d-ede8-4112-b4bb-00a9c1bc8e16" targetNamespace="http://schemas.microsoft.com/office/2006/metadata/properties" ma:root="true" ma:fieldsID="8d0b0548c58e425a5419fb4e5a77f19b" ns1:_="" ns2:_="" ns3:_="" ns4:_="">
    <xsd:import namespace="http://schemas.microsoft.com/sharepoint/v3"/>
    <xsd:import namespace="d925d976-9e2a-4bab-ad6d-d3ef45ec2550"/>
    <xsd:import namespace="08020ff4-f632-4952-8504-a4a18e274e6c"/>
    <xsd:import namespace="31062a0d-ede8-4112-b4bb-00a9c1bc8e1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element ref="ns2:Date_x0020_and_x0020_Time" minOccurs="0"/>
                <xsd:element ref="ns2:MediaServiceOCR" minOccurs="0"/>
                <xsd:element ref="ns2:MediaServiceDateTaken" minOccurs="0"/>
                <xsd:element ref="ns2:MediaServiceLocation" minOccurs="0"/>
                <xsd:element ref="ns1:_ip_UnifiedCompliancePolicyProperties" minOccurs="0"/>
                <xsd:element ref="ns1:_ip_UnifiedCompliancePolicyUIAction" minOccurs="0"/>
                <xsd:element ref="ns2:lcf76f155ced4ddcb4097134ff3c332f" minOccurs="0"/>
                <xsd:element ref="ns4: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925d976-9e2a-4bab-ad6d-d3ef45ec25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Date_x0020_and_x0020_Time" ma:index="15" nillable="true" ma:displayName="Date and Time" ma:format="DateTime" ma:internalName="Date_x0020_and_x0020_Time">
      <xsd:simpleType>
        <xsd:restriction base="dms:DateTim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8020ff4-f632-4952-8504-a4a18e274e6c"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1062a0d-ede8-4112-b4bb-00a9c1bc8e16"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65462c4f-e196-468f-8ddd-ac3b3426e5e8}" ma:internalName="TaxCatchAll" ma:showField="CatchAllData" ma:web="d36856fe-d4a9-4f0b-87a7-8fa063632c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Date_x0020_and_x0020_Time xmlns="d925d976-9e2a-4bab-ad6d-d3ef45ec2550" xsi:nil="true"/>
    <_ip_UnifiedCompliancePolicyProperties xmlns="http://schemas.microsoft.com/sharepoint/v3" xsi:nil="true"/>
    <lcf76f155ced4ddcb4097134ff3c332f xmlns="d925d976-9e2a-4bab-ad6d-d3ef45ec2550">
      <Terms xmlns="http://schemas.microsoft.com/office/infopath/2007/PartnerControls"/>
    </lcf76f155ced4ddcb4097134ff3c332f>
    <TaxCatchAll xmlns="31062a0d-ede8-4112-b4bb-00a9c1bc8e16" xsi:nil="true"/>
  </documentManagement>
</p:properties>
</file>

<file path=customXml/itemProps1.xml><?xml version="1.0" encoding="utf-8"?>
<ds:datastoreItem xmlns:ds="http://schemas.openxmlformats.org/officeDocument/2006/customXml" ds:itemID="{5786F34F-AC1B-4566-9F7B-6D105B68659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925d976-9e2a-4bab-ad6d-d3ef45ec2550"/>
    <ds:schemaRef ds:uri="08020ff4-f632-4952-8504-a4a18e274e6c"/>
    <ds:schemaRef ds:uri="31062a0d-ede8-4112-b4bb-00a9c1bc8e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5D268E0-D5CD-43A1-8857-50FEA0B120E6}">
  <ds:schemaRefs>
    <ds:schemaRef ds:uri="http://schemas.microsoft.com/sharepoint/v3/contenttype/forms"/>
  </ds:schemaRefs>
</ds:datastoreItem>
</file>

<file path=customXml/itemProps3.xml><?xml version="1.0" encoding="utf-8"?>
<ds:datastoreItem xmlns:ds="http://schemas.openxmlformats.org/officeDocument/2006/customXml" ds:itemID="{AC5A5739-7D0A-4548-8C66-4142A4222CF9}">
  <ds:schemaRefs>
    <ds:schemaRef ds:uri="http://schemas.microsoft.com/office/2006/metadata/properties"/>
    <ds:schemaRef ds:uri="http://schemas.microsoft.com/office/infopath/2007/PartnerControls"/>
    <ds:schemaRef ds:uri="http://schemas.microsoft.com/sharepoint/v3"/>
    <ds:schemaRef ds:uri="d925d976-9e2a-4bab-ad6d-d3ef45ec2550"/>
    <ds:schemaRef ds:uri="31062a0d-ede8-4112-b4bb-00a9c1bc8e1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Note</vt:lpstr>
      <vt:lpstr>T1</vt:lpstr>
      <vt:lpstr>T2</vt:lpstr>
      <vt:lpstr>T3</vt:lpstr>
      <vt:lpstr>T4</vt:lpstr>
      <vt:lpstr>T5</vt:lpstr>
      <vt:lpstr>T6</vt:lpstr>
      <vt:lpstr>T7</vt:lpstr>
      <vt:lpstr>T8</vt:lpstr>
      <vt:lpstr>T9</vt:lpstr>
    </vt:vector>
  </TitlesOfParts>
  <Manager/>
  <Company>U.S. Geological Survey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Graphite in 2023</dc:title>
  <dc:subject>USGS Mineral Industry Surveys</dc:subject>
  <dc:creator>USGS National Minerals Information Center</dc:creator>
  <cp:keywords>Graphite; statistics</cp:keywords>
  <dc:description/>
  <cp:lastModifiedBy>Hakim, Samir</cp:lastModifiedBy>
  <cp:revision/>
  <dcterms:created xsi:type="dcterms:W3CDTF">2012-04-26T12:53:06Z</dcterms:created>
  <dcterms:modified xsi:type="dcterms:W3CDTF">2025-03-25T19:53:46Z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0x010100E70AE6DDCCE4F64AB96B54634ACF1B32</vt:lpwstr>
  </property>
</Properties>
</file>