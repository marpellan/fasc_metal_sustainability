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polymtlca-my.sharepoint.com/personal/marin_pellan_polymtl_ca/Documents/POST_DOC/CODE/fasc_metal_sustainability/data/MI/Penelope/"/>
    </mc:Choice>
  </mc:AlternateContent>
  <xr:revisionPtr revIDLastSave="9" documentId="13_ncr:1_{B39B6A3F-D26A-48B9-A17C-949B8561B238}" xr6:coauthVersionLast="47" xr6:coauthVersionMax="47" xr10:uidLastSave="{722CF0D0-0308-41DC-828B-19A244619892}"/>
  <bookViews>
    <workbookView xWindow="-28920" yWindow="-705" windowWidth="29040" windowHeight="15720" firstSheet="10" activeTab="18" xr2:uid="{00000000-000D-0000-FFFF-FFFF00000000}"/>
  </bookViews>
  <sheets>
    <sheet name="Table of content" sheetId="26" r:id="rId1"/>
    <sheet name="Demand_Grid_Storage" sheetId="39" r:id="rId2"/>
    <sheet name="Demand_RoE_Litt" sheetId="40" r:id="rId3"/>
    <sheet name="Met_Inten_Reduc_RoE" sheetId="41" r:id="rId4"/>
    <sheet name="MS_Battery_Motor_LDV" sheetId="32" r:id="rId5"/>
    <sheet name="MS_Vehicle" sheetId="33" r:id="rId6"/>
    <sheet name="Vehicle_Stock" sheetId="42" r:id="rId7"/>
    <sheet name="MS_Energy_Disag" sheetId="29" r:id="rId8"/>
    <sheet name="MS_Energy_Ag" sheetId="28" r:id="rId9"/>
    <sheet name="CF_Litt" sheetId="21" r:id="rId10"/>
    <sheet name="Biomass_Hydro_Avail" sheetId="23" r:id="rId11"/>
    <sheet name="MI_EV" sheetId="36" r:id="rId12"/>
    <sheet name="MI_Energy" sheetId="30" r:id="rId13"/>
    <sheet name="Legend" sheetId="3" r:id="rId14"/>
    <sheet name="MI" sheetId="45" r:id="rId15"/>
    <sheet name="Battery_Capacity" sheetId="43" r:id="rId16"/>
    <sheet name="Ref&amp;Hp" sheetId="2" r:id="rId17"/>
    <sheet name="Power_Source_calcul" sheetId="37" r:id="rId18"/>
    <sheet name="EV_Calcul" sheetId="38" r:id="rId19"/>
  </sheets>
  <definedNames>
    <definedName name="_xlnm._FilterDatabase" localSheetId="15" hidden="1">Battery_Capacity!$A$1:$F$1</definedName>
    <definedName name="_xlnm._FilterDatabase" localSheetId="14" hidden="1">MI!$A$1:$G$714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26" i="45" l="1"/>
  <c r="D271" i="45"/>
  <c r="D246" i="45"/>
  <c r="D133" i="45"/>
  <c r="D118" i="45"/>
  <c r="D16" i="45"/>
  <c r="D13" i="45"/>
  <c r="D4" i="45"/>
  <c r="D12" i="45"/>
  <c r="C8" i="30" l="1"/>
  <c r="F21" i="36"/>
  <c r="F17" i="38" l="1"/>
  <c r="K17" i="38"/>
  <c r="P17" i="38"/>
  <c r="U17" i="38"/>
  <c r="Z17" i="38"/>
  <c r="AE17" i="38"/>
  <c r="AJ17" i="38"/>
  <c r="AO17" i="38"/>
  <c r="AT17" i="38"/>
  <c r="AY17" i="38"/>
  <c r="F20" i="38"/>
  <c r="K20" i="38"/>
  <c r="P20" i="38"/>
  <c r="U20" i="38"/>
  <c r="Z20" i="38"/>
  <c r="AE20" i="38"/>
  <c r="AJ20" i="38"/>
  <c r="AO20" i="38"/>
  <c r="AT20" i="38"/>
  <c r="AY20" i="38"/>
  <c r="G21" i="36" l="1"/>
  <c r="L12" i="36"/>
  <c r="F73" i="41" l="1"/>
  <c r="F72" i="41"/>
  <c r="F71" i="41"/>
  <c r="F70" i="41"/>
  <c r="F69" i="41"/>
  <c r="F68" i="41"/>
  <c r="F67" i="41"/>
  <c r="F66" i="41"/>
  <c r="F65" i="41"/>
  <c r="F64" i="41"/>
  <c r="F63" i="41"/>
  <c r="F62" i="41"/>
  <c r="F61" i="41"/>
  <c r="F60" i="41"/>
  <c r="F59" i="41"/>
  <c r="F58" i="41"/>
  <c r="F57" i="41"/>
  <c r="F56" i="41"/>
  <c r="F55" i="41"/>
  <c r="F54" i="41"/>
  <c r="F53" i="41"/>
  <c r="F52" i="41"/>
  <c r="F51" i="41"/>
  <c r="F50" i="41"/>
  <c r="F49" i="41"/>
  <c r="F48" i="41"/>
  <c r="F47" i="41"/>
  <c r="F46" i="41"/>
  <c r="F45" i="41"/>
  <c r="I4" i="41" s="1"/>
  <c r="F44" i="41"/>
  <c r="F43" i="41"/>
  <c r="F42" i="41"/>
  <c r="F41" i="41"/>
  <c r="F40" i="41"/>
  <c r="F39" i="41"/>
  <c r="F38" i="41"/>
  <c r="F37" i="41"/>
  <c r="F36" i="41"/>
  <c r="F35" i="41"/>
  <c r="F34" i="41"/>
  <c r="F33" i="41"/>
  <c r="F32" i="41"/>
  <c r="F31" i="41"/>
  <c r="F30" i="41"/>
  <c r="F29" i="41"/>
  <c r="F28" i="41"/>
  <c r="F27" i="41"/>
  <c r="F26" i="41"/>
  <c r="F25" i="41"/>
  <c r="F24" i="41"/>
  <c r="F23" i="41"/>
  <c r="F22" i="41"/>
  <c r="F21" i="41"/>
  <c r="F20" i="41"/>
  <c r="F19" i="41"/>
  <c r="F18" i="41"/>
  <c r="F17" i="41"/>
  <c r="F16" i="41"/>
  <c r="F15" i="41"/>
  <c r="F14" i="41"/>
  <c r="F13" i="41"/>
  <c r="F12" i="41"/>
  <c r="F11" i="41"/>
  <c r="F10" i="41"/>
  <c r="F9" i="41"/>
  <c r="F8" i="41"/>
  <c r="F7" i="41"/>
  <c r="F6" i="41"/>
  <c r="F5" i="41"/>
  <c r="F4" i="41"/>
  <c r="E88" i="37"/>
  <c r="E86" i="37"/>
  <c r="B81" i="37"/>
  <c r="E87" i="37" s="1"/>
  <c r="B80" i="37"/>
  <c r="F68" i="37"/>
  <c r="E68" i="37"/>
  <c r="D68" i="37"/>
  <c r="F67" i="37"/>
  <c r="E67" i="37"/>
  <c r="C67" i="37"/>
  <c r="G66" i="37"/>
  <c r="F66" i="37"/>
  <c r="C66" i="37"/>
  <c r="G65" i="37"/>
  <c r="E65" i="37"/>
  <c r="D65" i="37"/>
  <c r="C65" i="37"/>
  <c r="B59" i="37"/>
  <c r="B58" i="37"/>
  <c r="C68" i="37" s="1"/>
  <c r="G26" i="37"/>
  <c r="F26" i="37"/>
  <c r="E26" i="37"/>
  <c r="H26" i="37" s="1"/>
  <c r="H25" i="37"/>
  <c r="G25" i="37"/>
  <c r="F25" i="37"/>
  <c r="E25" i="37"/>
  <c r="G24" i="37"/>
  <c r="F24" i="37"/>
  <c r="E24" i="37"/>
  <c r="H24" i="37" s="1"/>
  <c r="H23" i="37"/>
  <c r="G23" i="37"/>
  <c r="F23" i="37"/>
  <c r="E23" i="37"/>
  <c r="T19" i="37"/>
  <c r="W18" i="37"/>
  <c r="W19" i="37" s="1"/>
  <c r="V18" i="37"/>
  <c r="V19" i="37" s="1"/>
  <c r="U18" i="37"/>
  <c r="U19" i="37" s="1"/>
  <c r="T18" i="37"/>
  <c r="AM8" i="37"/>
  <c r="AL8" i="37"/>
  <c r="B2" i="38"/>
  <c r="C2" i="38"/>
  <c r="D2" i="38"/>
  <c r="B3" i="38"/>
  <c r="C3" i="38"/>
  <c r="D3" i="38"/>
  <c r="H4" i="41" l="1"/>
  <c r="J4" i="41"/>
  <c r="B87" i="37"/>
  <c r="F65" i="37"/>
  <c r="D67" i="37"/>
  <c r="G68" i="37"/>
  <c r="D66" i="37"/>
  <c r="G67" i="37"/>
  <c r="B86" i="37"/>
  <c r="B88" i="37"/>
  <c r="E66" i="37"/>
  <c r="C86" i="37" l="1"/>
  <c r="D86" i="37"/>
  <c r="D87" i="37"/>
  <c r="C87" i="37"/>
  <c r="C88" i="37"/>
  <c r="D88" i="37"/>
</calcChain>
</file>

<file path=xl/sharedStrings.xml><?xml version="1.0" encoding="utf-8"?>
<sst xmlns="http://schemas.openxmlformats.org/spreadsheetml/2006/main" count="10670" uniqueCount="632">
  <si>
    <t>Bodeker et al 2010, Aluminium and Renewable Energy Systems - Prospects for the Sustainable Generation of Electricity and Heat</t>
  </si>
  <si>
    <t>CdTe</t>
  </si>
  <si>
    <t>a-Si</t>
  </si>
  <si>
    <t>a-SiGe</t>
  </si>
  <si>
    <t>Ref</t>
  </si>
  <si>
    <t>Dones, R., Bauer, C., Roder, A., 2007. Teil VI: kohle. Sachbilanzen von Energiesystemen: Grundlagen fur Den Okologischen Vergleich von Energiesystemen und Den Einbezug von Energiesystemen in Okobilanzen fur Die. Schweiz. Ecoinvent report, Dubendorf, Switserland.</t>
  </si>
  <si>
    <t>Coal</t>
  </si>
  <si>
    <t>Oil</t>
  </si>
  <si>
    <t xml:space="preserve">Hydrogen </t>
  </si>
  <si>
    <t>DD-EESG</t>
  </si>
  <si>
    <t>DD-PMSG</t>
  </si>
  <si>
    <t>GB-PMSG</t>
  </si>
  <si>
    <t>Onshore</t>
  </si>
  <si>
    <t>Offshore</t>
  </si>
  <si>
    <t>Wind</t>
  </si>
  <si>
    <t>Direct-drive</t>
  </si>
  <si>
    <t>DDSG</t>
  </si>
  <si>
    <t>DFIG</t>
  </si>
  <si>
    <t>Onshore DD</t>
  </si>
  <si>
    <t>/</t>
  </si>
  <si>
    <t>6720, 3790</t>
  </si>
  <si>
    <t>Lea A. (President, International Copper Association), 2016, The longterm fundamentals of copper demand, Copper 2016, 2016.11.14., Kobe, Japan.</t>
  </si>
  <si>
    <t>Biomass</t>
  </si>
  <si>
    <t>(Watari et al. 2019)</t>
  </si>
  <si>
    <t>(Ashby, 2013)</t>
  </si>
  <si>
    <t>(IEA, 2022)</t>
  </si>
  <si>
    <t>(Van Oorschot et al., 2022)</t>
  </si>
  <si>
    <t>(Lea A., Copper Association, 2016)</t>
  </si>
  <si>
    <t>Open LCA Analysis</t>
  </si>
  <si>
    <t>Argonne National Laboratory, Life-Cycle Analysis Results of Geothermal Systems in Comparison to Other Power Systems,Hydrothermal, binary, Sullivan et al., 2010</t>
  </si>
  <si>
    <t>(European Commission, 2020)</t>
  </si>
  <si>
    <t>(Månberger, 2018)</t>
  </si>
  <si>
    <t xml:space="preserve">The Future of Copper and Sustainable Development, Copper 2016, 2016.11.14., Kobe, Japan., Copper : Hernández D. (Chairman, SONAMI (Chilean Chamber of Mines), Chile), 2016, </t>
  </si>
  <si>
    <t>(Hernández D., 2016)</t>
  </si>
  <si>
    <t>Legend</t>
  </si>
  <si>
    <t>Hydro</t>
  </si>
  <si>
    <t>(Moss et al., 2013)</t>
  </si>
  <si>
    <t>Life cycle inventory of a flash geothermal combined heat and power plant located in Iceland, Karlsdóttir et al., 2015</t>
  </si>
  <si>
    <t>(Rosset, 2022)</t>
  </si>
  <si>
    <t>European Commission. Joint Research Centre. (2020). Raw materials demand for wind and solar PV technologies in the transition towards a decarbonised energy system. Publications Office. https://data.europa.eu/doi/10.2760/160859</t>
  </si>
  <si>
    <t>The Role of Critical Minerals in Clean Energy Transitions. (2022).</t>
  </si>
  <si>
    <t>Rosset, J. (2022). ÉTUDE SUR LES MATÉRIAUX DE LA TRANSITION ÉNERGÉTIQUE.</t>
  </si>
  <si>
    <t>Ashby, M. F. (2013). Chapter 12—Materials for low-carbon power. In M. F. Ashby (Éd.), Materials and the Environment (Second Edition) (p. 349‑413). Butterworth-Heinemann. https://doi.org/10.1016/B978-0-12-385971-6.00012-9</t>
  </si>
  <si>
    <t>Sol_C-si_Silver</t>
  </si>
  <si>
    <t>Sol_C-si_Copper</t>
  </si>
  <si>
    <t>Sol_CdTe</t>
  </si>
  <si>
    <t>Sol_CIGS</t>
  </si>
  <si>
    <t>Sol_a-SiGe</t>
  </si>
  <si>
    <t>Sol_CSP_parabol</t>
  </si>
  <si>
    <t>Sol_CSP_tower</t>
  </si>
  <si>
    <t>Wind_DD-EESG_Onshore</t>
  </si>
  <si>
    <t>Wind_GB-DFIG_SCIG_Onshore</t>
  </si>
  <si>
    <t>Wind_DD-PMSG_Onshore</t>
  </si>
  <si>
    <t>Wind_GB-PMSG_Onshore</t>
  </si>
  <si>
    <t>Wind_DD-EESG_Offshore</t>
  </si>
  <si>
    <t>Wind_GB-DFIG_SCIG_Offshore</t>
  </si>
  <si>
    <t>Wind_DD-PMSG_Offshore</t>
  </si>
  <si>
    <t>Wind_GB-PMSG_Offshore</t>
  </si>
  <si>
    <t>Geothermal</t>
  </si>
  <si>
    <t>Foss_Coal</t>
  </si>
  <si>
    <t>Foss_NaturalGas</t>
  </si>
  <si>
    <t>Foss_Oil</t>
  </si>
  <si>
    <t>Foss_Hydrogen</t>
  </si>
  <si>
    <t>Data</t>
  </si>
  <si>
    <t>(IRENA, 2022)</t>
  </si>
  <si>
    <t>(Tokimatsu et al., 2017)</t>
  </si>
  <si>
    <t>(Bolson, 2022)</t>
  </si>
  <si>
    <t xml:space="preserve">(USA statistics, 2022) </t>
  </si>
  <si>
    <t>Unit</t>
  </si>
  <si>
    <t>%</t>
  </si>
  <si>
    <t>CF_Litt</t>
  </si>
  <si>
    <t>Business as usual</t>
  </si>
  <si>
    <t>Full adaptation response</t>
  </si>
  <si>
    <t>GW</t>
  </si>
  <si>
    <t>Biomass_Avail</t>
  </si>
  <si>
    <t>Hydro_Avail</t>
  </si>
  <si>
    <t>Europe</t>
  </si>
  <si>
    <t>D. E. H. J. Gernaat, P. W. Bogaart, D. P. v. Vuuren, H. Biemans et R. Niessink,“High-resolution assessment of global technical and economic hydropower potential,” Nature Energy, vol. 2, no. 10, p. 821–828, oct. 2017, publisher : Nature Publishing Group. [En ligne]. Disponible : https://www.nature.com/articles/s41560-017-0006-y</t>
  </si>
  <si>
    <t>(Errera et al., 2023)</t>
  </si>
  <si>
    <t>(Gernaat et al., 2017)</t>
  </si>
  <si>
    <t xml:space="preserve">Spreadsheet title </t>
  </si>
  <si>
    <t>Description</t>
  </si>
  <si>
    <t>Dark grey spreadsheet represent reference and hypothesis of calculation</t>
  </si>
  <si>
    <t>Ref&amp;Hp</t>
  </si>
  <si>
    <t>High-resolution assessment of global technical and economic hydropower potential</t>
  </si>
  <si>
    <t>Africa</t>
  </si>
  <si>
    <t>Asia</t>
  </si>
  <si>
    <t>North and Central America</t>
  </si>
  <si>
    <t>South America</t>
  </si>
  <si>
    <t>Technical</t>
  </si>
  <si>
    <t>Remaining</t>
  </si>
  <si>
    <t xml:space="preserve">Technical </t>
  </si>
  <si>
    <t>Ecological</t>
  </si>
  <si>
    <t>Economic</t>
  </si>
  <si>
    <t xml:space="preserve">Conversion </t>
  </si>
  <si>
    <t>1PWh</t>
  </si>
  <si>
    <t>GWh</t>
  </si>
  <si>
    <t>1yr</t>
  </si>
  <si>
    <t>h</t>
  </si>
  <si>
    <t>MAF</t>
  </si>
  <si>
    <t>ASIA</t>
  </si>
  <si>
    <t>OECD + REF</t>
  </si>
  <si>
    <t>LAM</t>
  </si>
  <si>
    <t>Régions de l'étude</t>
  </si>
  <si>
    <t>PWh/yr</t>
  </si>
  <si>
    <t>Calcul Hydro_Avail</t>
  </si>
  <si>
    <t>Result Hydro_Avail</t>
  </si>
  <si>
    <t>Real energy</t>
  </si>
  <si>
    <t>Nominal capacity (FC)</t>
  </si>
  <si>
    <t>Global WBA, Bioenergy, Statistics 2020, World Bioenergy Association, S. l., 2020.</t>
  </si>
  <si>
    <t>Annual Theoretical Bioenergy Production Potential 2050</t>
  </si>
  <si>
    <t>EJ/yr</t>
  </si>
  <si>
    <t>Optimal trends</t>
  </si>
  <si>
    <t>second</t>
  </si>
  <si>
    <t>1 EJ/s</t>
  </si>
  <si>
    <t>Linearisation</t>
  </si>
  <si>
    <t>Calcul Biomass_Avail</t>
  </si>
  <si>
    <t>Result Biomass_Avail</t>
  </si>
  <si>
    <t>Charging factors of energy sources in percentage from the literature</t>
  </si>
  <si>
    <t>Estimation from the literature of biomass availability from 2020 to 2050 in GW, for different scenario of land use</t>
  </si>
  <si>
    <t>Estimation from the literature of hydroelectricity by region in GW, for different economic and ecological scenario</t>
  </si>
  <si>
    <t>Metal intensity of the sub-technology of energy sources, in kg per GW of installed power capacity</t>
  </si>
  <si>
    <t xml:space="preserve">Legend for the fiability estimation of the data used for metal intensity of energy sources, depending on the variability of data found in the literature.  </t>
  </si>
  <si>
    <t>Years</t>
  </si>
  <si>
    <t>Regions from the study</t>
  </si>
  <si>
    <t>IAM region</t>
  </si>
  <si>
    <t>U.S. energy capacity factors by source 2022.” [En
ligne]. Disponible : https://www.statista.com/statistics/183680/</t>
  </si>
  <si>
    <t>Ashby, M. F. (2013). Materials for low-carbon power. In Materials and the Environment (p. 349‑413). Elsevier. https://doi.org/10.1016/B978-0-12-385971-6.00012-9</t>
  </si>
  <si>
    <t>International Renewable Energy Agency, “Renewable power generation costs in 2022, Abu Dhabi, 2023.</t>
  </si>
  <si>
    <t>Biomass_Hydro_Avail</t>
  </si>
  <si>
    <t xml:space="preserve">Market share used for aggregated energy sources, for the initial scenario. Market shares of sub-technologies are provided for each decade. </t>
  </si>
  <si>
    <t xml:space="preserve">Market share used for disaggregated energy sources, for the optimized scenario. Market shares of sub-technologies are provided for each decade. </t>
  </si>
  <si>
    <t>Nuclear_PWR</t>
  </si>
  <si>
    <t>Nuclear_HTGR</t>
  </si>
  <si>
    <t>Nuclear_FBR</t>
  </si>
  <si>
    <t>(European Commission. Joint Research Centre., 2020)</t>
  </si>
  <si>
    <t>(Alami et al., 2023)</t>
  </si>
  <si>
    <t>Calcul hydro availability</t>
  </si>
  <si>
    <t>Calcul biomass availability</t>
  </si>
  <si>
    <t>Calcul market shares</t>
  </si>
  <si>
    <t xml:space="preserve">Wind </t>
  </si>
  <si>
    <t>Solar PV</t>
  </si>
  <si>
    <t>Solar CSP</t>
  </si>
  <si>
    <t>ONSHORE</t>
  </si>
  <si>
    <t>Figure 12. Share of onshore (left) and offshore (right) wind turbine sub-technologies in the global market</t>
  </si>
  <si>
    <t>GB-DFIG-SCIG</t>
  </si>
  <si>
    <t>Projections from EU :  
Grows linearly until it's at x% in 2050</t>
  </si>
  <si>
    <t xml:space="preserve">Current market share </t>
  </si>
  <si>
    <t>LDS</t>
  </si>
  <si>
    <t>MDS</t>
  </si>
  <si>
    <t>HDS</t>
  </si>
  <si>
    <t>Solar..CSP</t>
  </si>
  <si>
    <t>C-si</t>
  </si>
  <si>
    <t>CIGS</t>
  </si>
  <si>
    <t>OFFSHORE</t>
  </si>
  <si>
    <t>Figure 10. Annual installed capacity of onshore and offshore wind by 2050</t>
  </si>
  <si>
    <t xml:space="preserve">MDS </t>
  </si>
  <si>
    <t>Annualy installed</t>
  </si>
  <si>
    <t>Cumulated</t>
  </si>
  <si>
    <t>Market Share</t>
  </si>
  <si>
    <t>%Onshore</t>
  </si>
  <si>
    <t>%Offshore</t>
  </si>
  <si>
    <t xml:space="preserve">The references of each spreadsheet is organized in this file in a table, by spreadsheet name, followed by the hypothesis made. 
The calculations made to obtain results for market shares, biomass and hydro availability are also presented. </t>
  </si>
  <si>
    <t>Metal_Intensity [t/GW]</t>
  </si>
  <si>
    <t>Sol_CSP_parabol_Al_MgF2</t>
  </si>
  <si>
    <t>Sol_CSP_tower_Al_MgF2</t>
  </si>
  <si>
    <t>Sol_CSP_parabol_Ag_GaAs</t>
  </si>
  <si>
    <t>Sol_CSP_tower_Ag_GaAs</t>
  </si>
  <si>
    <t>Aluminum</t>
  </si>
  <si>
    <t>Boron</t>
  </si>
  <si>
    <t>Cadmium</t>
  </si>
  <si>
    <t>Chromium</t>
  </si>
  <si>
    <t>Cobalt</t>
  </si>
  <si>
    <t>Concrete</t>
  </si>
  <si>
    <t>Copper</t>
  </si>
  <si>
    <t>Dysprosium</t>
  </si>
  <si>
    <t>Gallium</t>
  </si>
  <si>
    <t>Germanium</t>
  </si>
  <si>
    <t>Glass</t>
  </si>
  <si>
    <t>Hafnium</t>
  </si>
  <si>
    <t>Indium</t>
  </si>
  <si>
    <t>Iron</t>
  </si>
  <si>
    <t>Lead</t>
  </si>
  <si>
    <t>Lithium</t>
  </si>
  <si>
    <t>Magnesium</t>
  </si>
  <si>
    <t>Manganese</t>
  </si>
  <si>
    <t>Molybdenum</t>
  </si>
  <si>
    <t>Neodymium</t>
  </si>
  <si>
    <t>Nickel</t>
  </si>
  <si>
    <t>Niobium</t>
  </si>
  <si>
    <t>Polymers</t>
  </si>
  <si>
    <t>Praesodymium</t>
  </si>
  <si>
    <t>Selenium</t>
  </si>
  <si>
    <t>Silicon</t>
  </si>
  <si>
    <t>Silver</t>
  </si>
  <si>
    <t>Tantalum</t>
  </si>
  <si>
    <t>Tellurium</t>
  </si>
  <si>
    <t>Terbium</t>
  </si>
  <si>
    <t>Tin</t>
  </si>
  <si>
    <t>Tungsten</t>
  </si>
  <si>
    <t>Vanadium</t>
  </si>
  <si>
    <t>Yttrium</t>
  </si>
  <si>
    <t>Zinc</t>
  </si>
  <si>
    <t>Zirconium</t>
  </si>
  <si>
    <t>PV Panel</t>
  </si>
  <si>
    <t>PV Plant</t>
  </si>
  <si>
    <t>Framed module</t>
  </si>
  <si>
    <t>Drameless CdTe (thin film)</t>
  </si>
  <si>
    <t>c-Si</t>
  </si>
  <si>
    <t xml:space="preserve">OpenLCA  Analysis
 'Multi Si - 570 kWp' </t>
  </si>
  <si>
    <t>2741, 300, 250, 884, 825, 943</t>
  </si>
  <si>
    <t xml:space="preserve">Gallium </t>
  </si>
  <si>
    <t xml:space="preserve">Germanium </t>
  </si>
  <si>
    <t>336, 6, 5.53, 6.32, 72, 39</t>
  </si>
  <si>
    <t>1.1, 1.3, 1.3, 1</t>
  </si>
  <si>
    <t>84, 10, 24, 19, 10, 29, 80, 35.6, 19, 36, 4, 47, 57, 17, 59, 68.17, 5…</t>
  </si>
  <si>
    <t>Fiability of the data</t>
  </si>
  <si>
    <t>Glass/ carbon composites</t>
  </si>
  <si>
    <t>Mostly Onshore</t>
  </si>
  <si>
    <t>Hybride</t>
  </si>
  <si>
    <t>GB-DFIG (et SCIG)</t>
  </si>
  <si>
    <t>PWR</t>
  </si>
  <si>
    <t>HTGR</t>
  </si>
  <si>
    <t>FBR</t>
  </si>
  <si>
    <t>Boiling water power plant</t>
  </si>
  <si>
    <t>Silicium</t>
  </si>
  <si>
    <t>Natural gas</t>
  </si>
  <si>
    <t>(Edmondson, 2024)</t>
  </si>
  <si>
    <t>Ind</t>
  </si>
  <si>
    <t>PM</t>
  </si>
  <si>
    <t>(IRENA, 2024)</t>
  </si>
  <si>
    <t>Na-ion</t>
  </si>
  <si>
    <t>Gr-LMO</t>
  </si>
  <si>
    <t>Gr-NCA</t>
  </si>
  <si>
    <t>Gr-NMC</t>
  </si>
  <si>
    <t>Gr-LMFP</t>
  </si>
  <si>
    <t>Gr-LFP</t>
  </si>
  <si>
    <t>Scenario</t>
  </si>
  <si>
    <t>value</t>
  </si>
  <si>
    <t>Ref  1</t>
  </si>
  <si>
    <t>Ref 2</t>
  </si>
  <si>
    <t>STEP</t>
  </si>
  <si>
    <t>ICEV</t>
  </si>
  <si>
    <t>(Fernando Aguilar Lopez et al. , 2022)</t>
  </si>
  <si>
    <t>(IEA)</t>
  </si>
  <si>
    <t>BEV</t>
  </si>
  <si>
    <t>PHEV</t>
  </si>
  <si>
    <t>OTH</t>
  </si>
  <si>
    <t>SD</t>
  </si>
  <si>
    <t>Net Zero</t>
  </si>
  <si>
    <t>Stock_scenario</t>
  </si>
  <si>
    <t>Time</t>
  </si>
  <si>
    <t>Low</t>
  </si>
  <si>
    <t>Medium</t>
  </si>
  <si>
    <t>High</t>
  </si>
  <si>
    <t>Metal</t>
  </si>
  <si>
    <t>(Ayat et al., 2017)</t>
  </si>
  <si>
    <t>(Månberger &amp; Stenqvist, 2018)</t>
  </si>
  <si>
    <t>(Watari et al., 2018)</t>
  </si>
  <si>
    <t>Battery</t>
  </si>
  <si>
    <t>kWh</t>
  </si>
  <si>
    <t>Motor</t>
  </si>
  <si>
    <t>kW</t>
  </si>
  <si>
    <t>Metals</t>
  </si>
  <si>
    <t>SSP1</t>
  </si>
  <si>
    <t>SSP2</t>
  </si>
  <si>
    <t>SSP4</t>
  </si>
  <si>
    <t>Constant</t>
  </si>
  <si>
    <t>SSP5</t>
  </si>
  <si>
    <t>(Fishman and al. 2018)</t>
  </si>
  <si>
    <t>MS_Energy_Disag</t>
  </si>
  <si>
    <t>MS_Energy_Ag</t>
  </si>
  <si>
    <t>MS_Battery_Motor_LDV</t>
  </si>
  <si>
    <t>Market share in percentage by battery type between 2018 and 2050</t>
  </si>
  <si>
    <t xml:space="preserve">Current market share in percentage by motor type </t>
  </si>
  <si>
    <t>Share of light duty vehicles in IAM projections of Energy Transport Passenger, by IAM</t>
  </si>
  <si>
    <t>MS_Vehicle</t>
  </si>
  <si>
    <t>Market share in percentage by vehicle type between 1950 and 2050, for three different IEA scenario</t>
  </si>
  <si>
    <t>Vehicle_Stock</t>
  </si>
  <si>
    <t>Projection of vehicle stock in million of vehicles, for three scenario : low medium and high, from 1950 to 2050</t>
  </si>
  <si>
    <t>MI_EV</t>
  </si>
  <si>
    <t>Metal intensity of the vehicle body by vehicle type (ICEV, PHEV, BEV) in grams per vehicle</t>
  </si>
  <si>
    <t>Metal inensity of the vehicle battery by battery type, aggregated and disaggregated, in grams per kWh of battery</t>
  </si>
  <si>
    <t>Metal intensity of the vehicle motor by motor type, aggregated and disaggregated, in grams per vehicle</t>
  </si>
  <si>
    <t xml:space="preserve">Mean motor power (kW) and battery energy capacity (kWh) by vehicle type </t>
  </si>
  <si>
    <t>Calculated vehicle stat</t>
  </si>
  <si>
    <t>HEV</t>
  </si>
  <si>
    <t>EV</t>
  </si>
  <si>
    <t>Initial data</t>
  </si>
  <si>
    <t xml:space="preserve">Car Hybrid urban </t>
  </si>
  <si>
    <t xml:space="preserve">Car Hybrid-rural </t>
  </si>
  <si>
    <t>Car PHEV-urban</t>
  </si>
  <si>
    <t xml:space="preserve">Car PHEV - rural </t>
  </si>
  <si>
    <t>Car EV-urban</t>
  </si>
  <si>
    <t>Car EV-rural</t>
  </si>
  <si>
    <t>Battery (kWh)</t>
  </si>
  <si>
    <t>Motor (kw)</t>
  </si>
  <si>
    <t>Internal combustion engine vehicles</t>
  </si>
  <si>
    <t>plug-in hybrid electric vehicles</t>
  </si>
  <si>
    <t>battery electric vehicles</t>
  </si>
  <si>
    <t>Calcul ratio LDV</t>
  </si>
  <si>
    <t>Model</t>
  </si>
  <si>
    <t>Region</t>
  </si>
  <si>
    <t>Variable</t>
  </si>
  <si>
    <t>REMIND 2.1</t>
  </si>
  <si>
    <t>R2p1_SSP5-Base</t>
  </si>
  <si>
    <t>World</t>
  </si>
  <si>
    <t>Energy Service|Transportation|Passenger</t>
  </si>
  <si>
    <t>bn pkm/yr</t>
  </si>
  <si>
    <t>Energy Service|Transportation|Passenger|Road|LDV</t>
  </si>
  <si>
    <t>Share of LDV</t>
  </si>
  <si>
    <t>IMAGE 3.2</t>
  </si>
  <si>
    <t>SSP1_SPA1_26I_D</t>
  </si>
  <si>
    <t>IMAGE 3.3</t>
  </si>
  <si>
    <t>(Watari and al., 2019)</t>
  </si>
  <si>
    <t>Only the metals not in motors and battery are considered, copper is supposed only in battery and motors</t>
  </si>
  <si>
    <t>Fishman, T.; Myers, R.; Rios, O.; Graedel, T.E. Implications of Emerging Vehicle Technologies on Rare Earth Supply and Demand in the United States. Resources 2018, 7, 9.</t>
  </si>
  <si>
    <t xml:space="preserve">It is considered that iron is made of 97.86% of steel. So steel is converted in iron by multiplying it with this percentage. </t>
  </si>
  <si>
    <t>MI_Battery</t>
  </si>
  <si>
    <t>IRENA (2024), Critical materials: Batteries for electric vehicles, International Renewable Energy Agency, Abu Dhabi.</t>
  </si>
  <si>
    <t>Aggregated : NMC and NCA calculated by IRENA based on the market share of each cathode possible. Graphite and Phosphore are excluded from the scope of this study</t>
  </si>
  <si>
    <t>Disaggregated : Precise NMC and NCA calculated based on the precise cathode MI of (IRENA, 2024), combined with the metal intensity of the total battery pack. Graphite and Phosphore are excluded from the scope of this study</t>
  </si>
  <si>
    <t>MI_Motors</t>
  </si>
  <si>
    <t>Substitution of copper in aluminium motors based on the wires ratio : Mass Aluminium wire= Mass Copper wires / 3.4</t>
  </si>
  <si>
    <t>MS_Battery</t>
  </si>
  <si>
    <t xml:space="preserve">Data for 2020 and 2030 based on IRENA projections. 2040 and 2050 derived from hypothesis based on IRENA scenario. Linear interpolation is made between 2030 and 2050 to obtain data for each year. </t>
  </si>
  <si>
    <t>MS_Motor</t>
  </si>
  <si>
    <t>Calcul of MS with exclusion of wound rotor synchronous motor because of a lack of metal intensity data, and a marginal market share. MS motors supposed fixed in time because of a lack of data</t>
  </si>
  <si>
    <t>Based on IEA estimations</t>
  </si>
  <si>
    <t>Ratio_LDV</t>
  </si>
  <si>
    <t>(AR6 Scenarios Database, IIASA, 2022)</t>
  </si>
  <si>
    <t>Edward Byers, Volker Krey, Elmar Kriegler, Keywan Riahi, Roberto Schaeffer, Jarmo Kikstra, Robin Lamboll, Zebedee Nicholls, Marit Sanstad, Chris Smith, Kaj-Ivar van der Wijst, Alaa Al Khourdajie, Franck Lecocq, Joana Portugal-Pereira, Yamina Saheb, Anders Strømann, Harald Winkler, Cornelia Auer, Elina Brutschin, Matthew Gidden, Philip Hackstock, Mathijs Harmsen, Daniel Huppmann, Peter Kolp, Claire Lepault, Jared Lewis, Giacomo Marangoni, Eduardo Müller-Casseres, Ragnhild Skeie, Michaela Werning, Katherine Calvin, Piers Forster, Celine Guivarch, Tomoko Hasegawa, Malte Meinshausen, Glen Peters, Joeri Rogelj, Bjorn Samset, Julia Steinberger, Massimo Tavoni, Detlef van Vuuren. 
AR6 Scenarios Database hosted by IIASA
International Institute for Applied Systems Analysis, 2022.
doi: 10.5281/zenodo.5886911 | url: data.ece.iiasa.ac.at/ar6/</t>
  </si>
  <si>
    <t>Calculation of LDV shares from the IIASA AR6 database, by dividing the Energy Service|Transportation|Passenger|Road|LDV by the total Energy Service|Transportation|Passenger. Use of the IAM marker data for each scenario. Generalization to other scenarios if necessary, as little variation is identified between scenarios.</t>
  </si>
  <si>
    <t xml:space="preserve"> (Edelenbosch et al., 2017)</t>
  </si>
  <si>
    <t>MS_Energy</t>
  </si>
  <si>
    <t>Hypothesis</t>
  </si>
  <si>
    <t>MI_Energy</t>
  </si>
  <si>
    <t>MI_VehicleBody</t>
  </si>
  <si>
    <t>Sector</t>
  </si>
  <si>
    <t>Storage</t>
  </si>
  <si>
    <t>APS</t>
  </si>
  <si>
    <t>t/yr</t>
  </si>
  <si>
    <t>(International Energy Agency, 2024)</t>
  </si>
  <si>
    <t>Graphite</t>
  </si>
  <si>
    <t>NZE</t>
  </si>
  <si>
    <t>SPS</t>
  </si>
  <si>
    <t>Grid_Network</t>
  </si>
  <si>
    <t>t/year</t>
  </si>
  <si>
    <t>(Pedneault et al., 2022)</t>
  </si>
  <si>
    <t>(Kermeli et al., 2022)</t>
  </si>
  <si>
    <t>(McNeil et al., 2023)</t>
  </si>
  <si>
    <t>Non-Battery mass + Portable Demand are considered. 
Demand for ESS supposed to be included in IEA demand storage data)</t>
  </si>
  <si>
    <t>(Rostek et al., 2023)</t>
  </si>
  <si>
    <t>Metal intensity of the economy in time</t>
  </si>
  <si>
    <t>year</t>
  </si>
  <si>
    <t>group</t>
  </si>
  <si>
    <t>kg / USD</t>
  </si>
  <si>
    <t>Metal intensity reduction by year</t>
  </si>
  <si>
    <t>(OECD, 2019, Fig 5.8)</t>
  </si>
  <si>
    <t>Percentage of reduction per decade</t>
  </si>
  <si>
    <t>(OECD, 2019)</t>
  </si>
  <si>
    <t>Mean metal intensity reduction by decade</t>
  </si>
  <si>
    <t xml:space="preserve">Estimation of the metal intensity reduction of the economy by decade, between 2030 and 2050. </t>
  </si>
  <si>
    <t>Demand_Grid_Storage</t>
  </si>
  <si>
    <t>Metal demand for the grid network sector and storage sector by metals, based on three IEA scenario, in tons of metals per year</t>
  </si>
  <si>
    <t>Red spreadsheet represent data used to estimate metal demand from grid, storage, rest of the economy</t>
  </si>
  <si>
    <t>Demand_RoE_Litt</t>
  </si>
  <si>
    <t xml:space="preserve">Estimation of metal demand for the rest of the economy in the literature, by metals and scenario, in tons by year. </t>
  </si>
  <si>
    <t>Met_Inten_Reduc_RoE</t>
  </si>
  <si>
    <t>Yellow spreadsheets represent data used for the metal intensities of Evs and energy sources</t>
  </si>
  <si>
    <t>Blue spreadsheets represent data used for market shares of electric vehicles (EVs) and energy sources</t>
  </si>
  <si>
    <t>International Energy Agency. (2024). Critical minerals data explorer – Data tools. Retrieved October 8, 2024, from https://www.iea.org/data-and-statistics/data-tools/critical-minerals-data-explorer</t>
  </si>
  <si>
    <t xml:space="preserve">In the code, demand is linearized for missing years. </t>
  </si>
  <si>
    <t>International Energy Agency. (2024). Critical minerals data explorer – Data tools. https://www.iea.org/data-and-statistics/data-tools/critical-minerals-data-explorer</t>
  </si>
  <si>
    <t>OECD. (2019). Global Material Resources Outlook to 2060 : Economic Drivers and Environmental Consequences. OECD. https://doi.org/10.1787/9789264307452-en</t>
  </si>
  <si>
    <t>Spreadsheet_name</t>
  </si>
  <si>
    <t>Green spreadsheets represent data used in the optimization model for energy constraints</t>
  </si>
  <si>
    <t>Table of content</t>
  </si>
  <si>
    <t>For any additionnal information on the study, please contact the author, Pénélope Bieuville, at : penelope.bieuville@gmail.com</t>
  </si>
  <si>
    <t>scenario</t>
  </si>
  <si>
    <t>vehicle_type</t>
  </si>
  <si>
    <t>Battery_type</t>
  </si>
  <si>
    <t>* Linear interpolation for 2040 and 2050 based on data from 2023 to 2030 that has a linear progression</t>
  </si>
  <si>
    <t>Current Trend Scenario</t>
  </si>
  <si>
    <t>* Battery MS of 2014 supposed equal to 2015</t>
  </si>
  <si>
    <t>MS_Battery : market share by battery type</t>
  </si>
  <si>
    <t>Motor_type</t>
  </si>
  <si>
    <t>MS</t>
  </si>
  <si>
    <t>MS_Motor : market share by motor tupe</t>
  </si>
  <si>
    <t>LDV_Share</t>
  </si>
  <si>
    <t>AIM/CGE</t>
  </si>
  <si>
    <t>AR6 Database</t>
  </si>
  <si>
    <t>GCAM4</t>
  </si>
  <si>
    <t>IMAGE</t>
  </si>
  <si>
    <t>MESSAGE-GLOBIOM</t>
  </si>
  <si>
    <t>LDV_Share : share of light duty vehicle by IAM</t>
  </si>
  <si>
    <t>Energy_Source</t>
  </si>
  <si>
    <t>CSP</t>
  </si>
  <si>
    <t>Gas</t>
  </si>
  <si>
    <t>Nuclear</t>
  </si>
  <si>
    <t>Solar</t>
  </si>
  <si>
    <t>Wind Offshore</t>
  </si>
  <si>
    <t>Wind Onshore</t>
  </si>
  <si>
    <t xml:space="preserve">Bioenergy_potential </t>
  </si>
  <si>
    <t>2020</t>
  </si>
  <si>
    <t>2030</t>
  </si>
  <si>
    <t>2040</t>
  </si>
  <si>
    <t>2050</t>
  </si>
  <si>
    <t>Optimal trend</t>
  </si>
  <si>
    <t>North America</t>
  </si>
  <si>
    <t>Technical-Remaining</t>
  </si>
  <si>
    <t>Technical -Ecological</t>
  </si>
  <si>
    <t>Economic-Remaining</t>
  </si>
  <si>
    <t>Economic-Ecological</t>
  </si>
  <si>
    <t>Biomass availability by decade</t>
  </si>
  <si>
    <t>Hydro availability by region</t>
  </si>
  <si>
    <t>Ref1</t>
  </si>
  <si>
    <t>Ref2</t>
  </si>
  <si>
    <t>g/vehicle</t>
  </si>
  <si>
    <t>(Watari et al., 2019)</t>
  </si>
  <si>
    <t>Metal intensity vehicle body</t>
  </si>
  <si>
    <t>Gr-NMC(111)</t>
  </si>
  <si>
    <t>Gr-NMC(433)</t>
  </si>
  <si>
    <t>Gr-NMC(532)</t>
  </si>
  <si>
    <t>Gr-NMC(622)</t>
  </si>
  <si>
    <t>Gr-NMC(811)</t>
  </si>
  <si>
    <t>Gr-NCA95</t>
  </si>
  <si>
    <t>Gr-NCA85</t>
  </si>
  <si>
    <t>Aggregated battery</t>
  </si>
  <si>
    <t>g/kWh</t>
  </si>
  <si>
    <t>Disaggregated battery</t>
  </si>
  <si>
    <t>Metal intensity by battery chemistry</t>
  </si>
  <si>
    <t>PM_Cu</t>
  </si>
  <si>
    <t>Ind_Cu</t>
  </si>
  <si>
    <t>PM_Al</t>
  </si>
  <si>
    <t>Ind_Al</t>
  </si>
  <si>
    <t>Aggregated motor</t>
  </si>
  <si>
    <t>The initial aggregated motors are considered to be all constructed with copper wires</t>
  </si>
  <si>
    <t>Disaggregated motor</t>
  </si>
  <si>
    <t>Metal intensity by motor type</t>
  </si>
  <si>
    <t>Vehicle part</t>
  </si>
  <si>
    <t>HyEV</t>
  </si>
  <si>
    <t>Vehicle statistics</t>
  </si>
  <si>
    <t>Sol_C-si</t>
  </si>
  <si>
    <t>Sol_Thin_Film</t>
  </si>
  <si>
    <t>Wind_Onshore</t>
  </si>
  <si>
    <t>Capacity..Electricity..Biomass</t>
  </si>
  <si>
    <t>Capacity..Electricity..Coal</t>
  </si>
  <si>
    <t>Capacity..Electricity..Gas</t>
  </si>
  <si>
    <t>Capacity..Electricity..Geothermal</t>
  </si>
  <si>
    <t>Capacity..Electricity..Hydro</t>
  </si>
  <si>
    <t>Capacity..Electricity..Nuclear</t>
  </si>
  <si>
    <t>Capacity..Electricity..Oil</t>
  </si>
  <si>
    <t>Capacity..Electricity..Solar</t>
  </si>
  <si>
    <t>Capacity..Electricity..Solar..CSP</t>
  </si>
  <si>
    <t>Capacity..Electricity..Solar..PV</t>
  </si>
  <si>
    <t>Capacity..Electricity..Wind..Onshore</t>
  </si>
  <si>
    <t>Capacity..Electricity..Wind..Offshore</t>
  </si>
  <si>
    <t>Capacity..Electricity..Wind</t>
  </si>
  <si>
    <t>IAM_Energy_Sources</t>
  </si>
  <si>
    <t>Decade</t>
  </si>
  <si>
    <t>Only metal intensity avaialble in the literature</t>
  </si>
  <si>
    <t>No comparison</t>
  </si>
  <si>
    <t>Small variabilityy in data</t>
  </si>
  <si>
    <t>Variability in data</t>
  </si>
  <si>
    <t>Important variability in data</t>
  </si>
  <si>
    <t>Different metal intensities found, each very different from others (10^2 ou +)</t>
  </si>
  <si>
    <t>Metal intensities quite different from others  (10^1)</t>
  </si>
  <si>
    <t xml:space="preserve">Metal intensities in the same order of magnitude </t>
  </si>
  <si>
    <t>Large-scale reservoir</t>
  </si>
  <si>
    <t>(Liang et al., 2022)</t>
  </si>
  <si>
    <t>REE</t>
  </si>
  <si>
    <t>Vehicle type</t>
  </si>
  <si>
    <t>Battery capacity</t>
  </si>
  <si>
    <t>Year</t>
  </si>
  <si>
    <t>European Commission. (n.d.). Electric vehicle model statistics. European Alternative Fuels Observatory. Retrieved August 7, 2025, from https://alternative-fuels-observatory.ec.europa.eu/policymakers-and-public-authorities/electric-vehicle-model-statistics</t>
  </si>
  <si>
    <t>(European Commission, 2023)</t>
  </si>
  <si>
    <t>(EV-Database, 2025)</t>
  </si>
  <si>
    <t>(EV Database, 2025)</t>
  </si>
  <si>
    <t>Adamas Intelligence. (2023, October 26). The average battery size of plug‑in hybrids is soaring: Average battery capacity of PHEVs up 27 % [Insight]. Retrieved August 7, 2025, from https://www.adamasintel.com/ev-increase-battery-capacity-average-kwh-phev-up-27-percent/</t>
  </si>
  <si>
    <t>(Adamas Intelligence, 2023)</t>
  </si>
  <si>
    <t>BEV &amp; PHEV</t>
  </si>
  <si>
    <t>China</t>
  </si>
  <si>
    <t>US</t>
  </si>
  <si>
    <t>(Edmondson, J, 2020)</t>
  </si>
  <si>
    <t>(IRENA, 2016)</t>
  </si>
  <si>
    <t>Technology</t>
  </si>
  <si>
    <t>Sub-technology</t>
  </si>
  <si>
    <t>Metal intensity</t>
  </si>
  <si>
    <t>Reference</t>
  </si>
  <si>
    <t>Comment</t>
  </si>
  <si>
    <t>Aggregated</t>
  </si>
  <si>
    <t>t/GW</t>
  </si>
  <si>
    <t>Wood energy</t>
  </si>
  <si>
    <t>Open LCA Analysis 'Wood energy'</t>
  </si>
  <si>
    <t>Fossil energy</t>
  </si>
  <si>
    <t>Calculated from steel</t>
  </si>
  <si>
    <t>Oil, coal, natural gas</t>
  </si>
  <si>
    <t>Oil, coal, natural gas ; Calculated from steel</t>
  </si>
  <si>
    <t>Hydroelectricity</t>
  </si>
  <si>
    <t>Nuclear aggregated</t>
  </si>
  <si>
    <t>(Dones, R. et al. 2007)</t>
  </si>
  <si>
    <t>(Moss et al. 2011)</t>
  </si>
  <si>
    <t>CSP parabolic trough</t>
  </si>
  <si>
    <t>CSP tower</t>
  </si>
  <si>
    <t>(Pihl et al., 2012)</t>
  </si>
  <si>
    <t>(World Bank Group, 2017)</t>
  </si>
  <si>
    <t xml:space="preserve">Only mention of boron in solar PV, excluded. </t>
  </si>
  <si>
    <t>17; 62; 138</t>
  </si>
  <si>
    <t>Mean value taken from past studies</t>
  </si>
  <si>
    <t>2; 4; 9</t>
  </si>
  <si>
    <t>7 ; 13 ; 28</t>
  </si>
  <si>
    <t>Calculated from steel ; Mean value taken from past studies</t>
  </si>
  <si>
    <t>17; 41; 161</t>
  </si>
  <si>
    <t>638; 2882; 6629</t>
  </si>
  <si>
    <t>19; 70; 156</t>
  </si>
  <si>
    <t>Vehicle battery</t>
  </si>
  <si>
    <t>LFP</t>
  </si>
  <si>
    <t>(ecoinvent Association v3.11, 2024)</t>
  </si>
  <si>
    <t>(battery production, Li-ion, LFP, rechargeable)</t>
  </si>
  <si>
    <t>(Gr-LFP)</t>
  </si>
  <si>
    <t>(Junne et al., 2020)</t>
  </si>
  <si>
    <t>(Liang et al., 2023)</t>
  </si>
  <si>
    <t xml:space="preserve">LMFP </t>
  </si>
  <si>
    <t>(Gr-LMFP)</t>
  </si>
  <si>
    <t>LMO</t>
  </si>
  <si>
    <t>(Gr-LMO)</t>
  </si>
  <si>
    <t xml:space="preserve">Na-NiCl </t>
  </si>
  <si>
    <t>battery production, Na-NiCl, rechargeable ; compared with Na-ion</t>
  </si>
  <si>
    <t>NCA</t>
  </si>
  <si>
    <t>(Gr-NCA)</t>
  </si>
  <si>
    <t>(battery production, Li-ion, NCA, rechargeable)</t>
  </si>
  <si>
    <t xml:space="preserve">NCA85 </t>
  </si>
  <si>
    <t>(Gr-NCA85)</t>
  </si>
  <si>
    <t xml:space="preserve">NCA95 </t>
  </si>
  <si>
    <t>(Gr-NCA95)</t>
  </si>
  <si>
    <t>NMC</t>
  </si>
  <si>
    <t>(Gr-NMC)</t>
  </si>
  <si>
    <t xml:space="preserve">NMC 111 </t>
  </si>
  <si>
    <t>(battery, Li-ion, NMC111, rechargeable)</t>
  </si>
  <si>
    <t xml:space="preserve"> (Gr-NMC(111))</t>
  </si>
  <si>
    <t>NMC 333</t>
  </si>
  <si>
    <t>NMC 433</t>
  </si>
  <si>
    <t>(Gr-NMC(433))</t>
  </si>
  <si>
    <t>NMC 532</t>
  </si>
  <si>
    <t>(battery production, Li-ion, NMC532, rechargeable)</t>
  </si>
  <si>
    <t>(Gr-NMC(532))</t>
  </si>
  <si>
    <t>NMC 622</t>
  </si>
  <si>
    <t xml:space="preserve"> (Gr-NMC(622))</t>
  </si>
  <si>
    <t xml:space="preserve">NMC 622 </t>
  </si>
  <si>
    <t>(battery production, Li-ion, NMC622, rechargeable)</t>
  </si>
  <si>
    <t>NMC 811</t>
  </si>
  <si>
    <t xml:space="preserve"> (battery production, Li-ion, NMC811, rechargeable)</t>
  </si>
  <si>
    <t xml:space="preserve"> (Gr-NMC(811))</t>
  </si>
  <si>
    <t>NMC 811/955</t>
  </si>
  <si>
    <t>Vehicle body</t>
  </si>
  <si>
    <t>(Watari et al., 2019; Fishman and al. 2018)</t>
  </si>
  <si>
    <t>Vehicle motor</t>
  </si>
  <si>
    <t>kg/kW</t>
  </si>
  <si>
    <t>Compared with other data by using an hypothesis of 70 kW per vehicle</t>
  </si>
  <si>
    <t>Motor without PM ; Compared with other data by using an hypothesis of 70 kW per vehicle</t>
  </si>
  <si>
    <t>Mostly onshore</t>
  </si>
  <si>
    <t>Mostly offshore</t>
  </si>
  <si>
    <t>Wind farm</t>
  </si>
  <si>
    <t>Induction</t>
  </si>
  <si>
    <t>(U.S. Department of Energy., 2011)</t>
  </si>
  <si>
    <t>Mostly onshore ; Calculated from steel</t>
  </si>
  <si>
    <t>Mostly offshore ; Calculated from steel</t>
  </si>
  <si>
    <t>Mostly Onshore ; Calculated from steel</t>
  </si>
  <si>
    <t>Hybride ; Calculated from steel</t>
  </si>
  <si>
    <t>Pedneault, J., Majeau‐Bettez, G., Pauliuk, S., et Margni, M. (2022). Sector‐specific scenarios for future stocks and flows of aluminum : An analysis based on shared socioeconomic pathways. Journal of Industrial Ecology, 26(5), 1728‑1746. https://doi.org/10.1111/jiec.13321</t>
  </si>
  <si>
    <t>Kermeli, K., Edelenbosch, O. Y., Crijns-Graus, W., Van Ruijven, B. J., Van Vuuren, D. P., et Worrell, E. (2022). Improving material projections in Integrated Assessment Models : The use of a stock-based versus a flow-based approach for the iron and steel industry. Energy, 239, 122434. https://doi.org/10.1016/j.energy.2021.122434</t>
  </si>
  <si>
    <t>Rostek, L., Pirard, E., et Loibl, A. (2023). The future availability of zinc : Potential contributions from recycling and necessary ones from mining. Resources, Conservation et Recycling Advances, 19, 200166. https://doi.org/10.1016/j.rcradv.2023.200166</t>
  </si>
  <si>
    <t>Edelenbosch, O. Y., McCollum, D. L., Van Vuuren, D. P., Bertram, C., Carrara, S., Daly, H., Fujimori, S., Kitous, A., Kyle, P., Ó Broin, E., Karkatsoulis, P., et Sano, F. (2017). Decomposing passenger transport futures : Comparing results of global integrated assessment models. Transportation Research Part D: Transport and Environment, 55, 281‑293. https://doi.org/10.1016/j.trd.2016.07.003</t>
  </si>
  <si>
    <t>Fernando Aguilar Lopez, Romain G. Billy, et Daniel B. Müller. (2022). Code and data for the article: Evaluating strategies for managing resource use in lithium-ion batteries for electric vehicles using the global MATILDA model. https://doi.org/10.5281/zenodo.7252046</t>
  </si>
  <si>
    <t>Fernando Aguilar Lopez, Romain G. Billy, et Daniel B. Müller. (2022). Code and data for the article: Evaluating strategies for managing resource use in lithium-ion batteries for electric vehicles using the global MATILDA model. https://doi.org/10.5281/zenodo.7252047</t>
  </si>
  <si>
    <t>Alami, A. H., Olabi, A. G., Mdallal, A., Rezk, A., Radwan, A., Rahman, S. M. A., Shah, S. K., et Abdelkareem, M. A. (2023). Concentrating solar power (CSP) technologies : Status and analysis. International Journal of Thermofluids, 18, 100340. https://doi.org/10.1016/j.ijft.2023.100340</t>
  </si>
  <si>
    <t>Tokimatsu, K., Wachtmeister, H., McLellan, B., Davidsson, S., Murakami, S., Höök, M., Yasuoka, R., et Nishio, M. (2017). Energy modeling approach to the global energy-mineral nexus : A first look at metal requirements and the 2 °C target. Applied Energy, 207, 494‑509. https://doi.org/10.1016/j.apenergy.2017.05.151</t>
  </si>
  <si>
    <t>Bolson, N., Prieto, P., et Patzek, T. (2022). Capacity factors for electrical power generation from renewable and nonrenewable sources. Proceedings of the National Academy of Sciences, 119(52), e2205429119. https://doi.org/10.1073/pnas.2205429119</t>
  </si>
  <si>
    <t>Errera, M. R., Dias, T. A. da C., Maya, D. M. Y., et Lora, E. E. S. (2023). Global bioenergy potentials projections for 2050. Biomass and Bioenergy, 170, 106721. https://doi.org/10.1016/j.biombioe.2023.106721</t>
  </si>
  <si>
    <t>Watari, T., McLellan, B. C., Giurco, D., Dominish, E., Yamasue, E., et Nansai, K. (2019). Total material requirement for the global energy transition to 2050 : A focus on transport and electricity. Resources, Conservation and Recycling, 148, 91‑103. https://doi.org/10.1016/j.resconrec.2019.05.015</t>
  </si>
  <si>
    <t>(Månberger et Stenqvist, 2018)</t>
  </si>
  <si>
    <t>Månberger, A., et Stenqvist, B. (2018). Global metal flows in the renewable energy transition : Exploring the effects of substitutes, technological mix and development. Energy Policy, 119, 226‑241. https://doi.org/10.1016/j.enpol.2018.04.056</t>
  </si>
  <si>
    <t>Copper use based on (Månberger et Stenqvist, 2018) results : 60% of EV urban vs 40% of EV rural</t>
  </si>
  <si>
    <t>Ayat, S., Wrobel, R., Baker, J., et Drury, D. (2017). A comparative study between aluminium and copper windings for a modular-wound IPM electric machine. 2017 IEEE International Electric Machines and Drives Conference (IEMDC), 1‑8. https://doi.org/10.1109/IEMDC.2017.8002010</t>
  </si>
  <si>
    <t>Watari, T., McLellan, B., Ogata, S., et Tezuka, T. (2018). Analysis of Potential for Critical Metal Resource Constraints in the International Energy Agency’s Long-Term Low-Carbon Energy Scenarios. Minerals, 8(4), 156. https://doi.org/10.3390/min8040156*</t>
  </si>
  <si>
    <t>Hp based on (Månberger et Stenqvist, 2018) results : 60% of EV urban vs 40% of EV rural. Supposed the same for each vehicle type</t>
  </si>
  <si>
    <t>Edmondson, J. (2020). Electric car sales, models et technologies database. IDTechEx. [Dataset available upon purchase]</t>
  </si>
  <si>
    <t>Van Oorschot, J., Sprecher, B., Roelofs, B., Van Der Horst, J., et Van Der Voet, E. (2022). Towards a low-carbon and circular economy : Scenarios for metal stocks and flows in the Dutch electricity system. Resources, Conservation and Recycling, 178, 106105. https://doi.org/10.1016/j.resconrec.2021.106105</t>
  </si>
  <si>
    <t>(Tokimatsu et al, 2017)</t>
  </si>
  <si>
    <t>(Dones et al., 2007)</t>
  </si>
  <si>
    <t>Moss, R. L., Tzimas, E., Kara, H., Willis, P., et Kooroshy, J. (2013). The potential risks from metals bottlenecks to the deployment of Strategic Energy Technologies. Energy Policy, 55, 556‑564. https://doi.org/10.1016/j.enpol.2012.12.053</t>
  </si>
  <si>
    <t>(ADEME et Cycleco, 2015)</t>
  </si>
  <si>
    <t>ADEME et Cycleco. (2015). Analyse du cycle de vie de la production d’électricité d’origine éolienne en France : conforme aux normes ISO 14040 – 14044 (Rapport final). ADEME / Cycleco.</t>
  </si>
  <si>
    <t>(Bodeker et al, 2010)</t>
  </si>
  <si>
    <t>(Fizaine et Court, 2015)</t>
  </si>
  <si>
    <t>Fizaine, F., et Court, V. (2015). Renewable electricity producing technologies and metal depletion : A sensitivity analysis using the EROI. Ecological Economics, 110, 106‑118. https://doi.org/10.1016/j.ecolecon.2014.12.001</t>
  </si>
  <si>
    <t>(Garrett, P., et Rønde, K., 2011)</t>
  </si>
  <si>
    <t>Garrett, P., et Rønde, K. (2011). Life cycle assessment of electricity production from a V90-2.0 MW GridStreamer wind plant. Vestas Wind Systems A/S. https://www.vestas.com/content/dam/vestas-com/global/en/sustainability/reports-and-ratings/lcas/LCA_V902MW_version1.pdf</t>
  </si>
  <si>
    <t>(Karlsdóttir et al., 2015)</t>
  </si>
  <si>
    <t>(Kavlak et al, 2015)</t>
  </si>
  <si>
    <t>Kavlak, G., McNerney, J., Jaffe, R. L., et Trancik, J. E. (2015). Metal production requirements for rapid photovoltaics deployment. Energy et Environmental Science, 8(6), 1651‑1659. https://doi.org/10.1039/C5EE00585J</t>
  </si>
  <si>
    <t>Liang, Y., Kleijn, R., Tukker, A., et van der Voet, E. (2022). Material requirements for low-carbon energy technologies : A quantitative review. Renewable and Sustainable Energy Reviews, 161, 112334. https://doi.org/10.1016/j.rser.2022.112334</t>
  </si>
  <si>
    <t>(McNulty et al, 2022)</t>
  </si>
  <si>
    <t>McNulty, B. A., et Jowitt, S. M. (2022). Byproduct critical metal supply and demand and implications for the energy transition : A case study of tellurium supply and CdTe PV demand. Renewable and Sustainable Energy Reviews, 168, 112838. https://doi.org/10.1016/j.rser.2022.112838</t>
  </si>
  <si>
    <t>(Sulivan et al., 2010)</t>
  </si>
  <si>
    <t>World Bank (2017): The Growing Role of Minerals and Metals for a low Carbon Future. Washington, DC.</t>
  </si>
  <si>
    <t>(Dong et al., 2025)</t>
  </si>
  <si>
    <t>Dong, H., Zhang, T., Geng, Y., Wang, P., Zhang, S., &amp; Sarkis, J. (2025). Sub-technology market share strongly affects critical material constraints in power system transitions. Nature Communications, 16(1), 1285. https://doi.org/10.1038/s41467-025-56592-5</t>
  </si>
  <si>
    <t>Liang, Y., Kleijn, R., &amp; Van Der Voet, E. (2023). Increase in demand for critical materials under IEA Net-Zero emission by 2050 scenario. Applied Energy, 346, 121400. https://doi.org/10.1016/j.apenergy.2023.121400</t>
  </si>
  <si>
    <t>ecoinvent Association. (2024). ecoinvent database v3.11. Retrieved from https://ecoinvent.org/ecoinvent-v3-11</t>
  </si>
  <si>
    <t>Tobias Junne, Niklas Wulff, Christian Breyer, Tobias Naegler, Critical materials in global low-carbon energy scenarios: The case for neodymium, dysprosium, lithium, and cobalt, Energy, Volume 211, 2020, 118532, ISSN 0360-5442, https://doi.org/10.1016/j.energy.2020.118532.</t>
  </si>
  <si>
    <t>Battery_Capacity</t>
  </si>
  <si>
    <r>
      <t xml:space="preserve">Edmondson, J. (2024, août 27). </t>
    </r>
    <r>
      <rPr>
        <i/>
        <sz val="11"/>
        <rFont val="Calibri"/>
        <family val="2"/>
        <scheme val="minor"/>
      </rPr>
      <t>Electric Motors for Electric Vehicles 2025-2035 : Technologies, Materials, Markets, and Forecasts : IDTechEx</t>
    </r>
    <r>
      <rPr>
        <sz val="11"/>
        <rFont val="Calibri"/>
        <family val="2"/>
        <scheme val="minor"/>
      </rPr>
      <t>. IDTechEx. https://www.idtechex.com/en/research-report/electric-motors-for-electric-vehicles-2025-2035-technologies-materials-markets-and-forecasts/1031</t>
    </r>
  </si>
  <si>
    <r>
      <t xml:space="preserve">EV‑Database. (2025.). </t>
    </r>
    <r>
      <rPr>
        <i/>
        <sz val="11"/>
        <rFont val="Calibri"/>
        <family val="2"/>
        <scheme val="minor"/>
      </rPr>
      <t>Useable battery capacity of full electric vehicles [Cheatsheet]</t>
    </r>
    <r>
      <rPr>
        <sz val="11"/>
        <rFont val="Calibri"/>
        <family val="2"/>
        <scheme val="minor"/>
      </rPr>
      <t>. Retrieved August 7, 2025, from https://ev‑database.org/cheatsheet/useable‑battery‑capacity‑electric‑car</t>
    </r>
  </si>
  <si>
    <r>
      <t xml:space="preserve">U.S. Department of Energy. (2011). </t>
    </r>
    <r>
      <rPr>
        <i/>
        <sz val="11"/>
        <rFont val="Calibri"/>
        <family val="2"/>
        <scheme val="minor"/>
      </rPr>
      <t>Critical materials strategy</t>
    </r>
    <r>
      <rPr>
        <sz val="11"/>
        <rFont val="Calibri"/>
        <family val="2"/>
        <scheme val="minor"/>
      </rPr>
      <t xml:space="preserve"> (Office of Policy and International Affairs, direction : David Sandalow). U.S. Department of Energy. https://doi.org/10.2172/1000846</t>
    </r>
  </si>
  <si>
    <r>
      <t>McNeil, Brent and Billy, Romain and Aguilar Lopez, Fernando and Petavratzi, Evi and Muller, Daniel, Insufficient Lithium Supply is Likely to Slow Down the Transition to Electrified Transport. Available at SSRN: </t>
    </r>
    <r>
      <rPr>
        <sz val="8"/>
        <rFont val="NexusSansWebPro"/>
      </rPr>
      <t>https://ssrn.com/abstract=4662605 or http://dx.doi.org/10.2139/ssrn.4662605</t>
    </r>
  </si>
  <si>
    <t>Calculated based on Månberger &amp; Stenqvist (2018)</t>
  </si>
  <si>
    <t>(Sullivan et al., 2010)</t>
  </si>
  <si>
    <t>(Van Oorschot et al., 2022), (Bauer 2007, Moss et al 2011)</t>
  </si>
  <si>
    <t>(Watari et al. 2019), (Ashby, 2013)</t>
  </si>
  <si>
    <t>(Moss et al. 2013)</t>
  </si>
  <si>
    <t>(Bodeker et al, 2010 )</t>
  </si>
  <si>
    <t>For c-Si, CIGS et CdTe</t>
  </si>
  <si>
    <t>Max MI is the 2015 level, others are Low et medium</t>
  </si>
  <si>
    <t>For c-Si, CIGS et CdTe ; Mean value taken from past studies</t>
  </si>
  <si>
    <t>Onshore DD et AG</t>
  </si>
  <si>
    <t>(Dones R. et al., 2007)</t>
  </si>
  <si>
    <t>MI</t>
  </si>
  <si>
    <t>Comparison of the battery capacities from the literature.</t>
  </si>
  <si>
    <r>
      <t xml:space="preserve">Supplemebtary data 1/2, from :
Metal bottlenecks along energy transitions call for technology flexibility and sobriety
</t>
    </r>
    <r>
      <rPr>
        <sz val="11"/>
        <color theme="1"/>
        <rFont val="Calibri"/>
        <family val="2"/>
        <scheme val="minor"/>
      </rPr>
      <t>by Pénélope Bieuville, Guillaume Majeau Bettez and Anne de Bortoli, 2025</t>
    </r>
  </si>
  <si>
    <t>Comparison of the metal intensities from the literature for each energy source end vehicles, with a fiability study of data (see legend).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</si>
</sst>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_-* #,##0.00\ _€_-;\-* #,##0.00\ _€_-;_-* &quot;-&quot;??\ _€_-;_-@_-"/>
    <numFmt numFmtId="165" formatCode="0.0%"/>
    <numFmt numFmtId="166" formatCode="_-* #,##0_-;\-* #,##0_-;_-* &quot;-&quot;??_-;_-@_-"/>
  </numFmts>
  <fonts count="14" x14ac:knownFonts="1">
    <font>
      <sz val="11"/>
      <color theme="1"/>
      <name val="Calibri"/>
      <family val="2"/>
      <scheme val="minor"/>
    </font>
    <font>
      <sz val="11"/>
      <color theme="1"/>
      <name val="Calibri"/>
      <family val="2"/>
      <scheme val="minor"/>
    </font>
    <font>
      <b/>
      <sz val="11"/>
      <color theme="1"/>
      <name val="Calibri"/>
      <family val="2"/>
      <scheme val="minor"/>
    </font>
    <font>
      <u/>
      <sz val="11"/>
      <color theme="10"/>
      <name val="Calibri"/>
      <family val="2"/>
      <scheme val="minor"/>
    </font>
    <font>
      <sz val="8"/>
      <name val="Calibri"/>
      <family val="2"/>
      <scheme val="minor"/>
    </font>
    <font>
      <i/>
      <sz val="11"/>
      <color theme="1"/>
      <name val="Calibri"/>
      <family val="2"/>
      <scheme val="minor"/>
    </font>
    <font>
      <sz val="12"/>
      <color theme="1"/>
      <name val="Times New Roman"/>
      <family val="1"/>
    </font>
    <font>
      <sz val="11"/>
      <name val="Calibri"/>
      <family val="2"/>
      <scheme val="minor"/>
    </font>
    <font>
      <b/>
      <sz val="11"/>
      <name val="Calibri"/>
      <family val="2"/>
      <scheme val="minor"/>
    </font>
    <font>
      <sz val="8"/>
      <color rgb="FF212529"/>
      <name val="Segoe UI"/>
      <family val="2"/>
    </font>
    <font>
      <b/>
      <sz val="10"/>
      <color rgb="FF000000"/>
      <name val="Calibri"/>
      <family val="2"/>
      <scheme val="minor"/>
    </font>
    <font>
      <sz val="8"/>
      <name val="NexusSansWebPro"/>
    </font>
    <font>
      <sz val="12"/>
      <name val="Calibri"/>
      <family val="2"/>
    </font>
    <font>
      <i/>
      <sz val="11"/>
      <name val="Calibri"/>
      <family val="2"/>
      <scheme val="minor"/>
    </font>
  </fonts>
  <fills count="21">
    <fill>
      <patternFill patternType="none"/>
    </fill>
    <fill>
      <patternFill patternType="gray125"/>
    </fill>
    <fill>
      <patternFill patternType="solid">
        <fgColor theme="0"/>
        <bgColor indexed="64"/>
      </patternFill>
    </fill>
    <fill>
      <patternFill patternType="solid">
        <fgColor theme="2" tint="-9.9978637043366805E-2"/>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2"/>
        <bgColor indexed="64"/>
      </patternFill>
    </fill>
    <fill>
      <patternFill patternType="solid">
        <fgColor theme="8" tint="0.79998168889431442"/>
        <bgColor indexed="64"/>
      </patternFill>
    </fill>
    <fill>
      <patternFill patternType="solid">
        <fgColor theme="0" tint="-0.14999847407452621"/>
        <bgColor indexed="64"/>
      </patternFill>
    </fill>
    <fill>
      <patternFill patternType="solid">
        <fgColor theme="3" tint="0.79998168889431442"/>
        <bgColor indexed="64"/>
      </patternFill>
    </fill>
    <fill>
      <patternFill patternType="solid">
        <fgColor theme="7" tint="0.59999389629810485"/>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rgb="FFFBE4D5"/>
        <bgColor indexed="64"/>
      </patternFill>
    </fill>
    <fill>
      <patternFill patternType="solid">
        <fgColor rgb="FFE2EFD9"/>
        <bgColor indexed="64"/>
      </patternFill>
    </fill>
    <fill>
      <patternFill patternType="solid">
        <fgColor rgb="FFFFF8E5"/>
        <bgColor indexed="64"/>
      </patternFill>
    </fill>
    <fill>
      <patternFill patternType="solid">
        <fgColor rgb="FFEAF3FA"/>
        <bgColor indexed="64"/>
      </patternFill>
    </fill>
  </fills>
  <borders count="50">
    <border>
      <left/>
      <right/>
      <top/>
      <bottom/>
      <diagonal/>
    </border>
    <border>
      <left style="medium">
        <color indexed="64"/>
      </left>
      <right/>
      <top style="medium">
        <color indexed="64"/>
      </top>
      <bottom/>
      <diagonal/>
    </border>
    <border>
      <left style="thin">
        <color indexed="64"/>
      </left>
      <right/>
      <top style="thin">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bottom/>
      <diagonal/>
    </border>
    <border>
      <left/>
      <right style="medium">
        <color indexed="64"/>
      </right>
      <top/>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diagonal/>
    </border>
    <border>
      <left/>
      <right style="thin">
        <color indexed="64"/>
      </right>
      <top/>
      <bottom/>
      <diagonal/>
    </border>
    <border>
      <left style="medium">
        <color indexed="64"/>
      </left>
      <right style="medium">
        <color indexed="64"/>
      </right>
      <top/>
      <bottom style="thin">
        <color indexed="64"/>
      </bottom>
      <diagonal/>
    </border>
    <border>
      <left style="medium">
        <color indexed="64"/>
      </left>
      <right/>
      <top/>
      <bottom style="thin">
        <color indexed="64"/>
      </bottom>
      <diagonal/>
    </border>
    <border>
      <left/>
      <right style="medium">
        <color indexed="64"/>
      </right>
      <top/>
      <bottom style="medium">
        <color indexed="64"/>
      </bottom>
      <diagonal/>
    </border>
    <border>
      <left/>
      <right style="thin">
        <color indexed="64"/>
      </right>
      <top/>
      <bottom style="thin">
        <color indexed="64"/>
      </bottom>
      <diagonal/>
    </border>
    <border>
      <left/>
      <right style="thin">
        <color indexed="64"/>
      </right>
      <top style="thin">
        <color indexed="64"/>
      </top>
      <bottom/>
      <diagonal/>
    </border>
    <border>
      <left/>
      <right style="medium">
        <color indexed="64"/>
      </right>
      <top/>
      <bottom style="thin">
        <color indexed="64"/>
      </bottom>
      <diagonal/>
    </border>
    <border>
      <left/>
      <right style="medium">
        <color indexed="64"/>
      </right>
      <top style="medium">
        <color indexed="64"/>
      </top>
      <bottom/>
      <diagonal/>
    </border>
    <border>
      <left/>
      <right style="medium">
        <color indexed="64"/>
      </right>
      <top style="medium">
        <color indexed="64"/>
      </top>
      <bottom style="medium">
        <color indexed="64"/>
      </bottom>
      <diagonal/>
    </border>
    <border>
      <left/>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style="thin">
        <color indexed="64"/>
      </left>
      <right/>
      <top/>
      <bottom/>
      <diagonal/>
    </border>
    <border>
      <left style="medium">
        <color indexed="64"/>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top style="medium">
        <color indexed="64"/>
      </top>
      <bottom style="medium">
        <color indexed="64"/>
      </bottom>
      <diagonal/>
    </border>
  </borders>
  <cellStyleXfs count="4">
    <xf numFmtId="0" fontId="0" fillId="0" borderId="0"/>
    <xf numFmtId="43" fontId="1" fillId="0" borderId="0" applyFont="0" applyFill="0" applyBorder="0" applyAlignment="0" applyProtection="0"/>
    <xf numFmtId="0" fontId="3" fillId="0" borderId="0" applyNumberFormat="0" applyFill="0" applyBorder="0" applyAlignment="0" applyProtection="0"/>
    <xf numFmtId="9" fontId="1" fillId="0" borderId="0" applyFont="0" applyFill="0" applyBorder="0" applyAlignment="0" applyProtection="0"/>
  </cellStyleXfs>
  <cellXfs count="295">
    <xf numFmtId="0" fontId="0" fillId="0" borderId="0" xfId="0"/>
    <xf numFmtId="0" fontId="0" fillId="2" borderId="0" xfId="0" applyFill="1"/>
    <xf numFmtId="0" fontId="2" fillId="0" borderId="0" xfId="0" applyFont="1"/>
    <xf numFmtId="0" fontId="0" fillId="2" borderId="0" xfId="0" applyFill="1" applyAlignment="1">
      <alignment horizontal="center"/>
    </xf>
    <xf numFmtId="0" fontId="0" fillId="0" borderId="4" xfId="0" applyBorder="1" applyAlignment="1">
      <alignment horizontal="center" vertical="center" wrapText="1"/>
    </xf>
    <xf numFmtId="0" fontId="0" fillId="2" borderId="4" xfId="0" applyFill="1" applyBorder="1"/>
    <xf numFmtId="0" fontId="0" fillId="0" borderId="4" xfId="0" applyBorder="1" applyAlignment="1">
      <alignment wrapText="1"/>
    </xf>
    <xf numFmtId="43" fontId="0" fillId="0" borderId="4" xfId="1" applyFont="1" applyBorder="1"/>
    <xf numFmtId="0" fontId="0" fillId="2" borderId="4" xfId="0" applyFill="1" applyBorder="1" applyAlignment="1">
      <alignment horizontal="center" vertical="center" wrapText="1"/>
    </xf>
    <xf numFmtId="0" fontId="0" fillId="0" borderId="8" xfId="0" applyBorder="1"/>
    <xf numFmtId="0" fontId="0" fillId="0" borderId="4" xfId="0" applyBorder="1"/>
    <xf numFmtId="0" fontId="0" fillId="9" borderId="2" xfId="0" applyFill="1" applyBorder="1"/>
    <xf numFmtId="43" fontId="0" fillId="2" borderId="4" xfId="1" applyFont="1" applyFill="1" applyBorder="1"/>
    <xf numFmtId="43" fontId="0" fillId="6" borderId="4" xfId="1" applyFont="1" applyFill="1" applyBorder="1"/>
    <xf numFmtId="0" fontId="0" fillId="6" borderId="4" xfId="0" applyFill="1" applyBorder="1"/>
    <xf numFmtId="0" fontId="0" fillId="0" borderId="10" xfId="0" applyBorder="1"/>
    <xf numFmtId="0" fontId="0" fillId="4" borderId="4" xfId="0" applyFill="1" applyBorder="1"/>
    <xf numFmtId="43" fontId="0" fillId="4" borderId="4" xfId="1" applyFont="1" applyFill="1" applyBorder="1"/>
    <xf numFmtId="43" fontId="0" fillId="7" borderId="4" xfId="1" applyFont="1" applyFill="1" applyBorder="1"/>
    <xf numFmtId="43" fontId="0" fillId="9" borderId="4" xfId="1" applyFont="1" applyFill="1" applyBorder="1"/>
    <xf numFmtId="0" fontId="0" fillId="7" borderId="4" xfId="0" applyFill="1" applyBorder="1"/>
    <xf numFmtId="0" fontId="0" fillId="9" borderId="4" xfId="0" applyFill="1" applyBorder="1"/>
    <xf numFmtId="0" fontId="2" fillId="6" borderId="4" xfId="0" applyFont="1" applyFill="1" applyBorder="1"/>
    <xf numFmtId="0" fontId="2" fillId="4" borderId="4" xfId="0" applyFont="1" applyFill="1" applyBorder="1"/>
    <xf numFmtId="0" fontId="0" fillId="5" borderId="4" xfId="0" applyFill="1" applyBorder="1"/>
    <xf numFmtId="0" fontId="0" fillId="5" borderId="4" xfId="0" applyFill="1" applyBorder="1" applyAlignment="1">
      <alignment horizontal="center"/>
    </xf>
    <xf numFmtId="43" fontId="0" fillId="0" borderId="4" xfId="1" applyFont="1" applyBorder="1" applyAlignment="1">
      <alignment horizontal="center"/>
    </xf>
    <xf numFmtId="0" fontId="2" fillId="5" borderId="4" xfId="0" applyFont="1" applyFill="1" applyBorder="1"/>
    <xf numFmtId="0" fontId="0" fillId="0" borderId="7" xfId="0" applyBorder="1"/>
    <xf numFmtId="0" fontId="0" fillId="3" borderId="4" xfId="0" applyFill="1" applyBorder="1"/>
    <xf numFmtId="0" fontId="2" fillId="3" borderId="4" xfId="0" applyFont="1" applyFill="1" applyBorder="1"/>
    <xf numFmtId="0" fontId="0" fillId="0" borderId="23" xfId="0" applyBorder="1"/>
    <xf numFmtId="0" fontId="0" fillId="0" borderId="15" xfId="0" applyBorder="1"/>
    <xf numFmtId="0" fontId="0" fillId="0" borderId="0" xfId="0" applyAlignment="1">
      <alignment horizontal="left"/>
    </xf>
    <xf numFmtId="9" fontId="0" fillId="0" borderId="4" xfId="0" applyNumberFormat="1" applyBorder="1"/>
    <xf numFmtId="0" fontId="5" fillId="0" borderId="0" xfId="0" applyFont="1"/>
    <xf numFmtId="0" fontId="2" fillId="12" borderId="0" xfId="0" applyFont="1" applyFill="1"/>
    <xf numFmtId="0" fontId="2" fillId="12" borderId="4" xfId="0" applyFont="1" applyFill="1" applyBorder="1"/>
    <xf numFmtId="0" fontId="0" fillId="0" borderId="4" xfId="0" applyBorder="1" applyAlignment="1">
      <alignment horizontal="left"/>
    </xf>
    <xf numFmtId="0" fontId="0" fillId="0" borderId="4" xfId="0" applyBorder="1" applyAlignment="1">
      <alignment horizontal="left" vertical="center"/>
    </xf>
    <xf numFmtId="0" fontId="0" fillId="0" borderId="4" xfId="0" applyBorder="1" applyAlignment="1">
      <alignment horizontal="left" vertical="center" wrapText="1" shrinkToFit="1"/>
    </xf>
    <xf numFmtId="0" fontId="0" fillId="0" borderId="4" xfId="0" applyBorder="1" applyAlignment="1">
      <alignment horizontal="left" wrapText="1"/>
    </xf>
    <xf numFmtId="0" fontId="0" fillId="0" borderId="4" xfId="0" applyBorder="1" applyAlignment="1">
      <alignment horizontal="left" vertical="center" wrapText="1"/>
    </xf>
    <xf numFmtId="0" fontId="0" fillId="0" borderId="4" xfId="0" applyBorder="1" applyAlignment="1">
      <alignment horizontal="center"/>
    </xf>
    <xf numFmtId="0" fontId="0" fillId="2" borderId="4" xfId="0" applyFill="1" applyBorder="1" applyAlignment="1">
      <alignment horizontal="left" vertical="center" wrapText="1"/>
    </xf>
    <xf numFmtId="0" fontId="0" fillId="2" borderId="4" xfId="0" applyFill="1" applyBorder="1" applyAlignment="1">
      <alignment horizontal="left" vertical="center"/>
    </xf>
    <xf numFmtId="9" fontId="0" fillId="0" borderId="4" xfId="3" applyFont="1" applyBorder="1"/>
    <xf numFmtId="0" fontId="2" fillId="12" borderId="4" xfId="0" applyFont="1" applyFill="1" applyBorder="1" applyAlignment="1">
      <alignment horizontal="center"/>
    </xf>
    <xf numFmtId="0" fontId="2" fillId="12" borderId="4" xfId="0" applyFont="1" applyFill="1" applyBorder="1" applyAlignment="1">
      <alignment horizontal="left"/>
    </xf>
    <xf numFmtId="0" fontId="2" fillId="7" borderId="4" xfId="0" applyFont="1" applyFill="1" applyBorder="1"/>
    <xf numFmtId="1" fontId="0" fillId="0" borderId="4" xfId="0" applyNumberFormat="1" applyBorder="1"/>
    <xf numFmtId="0" fontId="2" fillId="9" borderId="4" xfId="0" applyFont="1" applyFill="1" applyBorder="1"/>
    <xf numFmtId="0" fontId="2" fillId="13" borderId="4" xfId="0" applyFont="1" applyFill="1" applyBorder="1"/>
    <xf numFmtId="11" fontId="0" fillId="0" borderId="4" xfId="0" applyNumberFormat="1" applyBorder="1"/>
    <xf numFmtId="164" fontId="0" fillId="0" borderId="4" xfId="1" applyNumberFormat="1" applyFont="1" applyBorder="1"/>
    <xf numFmtId="0" fontId="2" fillId="5" borderId="0" xfId="0" applyFont="1" applyFill="1"/>
    <xf numFmtId="1" fontId="0" fillId="0" borderId="4" xfId="0" applyNumberFormat="1" applyBorder="1" applyAlignment="1">
      <alignment horizontal="left"/>
    </xf>
    <xf numFmtId="164" fontId="0" fillId="0" borderId="4" xfId="1" applyNumberFormat="1" applyFont="1" applyBorder="1" applyAlignment="1">
      <alignment horizontal="left"/>
    </xf>
    <xf numFmtId="0" fontId="6" fillId="0" borderId="0" xfId="0" applyFont="1"/>
    <xf numFmtId="0" fontId="6" fillId="0" borderId="27" xfId="0" applyFont="1" applyBorder="1"/>
    <xf numFmtId="1" fontId="0" fillId="0" borderId="0" xfId="0" applyNumberFormat="1"/>
    <xf numFmtId="0" fontId="0" fillId="2" borderId="14" xfId="0" applyFill="1" applyBorder="1"/>
    <xf numFmtId="0" fontId="6" fillId="2" borderId="1" xfId="0" applyFont="1" applyFill="1" applyBorder="1"/>
    <xf numFmtId="0" fontId="0" fillId="2" borderId="37" xfId="0" applyFill="1" applyBorder="1"/>
    <xf numFmtId="0" fontId="0" fillId="2" borderId="35" xfId="0" applyFill="1" applyBorder="1"/>
    <xf numFmtId="0" fontId="0" fillId="2" borderId="27" xfId="0" applyFill="1" applyBorder="1"/>
    <xf numFmtId="0" fontId="0" fillId="4" borderId="6" xfId="0" applyFill="1" applyBorder="1"/>
    <xf numFmtId="2" fontId="0" fillId="0" borderId="4" xfId="0" applyNumberFormat="1" applyBorder="1"/>
    <xf numFmtId="0" fontId="0" fillId="7" borderId="4" xfId="0" applyFill="1" applyBorder="1" applyAlignment="1">
      <alignment horizontal="center"/>
    </xf>
    <xf numFmtId="10" fontId="0" fillId="0" borderId="4" xfId="0" applyNumberFormat="1" applyBorder="1"/>
    <xf numFmtId="9" fontId="0" fillId="7" borderId="4" xfId="0" applyNumberFormat="1" applyFill="1" applyBorder="1"/>
    <xf numFmtId="165" fontId="0" fillId="0" borderId="4" xfId="3" applyNumberFormat="1" applyFont="1" applyBorder="1"/>
    <xf numFmtId="10" fontId="0" fillId="7" borderId="4" xfId="0" applyNumberFormat="1" applyFill="1" applyBorder="1"/>
    <xf numFmtId="0" fontId="0" fillId="0" borderId="27" xfId="0" applyBorder="1"/>
    <xf numFmtId="10" fontId="0" fillId="0" borderId="4" xfId="3" applyNumberFormat="1" applyFont="1" applyBorder="1"/>
    <xf numFmtId="0" fontId="0" fillId="5" borderId="4" xfId="3" applyNumberFormat="1" applyFont="1" applyFill="1" applyBorder="1"/>
    <xf numFmtId="9" fontId="0" fillId="2" borderId="4" xfId="3" applyFont="1" applyFill="1" applyBorder="1"/>
    <xf numFmtId="0" fontId="0" fillId="2" borderId="38" xfId="0" applyFill="1" applyBorder="1"/>
    <xf numFmtId="0" fontId="0" fillId="2" borderId="39" xfId="0" applyFill="1" applyBorder="1"/>
    <xf numFmtId="0" fontId="0" fillId="2" borderId="31" xfId="0" applyFill="1" applyBorder="1"/>
    <xf numFmtId="0" fontId="2" fillId="4" borderId="4" xfId="0" applyFont="1" applyFill="1" applyBorder="1" applyAlignment="1">
      <alignment horizontal="center"/>
    </xf>
    <xf numFmtId="0" fontId="2" fillId="14" borderId="4" xfId="0" applyFont="1" applyFill="1" applyBorder="1" applyAlignment="1">
      <alignment horizontal="center" vertical="center"/>
    </xf>
    <xf numFmtId="0" fontId="2" fillId="3" borderId="4" xfId="0" applyFont="1" applyFill="1" applyBorder="1" applyAlignment="1">
      <alignment horizontal="center" vertical="center"/>
    </xf>
    <xf numFmtId="43" fontId="0" fillId="6" borderId="11" xfId="1" applyFont="1" applyFill="1" applyBorder="1"/>
    <xf numFmtId="0" fontId="0" fillId="0" borderId="11" xfId="0" applyBorder="1"/>
    <xf numFmtId="166" fontId="0" fillId="7" borderId="4" xfId="1" applyNumberFormat="1" applyFont="1" applyFill="1" applyBorder="1"/>
    <xf numFmtId="0" fontId="2" fillId="0" borderId="4" xfId="0" applyFont="1" applyBorder="1"/>
    <xf numFmtId="0" fontId="0" fillId="7" borderId="4" xfId="0" applyFill="1" applyBorder="1" applyAlignment="1">
      <alignment horizontal="right" wrapText="1"/>
    </xf>
    <xf numFmtId="0" fontId="0" fillId="6" borderId="4" xfId="0" applyFill="1" applyBorder="1" applyAlignment="1">
      <alignment horizontal="right" wrapText="1"/>
    </xf>
    <xf numFmtId="0" fontId="0" fillId="18" borderId="4" xfId="0" applyFill="1" applyBorder="1" applyAlignment="1">
      <alignment horizontal="right" wrapText="1"/>
    </xf>
    <xf numFmtId="2" fontId="0" fillId="6" borderId="4" xfId="0" applyNumberFormat="1" applyFill="1" applyBorder="1" applyAlignment="1">
      <alignment horizontal="right" wrapText="1"/>
    </xf>
    <xf numFmtId="2" fontId="0" fillId="7" borderId="4" xfId="0" applyNumberFormat="1" applyFill="1" applyBorder="1" applyAlignment="1">
      <alignment horizontal="right" wrapText="1"/>
    </xf>
    <xf numFmtId="43" fontId="0" fillId="2" borderId="11" xfId="1" applyFont="1" applyFill="1" applyBorder="1"/>
    <xf numFmtId="0" fontId="0" fillId="10" borderId="4" xfId="0" applyFill="1" applyBorder="1"/>
    <xf numFmtId="0" fontId="0" fillId="0" borderId="17" xfId="0" applyBorder="1"/>
    <xf numFmtId="0" fontId="0" fillId="0" borderId="18" xfId="0" applyBorder="1"/>
    <xf numFmtId="0" fontId="2" fillId="4" borderId="4" xfId="0" applyFont="1" applyFill="1" applyBorder="1" applyAlignment="1">
      <alignment horizontal="center" vertical="center"/>
    </xf>
    <xf numFmtId="0" fontId="2" fillId="2" borderId="0" xfId="0" applyFont="1" applyFill="1"/>
    <xf numFmtId="0" fontId="2" fillId="10" borderId="4" xfId="0" applyFont="1" applyFill="1" applyBorder="1"/>
    <xf numFmtId="0" fontId="2" fillId="3" borderId="4" xfId="0" applyFont="1" applyFill="1" applyBorder="1" applyAlignment="1">
      <alignment horizontal="center" vertical="top"/>
    </xf>
    <xf numFmtId="0" fontId="2" fillId="0" borderId="4" xfId="0" applyFont="1" applyBorder="1" applyAlignment="1">
      <alignment horizontal="center" vertical="top"/>
    </xf>
    <xf numFmtId="0" fontId="0" fillId="7" borderId="26" xfId="0" applyFill="1" applyBorder="1"/>
    <xf numFmtId="0" fontId="2" fillId="14" borderId="36" xfId="0" applyFont="1" applyFill="1" applyBorder="1"/>
    <xf numFmtId="0" fontId="2" fillId="10" borderId="16" xfId="0" applyFont="1" applyFill="1" applyBorder="1"/>
    <xf numFmtId="0" fontId="0" fillId="0" borderId="16" xfId="0" applyBorder="1"/>
    <xf numFmtId="166" fontId="0" fillId="0" borderId="41" xfId="1" applyNumberFormat="1" applyFont="1" applyBorder="1"/>
    <xf numFmtId="0" fontId="0" fillId="0" borderId="21" xfId="0" applyBorder="1"/>
    <xf numFmtId="0" fontId="0" fillId="0" borderId="20" xfId="0" applyBorder="1"/>
    <xf numFmtId="0" fontId="8" fillId="14" borderId="4" xfId="0" applyFont="1" applyFill="1" applyBorder="1"/>
    <xf numFmtId="0" fontId="8" fillId="7" borderId="4" xfId="0" applyFont="1" applyFill="1" applyBorder="1"/>
    <xf numFmtId="0" fontId="8" fillId="12" borderId="4" xfId="0" applyFont="1" applyFill="1" applyBorder="1"/>
    <xf numFmtId="0" fontId="8" fillId="10" borderId="4" xfId="0" applyFont="1" applyFill="1" applyBorder="1"/>
    <xf numFmtId="0" fontId="7" fillId="2" borderId="4" xfId="0" applyFont="1" applyFill="1" applyBorder="1"/>
    <xf numFmtId="1" fontId="0" fillId="2" borderId="4" xfId="0" applyNumberFormat="1" applyFill="1" applyBorder="1"/>
    <xf numFmtId="0" fontId="2" fillId="3" borderId="0" xfId="0" applyFont="1" applyFill="1"/>
    <xf numFmtId="0" fontId="8" fillId="14" borderId="6" xfId="0" applyFont="1" applyFill="1" applyBorder="1"/>
    <xf numFmtId="0" fontId="8" fillId="3" borderId="28" xfId="0" applyFont="1" applyFill="1" applyBorder="1"/>
    <xf numFmtId="0" fontId="2" fillId="7" borderId="4" xfId="0" applyFont="1" applyFill="1" applyBorder="1" applyAlignment="1">
      <alignment horizontal="center" vertical="center"/>
    </xf>
    <xf numFmtId="0" fontId="2" fillId="6" borderId="4" xfId="0" applyFont="1" applyFill="1" applyBorder="1" applyAlignment="1">
      <alignment horizontal="center" vertical="center"/>
    </xf>
    <xf numFmtId="0" fontId="8" fillId="3" borderId="6" xfId="0" applyFont="1" applyFill="1" applyBorder="1"/>
    <xf numFmtId="0" fontId="9" fillId="0" borderId="0" xfId="0" applyFont="1" applyAlignment="1">
      <alignment wrapText="1"/>
    </xf>
    <xf numFmtId="0" fontId="9" fillId="0" borderId="0" xfId="0" applyFont="1"/>
    <xf numFmtId="0" fontId="5" fillId="2" borderId="4" xfId="0" applyFont="1" applyFill="1" applyBorder="1"/>
    <xf numFmtId="0" fontId="5" fillId="0" borderId="4" xfId="0" applyFont="1" applyBorder="1"/>
    <xf numFmtId="0" fontId="10" fillId="10" borderId="4" xfId="0" applyFont="1" applyFill="1" applyBorder="1"/>
    <xf numFmtId="49" fontId="2" fillId="10" borderId="4" xfId="0" applyNumberFormat="1" applyFont="1" applyFill="1" applyBorder="1" applyAlignment="1">
      <alignment horizontal="left"/>
    </xf>
    <xf numFmtId="0" fontId="2" fillId="3" borderId="13" xfId="0" applyFont="1" applyFill="1" applyBorder="1" applyAlignment="1">
      <alignment horizontal="center" vertical="top"/>
    </xf>
    <xf numFmtId="0" fontId="2" fillId="10" borderId="11" xfId="0" applyFont="1" applyFill="1" applyBorder="1" applyAlignment="1">
      <alignment vertical="top"/>
    </xf>
    <xf numFmtId="166" fontId="0" fillId="0" borderId="4" xfId="1" applyNumberFormat="1" applyFont="1" applyBorder="1" applyAlignment="1">
      <alignment horizontal="left" vertical="center"/>
    </xf>
    <xf numFmtId="166" fontId="0" fillId="0" borderId="4" xfId="1" applyNumberFormat="1" applyFont="1" applyBorder="1" applyAlignment="1">
      <alignment horizontal="left"/>
    </xf>
    <xf numFmtId="0" fontId="2" fillId="10" borderId="4" xfId="1" applyNumberFormat="1" applyFont="1" applyFill="1" applyBorder="1" applyAlignment="1">
      <alignment vertical="top"/>
    </xf>
    <xf numFmtId="0" fontId="0" fillId="0" borderId="4" xfId="1" applyNumberFormat="1" applyFont="1" applyFill="1" applyBorder="1" applyAlignment="1">
      <alignment horizontal="center" vertical="center"/>
    </xf>
    <xf numFmtId="166" fontId="0" fillId="0" borderId="4" xfId="1" applyNumberFormat="1" applyFont="1" applyBorder="1" applyAlignment="1">
      <alignment horizontal="center" vertical="top"/>
    </xf>
    <xf numFmtId="166" fontId="0" fillId="0" borderId="4" xfId="1" applyNumberFormat="1" applyFont="1" applyBorder="1"/>
    <xf numFmtId="166" fontId="0" fillId="0" borderId="4" xfId="1" applyNumberFormat="1" applyFont="1" applyFill="1" applyBorder="1" applyAlignment="1">
      <alignment horizontal="center" vertical="top"/>
    </xf>
    <xf numFmtId="0" fontId="2" fillId="10" borderId="4" xfId="0" applyFont="1" applyFill="1" applyBorder="1" applyAlignment="1">
      <alignment vertical="top"/>
    </xf>
    <xf numFmtId="166" fontId="0" fillId="0" borderId="4" xfId="1" applyNumberFormat="1" applyFont="1" applyFill="1" applyBorder="1"/>
    <xf numFmtId="166" fontId="0" fillId="0" borderId="4" xfId="1" applyNumberFormat="1" applyFont="1" applyBorder="1" applyAlignment="1">
      <alignment horizontal="center" vertical="center"/>
    </xf>
    <xf numFmtId="0" fontId="0" fillId="10" borderId="4" xfId="0" applyFill="1" applyBorder="1" applyAlignment="1">
      <alignment horizontal="center"/>
    </xf>
    <xf numFmtId="0" fontId="2" fillId="3" borderId="6" xfId="0" applyFont="1" applyFill="1" applyBorder="1" applyAlignment="1">
      <alignment horizontal="center" vertical="top"/>
    </xf>
    <xf numFmtId="0" fontId="2" fillId="9" borderId="4" xfId="0" applyFont="1" applyFill="1" applyBorder="1" applyAlignment="1">
      <alignment horizontal="left" vertical="center"/>
    </xf>
    <xf numFmtId="0" fontId="0" fillId="0" borderId="40" xfId="0" applyBorder="1"/>
    <xf numFmtId="0" fontId="0" fillId="0" borderId="5" xfId="0" applyBorder="1"/>
    <xf numFmtId="0" fontId="0" fillId="0" borderId="45" xfId="0" applyBorder="1"/>
    <xf numFmtId="0" fontId="0" fillId="0" borderId="47" xfId="0" applyBorder="1"/>
    <xf numFmtId="0" fontId="0" fillId="20" borderId="4" xfId="0" applyFill="1" applyBorder="1" applyAlignment="1">
      <alignment horizontal="center" vertical="center"/>
    </xf>
    <xf numFmtId="0" fontId="2" fillId="0" borderId="32" xfId="0" applyFont="1" applyBorder="1" applyAlignment="1">
      <alignment horizontal="center" vertical="center" wrapText="1"/>
    </xf>
    <xf numFmtId="0" fontId="2" fillId="6" borderId="4" xfId="0" applyFont="1" applyFill="1" applyBorder="1" applyAlignment="1">
      <alignment horizontal="center"/>
    </xf>
    <xf numFmtId="0" fontId="0" fillId="2" borderId="4" xfId="0" applyFill="1" applyBorder="1" applyAlignment="1">
      <alignment horizontal="center" vertical="center"/>
    </xf>
    <xf numFmtId="49" fontId="0" fillId="0" borderId="4" xfId="0" applyNumberFormat="1" applyBorder="1"/>
    <xf numFmtId="0" fontId="2" fillId="11" borderId="4" xfId="0" applyFont="1" applyFill="1" applyBorder="1"/>
    <xf numFmtId="0" fontId="2" fillId="3" borderId="0" xfId="0" applyFont="1" applyFill="1" applyAlignment="1">
      <alignment horizontal="center" vertical="center"/>
    </xf>
    <xf numFmtId="0" fontId="2" fillId="2" borderId="4" xfId="0" applyFont="1" applyFill="1" applyBorder="1"/>
    <xf numFmtId="0" fontId="2" fillId="2" borderId="4" xfId="0" applyFont="1" applyFill="1" applyBorder="1" applyAlignment="1">
      <alignment horizontal="center"/>
    </xf>
    <xf numFmtId="1" fontId="0" fillId="2" borderId="4" xfId="0" applyNumberFormat="1" applyFill="1" applyBorder="1" applyAlignment="1">
      <alignment horizontal="center"/>
    </xf>
    <xf numFmtId="0" fontId="2" fillId="0" borderId="4" xfId="0" applyFont="1" applyBorder="1" applyAlignment="1">
      <alignment horizontal="center"/>
    </xf>
    <xf numFmtId="1" fontId="0" fillId="0" borderId="4" xfId="0" applyNumberFormat="1" applyBorder="1" applyAlignment="1">
      <alignment horizontal="center"/>
    </xf>
    <xf numFmtId="0" fontId="2" fillId="10" borderId="44" xfId="0" applyFont="1" applyFill="1" applyBorder="1"/>
    <xf numFmtId="0" fontId="2" fillId="14" borderId="44" xfId="0" applyFont="1" applyFill="1" applyBorder="1"/>
    <xf numFmtId="0" fontId="2" fillId="14" borderId="49" xfId="0" applyFont="1" applyFill="1" applyBorder="1"/>
    <xf numFmtId="0" fontId="0" fillId="7" borderId="24" xfId="0" applyFill="1" applyBorder="1"/>
    <xf numFmtId="0" fontId="0" fillId="7" borderId="25" xfId="0" applyFill="1" applyBorder="1"/>
    <xf numFmtId="0" fontId="2" fillId="10" borderId="29" xfId="0" applyFont="1" applyFill="1" applyBorder="1"/>
    <xf numFmtId="0" fontId="0" fillId="0" borderId="29" xfId="0" applyBorder="1"/>
    <xf numFmtId="166" fontId="0" fillId="0" borderId="30" xfId="1" applyNumberFormat="1" applyFont="1" applyBorder="1"/>
    <xf numFmtId="0" fontId="0" fillId="0" borderId="12" xfId="0" applyBorder="1"/>
    <xf numFmtId="0" fontId="0" fillId="0" borderId="34" xfId="0" applyBorder="1"/>
    <xf numFmtId="0" fontId="2" fillId="10" borderId="7" xfId="0" applyFont="1" applyFill="1" applyBorder="1"/>
    <xf numFmtId="166" fontId="0" fillId="0" borderId="43" xfId="1" applyNumberFormat="1" applyFont="1" applyBorder="1"/>
    <xf numFmtId="166" fontId="0" fillId="0" borderId="8" xfId="1" applyNumberFormat="1" applyFont="1" applyBorder="1"/>
    <xf numFmtId="166" fontId="0" fillId="0" borderId="10" xfId="1" applyNumberFormat="1" applyFont="1" applyBorder="1"/>
    <xf numFmtId="0" fontId="2" fillId="6" borderId="4" xfId="0" applyFont="1" applyFill="1" applyBorder="1" applyAlignment="1">
      <alignment horizontal="left"/>
    </xf>
    <xf numFmtId="0" fontId="2" fillId="4" borderId="4" xfId="0" applyFont="1" applyFill="1" applyBorder="1" applyAlignment="1">
      <alignment horizontal="center" vertical="top"/>
    </xf>
    <xf numFmtId="49" fontId="2" fillId="4" borderId="4" xfId="0" applyNumberFormat="1" applyFont="1" applyFill="1" applyBorder="1" applyAlignment="1">
      <alignment horizontal="center" vertical="top"/>
    </xf>
    <xf numFmtId="0" fontId="2" fillId="7" borderId="28" xfId="0" applyFont="1" applyFill="1" applyBorder="1" applyAlignment="1">
      <alignment horizontal="center" vertical="center"/>
    </xf>
    <xf numFmtId="0" fontId="0" fillId="0" borderId="4" xfId="0" applyBorder="1" applyAlignment="1">
      <alignment vertical="center"/>
    </xf>
    <xf numFmtId="0" fontId="2" fillId="10" borderId="11" xfId="0" applyFont="1" applyFill="1" applyBorder="1"/>
    <xf numFmtId="43" fontId="0" fillId="11" borderId="4" xfId="1" applyFont="1" applyFill="1" applyBorder="1"/>
    <xf numFmtId="43" fontId="1" fillId="6" borderId="4" xfId="1" applyFont="1" applyFill="1" applyBorder="1"/>
    <xf numFmtId="43" fontId="1" fillId="11" borderId="4" xfId="1" applyFont="1" applyFill="1" applyBorder="1"/>
    <xf numFmtId="2" fontId="0" fillId="6" borderId="4" xfId="0" applyNumberFormat="1" applyFill="1" applyBorder="1" applyAlignment="1">
      <alignment wrapText="1"/>
    </xf>
    <xf numFmtId="2" fontId="0" fillId="17" borderId="4" xfId="0" applyNumberFormat="1" applyFill="1" applyBorder="1" applyAlignment="1">
      <alignment horizontal="right" wrapText="1"/>
    </xf>
    <xf numFmtId="0" fontId="0" fillId="12" borderId="4" xfId="0" applyFill="1" applyBorder="1"/>
    <xf numFmtId="1" fontId="0" fillId="6" borderId="4" xfId="0" applyNumberFormat="1" applyFill="1" applyBorder="1"/>
    <xf numFmtId="0" fontId="2" fillId="6" borderId="4" xfId="0" applyFont="1" applyFill="1" applyBorder="1" applyAlignment="1">
      <alignment wrapText="1"/>
    </xf>
    <xf numFmtId="43" fontId="1" fillId="7" borderId="4" xfId="1" applyFont="1" applyFill="1" applyBorder="1"/>
    <xf numFmtId="43" fontId="1" fillId="4" borderId="4" xfId="1" applyFont="1" applyFill="1" applyBorder="1"/>
    <xf numFmtId="43" fontId="7" fillId="4" borderId="4" xfId="1" applyFont="1" applyFill="1" applyBorder="1" applyAlignment="1"/>
    <xf numFmtId="0" fontId="1" fillId="4" borderId="4" xfId="1" applyNumberFormat="1" applyFont="1" applyFill="1" applyBorder="1"/>
    <xf numFmtId="0" fontId="1" fillId="6" borderId="4" xfId="1" applyNumberFormat="1" applyFont="1" applyFill="1" applyBorder="1"/>
    <xf numFmtId="43" fontId="1" fillId="9" borderId="4" xfId="1" applyFont="1" applyFill="1" applyBorder="1"/>
    <xf numFmtId="17" fontId="0" fillId="6" borderId="4" xfId="0" applyNumberFormat="1" applyFill="1" applyBorder="1"/>
    <xf numFmtId="43" fontId="1" fillId="7" borderId="11" xfId="1" applyFont="1" applyFill="1" applyBorder="1"/>
    <xf numFmtId="43" fontId="1" fillId="6" borderId="11" xfId="1" applyFont="1" applyFill="1" applyBorder="1"/>
    <xf numFmtId="166" fontId="0" fillId="6" borderId="4" xfId="1" applyNumberFormat="1" applyFont="1" applyFill="1" applyBorder="1"/>
    <xf numFmtId="166" fontId="0" fillId="4" borderId="4" xfId="1" applyNumberFormat="1" applyFont="1" applyFill="1" applyBorder="1"/>
    <xf numFmtId="1" fontId="0" fillId="4" borderId="4" xfId="0" applyNumberFormat="1" applyFill="1" applyBorder="1"/>
    <xf numFmtId="0" fontId="7" fillId="4" borderId="4" xfId="0" applyFont="1" applyFill="1" applyBorder="1"/>
    <xf numFmtId="1" fontId="0" fillId="7" borderId="4" xfId="0" applyNumberFormat="1" applyFill="1" applyBorder="1"/>
    <xf numFmtId="0" fontId="0" fillId="0" borderId="11" xfId="0" applyBorder="1" applyAlignment="1">
      <alignment horizontal="left"/>
    </xf>
    <xf numFmtId="0" fontId="12" fillId="0" borderId="48" xfId="0" applyFont="1" applyBorder="1"/>
    <xf numFmtId="0" fontId="7" fillId="0" borderId="2" xfId="0" applyFont="1" applyBorder="1"/>
    <xf numFmtId="0" fontId="7" fillId="0" borderId="2" xfId="0" applyFont="1" applyBorder="1" applyAlignment="1">
      <alignment vertical="center"/>
    </xf>
    <xf numFmtId="0" fontId="7" fillId="0" borderId="0" xfId="0" applyFont="1"/>
    <xf numFmtId="0" fontId="7" fillId="0" borderId="2" xfId="0" applyFont="1" applyBorder="1" applyAlignment="1">
      <alignment vertical="top"/>
    </xf>
    <xf numFmtId="0" fontId="7" fillId="0" borderId="4" xfId="0" applyFont="1" applyBorder="1" applyAlignment="1">
      <alignment vertical="center"/>
    </xf>
    <xf numFmtId="0" fontId="7" fillId="0" borderId="4" xfId="0" applyFont="1" applyBorder="1"/>
    <xf numFmtId="0" fontId="7" fillId="0" borderId="4" xfId="0" applyFont="1" applyBorder="1" applyAlignment="1">
      <alignment vertical="top"/>
    </xf>
    <xf numFmtId="0" fontId="8" fillId="0" borderId="0" xfId="0" applyFont="1"/>
    <xf numFmtId="0" fontId="7" fillId="0" borderId="3" xfId="2" applyFont="1" applyBorder="1" applyAlignment="1"/>
    <xf numFmtId="0" fontId="7" fillId="0" borderId="3" xfId="2" applyFont="1" applyBorder="1" applyAlignment="1">
      <alignment vertical="center"/>
    </xf>
    <xf numFmtId="0" fontId="7" fillId="0" borderId="2" xfId="2" applyFont="1" applyBorder="1" applyAlignment="1"/>
    <xf numFmtId="0" fontId="7" fillId="0" borderId="2" xfId="2" applyFont="1" applyBorder="1" applyAlignment="1">
      <alignment vertical="center"/>
    </xf>
    <xf numFmtId="0" fontId="7" fillId="0" borderId="19" xfId="2" applyFont="1" applyBorder="1" applyAlignment="1">
      <alignment vertical="center"/>
    </xf>
    <xf numFmtId="0" fontId="7" fillId="0" borderId="0" xfId="2" applyFont="1" applyAlignment="1">
      <alignment vertical="top"/>
    </xf>
    <xf numFmtId="0" fontId="7" fillId="0" borderId="4" xfId="2" applyFont="1" applyBorder="1" applyAlignment="1">
      <alignment vertical="center"/>
    </xf>
    <xf numFmtId="0" fontId="7" fillId="0" borderId="4" xfId="2" applyFont="1" applyBorder="1" applyAlignment="1"/>
    <xf numFmtId="166" fontId="2" fillId="10" borderId="4" xfId="1" applyNumberFormat="1" applyFont="1" applyFill="1" applyBorder="1" applyAlignment="1">
      <alignment horizontal="center"/>
    </xf>
    <xf numFmtId="166" fontId="0" fillId="9" borderId="4" xfId="1" applyNumberFormat="1" applyFont="1" applyFill="1" applyBorder="1" applyAlignment="1">
      <alignment horizontal="right"/>
    </xf>
    <xf numFmtId="166" fontId="0" fillId="6" borderId="4" xfId="1" applyNumberFormat="1" applyFont="1" applyFill="1" applyBorder="1" applyAlignment="1">
      <alignment horizontal="right"/>
    </xf>
    <xf numFmtId="166" fontId="0" fillId="8" borderId="4" xfId="1" applyNumberFormat="1" applyFont="1" applyFill="1" applyBorder="1" applyAlignment="1">
      <alignment horizontal="right"/>
    </xf>
    <xf numFmtId="166" fontId="1" fillId="8" borderId="4" xfId="1" applyNumberFormat="1" applyFont="1" applyFill="1" applyBorder="1" applyAlignment="1">
      <alignment horizontal="right"/>
    </xf>
    <xf numFmtId="166" fontId="1" fillId="6" borderId="4" xfId="1" applyNumberFormat="1" applyFont="1" applyFill="1" applyBorder="1" applyAlignment="1">
      <alignment horizontal="right"/>
    </xf>
    <xf numFmtId="166" fontId="0" fillId="0" borderId="0" xfId="1" applyNumberFormat="1" applyFont="1" applyAlignment="1">
      <alignment horizontal="right"/>
    </xf>
    <xf numFmtId="166" fontId="0" fillId="7" borderId="4" xfId="1" applyNumberFormat="1" applyFont="1" applyFill="1" applyBorder="1" applyAlignment="1">
      <alignment horizontal="right"/>
    </xf>
    <xf numFmtId="166" fontId="0" fillId="4" borderId="4" xfId="1" applyNumberFormat="1" applyFont="1" applyFill="1" applyBorder="1" applyAlignment="1">
      <alignment horizontal="right"/>
    </xf>
    <xf numFmtId="0" fontId="2" fillId="0" borderId="46" xfId="0" applyFont="1" applyBorder="1" applyAlignment="1">
      <alignment horizontal="center" vertical="center" wrapText="1"/>
    </xf>
    <xf numFmtId="0" fontId="2" fillId="0" borderId="33" xfId="0" applyFont="1" applyBorder="1" applyAlignment="1">
      <alignment horizontal="center" vertical="center" wrapText="1"/>
    </xf>
    <xf numFmtId="0" fontId="2" fillId="0" borderId="42" xfId="0" applyFont="1" applyBorder="1" applyAlignment="1">
      <alignment horizontal="center" vertical="center" wrapText="1"/>
    </xf>
    <xf numFmtId="0" fontId="2" fillId="0" borderId="28" xfId="0" applyFont="1" applyBorder="1" applyAlignment="1">
      <alignment horizontal="center" vertical="center" wrapText="1"/>
    </xf>
    <xf numFmtId="0" fontId="2" fillId="0" borderId="22" xfId="0" applyFont="1" applyBorder="1" applyAlignment="1">
      <alignment horizontal="center" vertical="center" wrapText="1"/>
    </xf>
    <xf numFmtId="0" fontId="2" fillId="0" borderId="32" xfId="0" applyFont="1" applyBorder="1" applyAlignment="1">
      <alignment horizontal="center" vertical="center" wrapText="1"/>
    </xf>
    <xf numFmtId="0" fontId="2" fillId="3" borderId="4" xfId="0" applyFont="1" applyFill="1" applyBorder="1" applyAlignment="1">
      <alignment horizontal="center" vertical="center"/>
    </xf>
    <xf numFmtId="0" fontId="2" fillId="9" borderId="2" xfId="0" applyFont="1" applyFill="1" applyBorder="1" applyAlignment="1">
      <alignment horizontal="center"/>
    </xf>
    <xf numFmtId="0" fontId="2" fillId="9" borderId="5" xfId="0" applyFont="1" applyFill="1" applyBorder="1" applyAlignment="1">
      <alignment horizontal="center"/>
    </xf>
    <xf numFmtId="0" fontId="2" fillId="3" borderId="4" xfId="0" applyFont="1" applyFill="1" applyBorder="1" applyAlignment="1">
      <alignment horizontal="center"/>
    </xf>
    <xf numFmtId="0" fontId="2" fillId="6" borderId="4" xfId="0" applyFont="1" applyFill="1" applyBorder="1" applyAlignment="1">
      <alignment horizontal="center"/>
    </xf>
    <xf numFmtId="0" fontId="2" fillId="4" borderId="2" xfId="0" applyFont="1" applyFill="1" applyBorder="1" applyAlignment="1">
      <alignment horizontal="center"/>
    </xf>
    <xf numFmtId="0" fontId="2" fillId="4" borderId="5" xfId="0" applyFont="1" applyFill="1" applyBorder="1" applyAlignment="1">
      <alignment horizontal="center"/>
    </xf>
    <xf numFmtId="0" fontId="2" fillId="7" borderId="2" xfId="0" applyFont="1" applyFill="1" applyBorder="1" applyAlignment="1">
      <alignment horizontal="center" vertical="center"/>
    </xf>
    <xf numFmtId="0" fontId="2" fillId="7" borderId="5" xfId="0" applyFont="1" applyFill="1" applyBorder="1" applyAlignment="1">
      <alignment horizontal="center" vertical="center"/>
    </xf>
    <xf numFmtId="0" fontId="2" fillId="6" borderId="6" xfId="0" applyFont="1" applyFill="1" applyBorder="1" applyAlignment="1">
      <alignment horizontal="center" vertical="center"/>
    </xf>
    <xf numFmtId="0" fontId="2" fillId="6" borderId="11" xfId="0" applyFont="1" applyFill="1" applyBorder="1" applyAlignment="1">
      <alignment horizontal="center" vertical="center"/>
    </xf>
    <xf numFmtId="0" fontId="2" fillId="4" borderId="6" xfId="0" applyFont="1" applyFill="1" applyBorder="1" applyAlignment="1">
      <alignment horizontal="center" vertical="center"/>
    </xf>
    <xf numFmtId="0" fontId="2" fillId="4" borderId="13" xfId="0" applyFont="1" applyFill="1" applyBorder="1" applyAlignment="1">
      <alignment horizontal="center" vertical="center"/>
    </xf>
    <xf numFmtId="0" fontId="2" fillId="4" borderId="11" xfId="0" applyFont="1" applyFill="1" applyBorder="1" applyAlignment="1">
      <alignment horizontal="center" vertical="center"/>
    </xf>
    <xf numFmtId="0" fontId="2" fillId="7" borderId="6" xfId="0" applyFont="1" applyFill="1" applyBorder="1" applyAlignment="1">
      <alignment horizontal="center" vertical="center"/>
    </xf>
    <xf numFmtId="0" fontId="2" fillId="7" borderId="13" xfId="0" applyFont="1" applyFill="1" applyBorder="1" applyAlignment="1">
      <alignment horizontal="center" vertical="center"/>
    </xf>
    <xf numFmtId="0" fontId="2" fillId="7" borderId="11" xfId="0" applyFont="1" applyFill="1" applyBorder="1" applyAlignment="1">
      <alignment horizontal="center" vertical="center"/>
    </xf>
    <xf numFmtId="0" fontId="2" fillId="12" borderId="6" xfId="0" applyFont="1" applyFill="1" applyBorder="1" applyAlignment="1">
      <alignment horizontal="center" vertical="center"/>
    </xf>
    <xf numFmtId="0" fontId="2" fillId="12" borderId="11" xfId="0" applyFont="1" applyFill="1" applyBorder="1" applyAlignment="1">
      <alignment horizontal="center" vertical="center"/>
    </xf>
    <xf numFmtId="0" fontId="2" fillId="12" borderId="4" xfId="0" applyFont="1" applyFill="1" applyBorder="1" applyAlignment="1">
      <alignment horizontal="center"/>
    </xf>
    <xf numFmtId="0" fontId="0" fillId="10" borderId="6" xfId="0" applyFill="1" applyBorder="1" applyAlignment="1">
      <alignment horizontal="center"/>
    </xf>
    <xf numFmtId="0" fontId="0" fillId="10" borderId="11" xfId="0" applyFill="1" applyBorder="1" applyAlignment="1">
      <alignment horizontal="center"/>
    </xf>
    <xf numFmtId="0" fontId="5" fillId="0" borderId="4" xfId="0" applyFont="1" applyBorder="1" applyAlignment="1">
      <alignment horizontal="left" vertical="top"/>
    </xf>
    <xf numFmtId="0" fontId="2" fillId="9" borderId="4" xfId="0" applyFont="1" applyFill="1" applyBorder="1" applyAlignment="1">
      <alignment horizontal="center" vertical="center"/>
    </xf>
    <xf numFmtId="0" fontId="0" fillId="19" borderId="13" xfId="0" applyFill="1" applyBorder="1" applyAlignment="1">
      <alignment horizontal="center" vertical="center"/>
    </xf>
    <xf numFmtId="0" fontId="0" fillId="19" borderId="11" xfId="0" applyFill="1" applyBorder="1" applyAlignment="1">
      <alignment horizontal="center" vertical="center"/>
    </xf>
    <xf numFmtId="0" fontId="0" fillId="19" borderId="6" xfId="0" applyFill="1" applyBorder="1" applyAlignment="1">
      <alignment horizontal="center" vertical="center"/>
    </xf>
    <xf numFmtId="0" fontId="2" fillId="6" borderId="4" xfId="0" applyFont="1" applyFill="1" applyBorder="1" applyAlignment="1">
      <alignment horizontal="center" vertical="center"/>
    </xf>
    <xf numFmtId="0" fontId="0" fillId="20" borderId="4" xfId="0" applyFill="1" applyBorder="1" applyAlignment="1">
      <alignment horizontal="center" vertical="center"/>
    </xf>
    <xf numFmtId="0" fontId="2" fillId="4" borderId="4" xfId="0" applyFont="1" applyFill="1" applyBorder="1" applyAlignment="1">
      <alignment horizontal="center" vertical="center"/>
    </xf>
    <xf numFmtId="0" fontId="2" fillId="7" borderId="4" xfId="0" applyFont="1" applyFill="1" applyBorder="1" applyAlignment="1">
      <alignment horizontal="center" vertical="center"/>
    </xf>
    <xf numFmtId="0" fontId="2" fillId="9" borderId="4" xfId="0" applyFont="1" applyFill="1" applyBorder="1" applyAlignment="1">
      <alignment horizontal="center"/>
    </xf>
    <xf numFmtId="0" fontId="2" fillId="4" borderId="46" xfId="0" applyFont="1" applyFill="1" applyBorder="1" applyAlignment="1">
      <alignment horizontal="center" vertical="center"/>
    </xf>
    <xf numFmtId="0" fontId="2" fillId="4" borderId="33" xfId="0" applyFont="1" applyFill="1" applyBorder="1" applyAlignment="1">
      <alignment horizontal="center" vertical="center"/>
    </xf>
    <xf numFmtId="0" fontId="2" fillId="4" borderId="22" xfId="0" applyFont="1" applyFill="1" applyBorder="1" applyAlignment="1">
      <alignment horizontal="center" vertical="center"/>
    </xf>
    <xf numFmtId="0" fontId="2" fillId="4" borderId="32" xfId="0" applyFont="1" applyFill="1" applyBorder="1" applyAlignment="1">
      <alignment horizontal="center" vertical="center"/>
    </xf>
    <xf numFmtId="0" fontId="2" fillId="7" borderId="33" xfId="0" applyFont="1" applyFill="1" applyBorder="1" applyAlignment="1">
      <alignment horizontal="center" vertical="center"/>
    </xf>
    <xf numFmtId="0" fontId="2" fillId="7" borderId="28" xfId="0" applyFont="1" applyFill="1" applyBorder="1" applyAlignment="1">
      <alignment horizontal="center" vertical="center"/>
    </xf>
    <xf numFmtId="0" fontId="2" fillId="0" borderId="2" xfId="0" applyFont="1" applyBorder="1" applyAlignment="1">
      <alignment horizontal="center"/>
    </xf>
    <xf numFmtId="0" fontId="2" fillId="0" borderId="9" xfId="0" applyFont="1" applyBorder="1" applyAlignment="1">
      <alignment horizontal="center"/>
    </xf>
    <xf numFmtId="0" fontId="2" fillId="0" borderId="5" xfId="0" applyFont="1" applyBorder="1" applyAlignment="1">
      <alignment horizontal="center"/>
    </xf>
    <xf numFmtId="0" fontId="2" fillId="10" borderId="4" xfId="0" applyFont="1" applyFill="1" applyBorder="1" applyAlignment="1">
      <alignment horizontal="center"/>
    </xf>
    <xf numFmtId="0" fontId="0" fillId="4" borderId="24" xfId="0" applyFill="1" applyBorder="1" applyAlignment="1">
      <alignment horizontal="center"/>
    </xf>
    <xf numFmtId="0" fontId="0" fillId="4" borderId="25" xfId="0" applyFill="1" applyBorder="1" applyAlignment="1">
      <alignment horizontal="center"/>
    </xf>
    <xf numFmtId="0" fontId="0" fillId="4" borderId="26" xfId="0" applyFill="1" applyBorder="1" applyAlignment="1">
      <alignment horizontal="center"/>
    </xf>
    <xf numFmtId="0" fontId="0" fillId="7" borderId="1" xfId="0" applyFill="1" applyBorder="1" applyAlignment="1">
      <alignment horizontal="center"/>
    </xf>
    <xf numFmtId="0" fontId="0" fillId="7" borderId="37" xfId="0" applyFill="1" applyBorder="1" applyAlignment="1">
      <alignment horizontal="center"/>
    </xf>
    <xf numFmtId="0" fontId="0" fillId="7" borderId="35" xfId="0" applyFill="1" applyBorder="1" applyAlignment="1">
      <alignment horizontal="center"/>
    </xf>
    <xf numFmtId="0" fontId="0" fillId="9" borderId="24" xfId="0" applyFill="1" applyBorder="1" applyAlignment="1">
      <alignment horizontal="center"/>
    </xf>
    <xf numFmtId="0" fontId="0" fillId="9" borderId="25" xfId="0" applyFill="1" applyBorder="1" applyAlignment="1">
      <alignment horizontal="center"/>
    </xf>
    <xf numFmtId="0" fontId="0" fillId="9" borderId="26" xfId="0" applyFill="1" applyBorder="1" applyAlignment="1">
      <alignment horizontal="center"/>
    </xf>
    <xf numFmtId="0" fontId="0" fillId="2" borderId="0" xfId="0" applyFill="1" applyAlignment="1">
      <alignment horizontal="center"/>
    </xf>
    <xf numFmtId="0" fontId="0" fillId="15" borderId="2" xfId="0" applyFill="1" applyBorder="1" applyAlignment="1">
      <alignment horizontal="center"/>
    </xf>
    <xf numFmtId="0" fontId="0" fillId="15" borderId="9" xfId="0" applyFill="1" applyBorder="1" applyAlignment="1">
      <alignment horizontal="center"/>
    </xf>
    <xf numFmtId="0" fontId="0" fillId="15" borderId="5" xfId="0" applyFill="1" applyBorder="1" applyAlignment="1">
      <alignment horizontal="center"/>
    </xf>
    <xf numFmtId="0" fontId="0" fillId="14" borderId="4" xfId="0" applyFill="1" applyBorder="1" applyAlignment="1">
      <alignment horizontal="center" wrapText="1"/>
    </xf>
    <xf numFmtId="0" fontId="0" fillId="5" borderId="4" xfId="0" applyFill="1" applyBorder="1" applyAlignment="1">
      <alignment horizontal="center"/>
    </xf>
    <xf numFmtId="0" fontId="2" fillId="5" borderId="33" xfId="0" applyFont="1" applyFill="1" applyBorder="1" applyAlignment="1">
      <alignment horizontal="center" vertical="center"/>
    </xf>
    <xf numFmtId="0" fontId="2" fillId="5" borderId="32" xfId="0" applyFont="1" applyFill="1" applyBorder="1" applyAlignment="1">
      <alignment horizontal="center" vertical="center"/>
    </xf>
    <xf numFmtId="0" fontId="2" fillId="12" borderId="4" xfId="0" applyFont="1" applyFill="1" applyBorder="1" applyAlignment="1">
      <alignment horizontal="center" vertical="center"/>
    </xf>
    <xf numFmtId="0" fontId="0" fillId="14" borderId="4" xfId="0" applyFill="1" applyBorder="1" applyAlignment="1">
      <alignment horizontal="center"/>
    </xf>
    <xf numFmtId="0" fontId="0" fillId="16" borderId="4" xfId="0" applyFill="1" applyBorder="1" applyAlignment="1">
      <alignment horizontal="center"/>
    </xf>
    <xf numFmtId="0" fontId="0" fillId="15" borderId="4" xfId="0" applyFill="1" applyBorder="1" applyAlignment="1">
      <alignment horizontal="center"/>
    </xf>
  </cellXfs>
  <cellStyles count="4">
    <cellStyle name="Lien hypertexte" xfId="2" builtinId="8"/>
    <cellStyle name="Milliers" xfId="1" builtinId="3"/>
    <cellStyle name="Normal" xfId="0" builtinId="0"/>
    <cellStyle name="Pourcentage" xfId="3" builtinId="5"/>
  </cellStyles>
  <dxfs count="1">
    <dxf>
      <fill>
        <patternFill>
          <bgColor theme="4" tint="0.79998168889431442"/>
        </patternFill>
      </fill>
    </dxf>
  </dxfs>
  <tableStyles count="0" defaultTableStyle="TableStyleMedium2" defaultPivotStyle="PivotStyleLight16"/>
  <colors>
    <mruColors>
      <color rgb="FFEAF3FA"/>
      <color rgb="FFFFF8E5"/>
      <color rgb="FFF5DFF9"/>
      <color rgb="FFEBC3F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34</xdr:col>
      <xdr:colOff>569686</xdr:colOff>
      <xdr:row>10</xdr:row>
      <xdr:rowOff>111579</xdr:rowOff>
    </xdr:from>
    <xdr:ext cx="3774692" cy="2605452"/>
    <xdr:pic>
      <xdr:nvPicPr>
        <xdr:cNvPr id="2" name="Image 1">
          <a:extLst>
            <a:ext uri="{FF2B5EF4-FFF2-40B4-BE49-F238E27FC236}">
              <a16:creationId xmlns:a16="http://schemas.microsoft.com/office/drawing/2014/main" id="{BD531E0D-F875-4956-B348-9175720AA28C}"/>
            </a:ext>
          </a:extLst>
        </xdr:cNvPr>
        <xdr:cNvPicPr>
          <a:picLocks noChangeAspect="1"/>
        </xdr:cNvPicPr>
      </xdr:nvPicPr>
      <xdr:blipFill>
        <a:blip xmlns:r="http://schemas.openxmlformats.org/officeDocument/2006/relationships" r:embed="rId1"/>
        <a:stretch>
          <a:fillRect/>
        </a:stretch>
      </xdr:blipFill>
      <xdr:spPr>
        <a:xfrm>
          <a:off x="33307111" y="7712529"/>
          <a:ext cx="3774692" cy="2605452"/>
        </a:xfrm>
        <a:prstGeom prst="rect">
          <a:avLst/>
        </a:prstGeom>
      </xdr:spPr>
    </xdr:pic>
    <xdr:clientData/>
  </xdr:oneCellAnchor>
  <xdr:oneCellAnchor>
    <xdr:from>
      <xdr:col>7</xdr:col>
      <xdr:colOff>133804</xdr:colOff>
      <xdr:row>4</xdr:row>
      <xdr:rowOff>176893</xdr:rowOff>
    </xdr:from>
    <xdr:ext cx="6591638" cy="3034727"/>
    <xdr:pic>
      <xdr:nvPicPr>
        <xdr:cNvPr id="3" name="Image 2">
          <a:extLst>
            <a:ext uri="{FF2B5EF4-FFF2-40B4-BE49-F238E27FC236}">
              <a16:creationId xmlns:a16="http://schemas.microsoft.com/office/drawing/2014/main" id="{279E2077-FB11-44EB-A5AF-AD26D686F073}"/>
            </a:ext>
          </a:extLst>
        </xdr:cNvPr>
        <xdr:cNvPicPr>
          <a:picLocks noChangeAspect="1"/>
        </xdr:cNvPicPr>
      </xdr:nvPicPr>
      <xdr:blipFill>
        <a:blip xmlns:r="http://schemas.openxmlformats.org/officeDocument/2006/relationships" r:embed="rId2"/>
        <a:stretch>
          <a:fillRect/>
        </a:stretch>
      </xdr:blipFill>
      <xdr:spPr>
        <a:xfrm>
          <a:off x="12297229" y="6695168"/>
          <a:ext cx="6591638" cy="3034727"/>
        </a:xfrm>
        <a:prstGeom prst="rect">
          <a:avLst/>
        </a:prstGeom>
      </xdr:spPr>
    </xdr:pic>
    <xdr:clientData/>
  </xdr:oneCellAnchor>
  <xdr:oneCellAnchor>
    <xdr:from>
      <xdr:col>26</xdr:col>
      <xdr:colOff>85559</xdr:colOff>
      <xdr:row>3</xdr:row>
      <xdr:rowOff>28040</xdr:rowOff>
    </xdr:from>
    <xdr:ext cx="4321375" cy="4165621"/>
    <xdr:pic>
      <xdr:nvPicPr>
        <xdr:cNvPr id="4" name="Image 3">
          <a:extLst>
            <a:ext uri="{FF2B5EF4-FFF2-40B4-BE49-F238E27FC236}">
              <a16:creationId xmlns:a16="http://schemas.microsoft.com/office/drawing/2014/main" id="{F577369F-798E-43DE-975F-B766E9773028}"/>
            </a:ext>
          </a:extLst>
        </xdr:cNvPr>
        <xdr:cNvPicPr>
          <a:picLocks noChangeAspect="1"/>
        </xdr:cNvPicPr>
      </xdr:nvPicPr>
      <xdr:blipFill rotWithShape="1">
        <a:blip xmlns:r="http://schemas.openxmlformats.org/officeDocument/2006/relationships" r:embed="rId3"/>
        <a:srcRect r="21070" b="2166"/>
        <a:stretch/>
      </xdr:blipFill>
      <xdr:spPr>
        <a:xfrm>
          <a:off x="26730159" y="6365340"/>
          <a:ext cx="4321375" cy="4165621"/>
        </a:xfrm>
        <a:prstGeom prst="rect">
          <a:avLst/>
        </a:prstGeom>
      </xdr:spPr>
    </xdr:pic>
    <xdr:clientData/>
  </xdr:oneCellAnchor>
  <xdr:oneCellAnchor>
    <xdr:from>
      <xdr:col>10</xdr:col>
      <xdr:colOff>285750</xdr:colOff>
      <xdr:row>22</xdr:row>
      <xdr:rowOff>15875</xdr:rowOff>
    </xdr:from>
    <xdr:ext cx="3283858" cy="4039961"/>
    <xdr:pic>
      <xdr:nvPicPr>
        <xdr:cNvPr id="5" name="Image 4">
          <a:extLst>
            <a:ext uri="{FF2B5EF4-FFF2-40B4-BE49-F238E27FC236}">
              <a16:creationId xmlns:a16="http://schemas.microsoft.com/office/drawing/2014/main" id="{9DE0440E-5B4D-4059-91C3-F546F383685B}"/>
            </a:ext>
          </a:extLst>
        </xdr:cNvPr>
        <xdr:cNvPicPr>
          <a:picLocks noChangeAspect="1"/>
        </xdr:cNvPicPr>
      </xdr:nvPicPr>
      <xdr:blipFill rotWithShape="1">
        <a:blip xmlns:r="http://schemas.openxmlformats.org/officeDocument/2006/relationships" r:embed="rId4"/>
        <a:srcRect l="49792" t="5357" b="4406"/>
        <a:stretch/>
      </xdr:blipFill>
      <xdr:spPr>
        <a:xfrm>
          <a:off x="14735175" y="9788525"/>
          <a:ext cx="3283858" cy="4039961"/>
        </a:xfrm>
        <a:prstGeom prst="rect">
          <a:avLst/>
        </a:prstGeom>
      </xdr:spPr>
    </xdr:pic>
    <xdr:clientData/>
  </xdr:one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7.xml.rels><?xml version="1.0" encoding="UTF-8" standalone="yes"?>
<Relationships xmlns="http://schemas.openxmlformats.org/package/2006/relationships"><Relationship Id="rId8" Type="http://schemas.openxmlformats.org/officeDocument/2006/relationships/hyperlink" Target="https://doi.org/10.1109/IEMDC.2017.8002010" TargetMode="External"/><Relationship Id="rId13" Type="http://schemas.openxmlformats.org/officeDocument/2006/relationships/hyperlink" Target="https://doi.org/10.1016/j.energy.2021.122434" TargetMode="External"/><Relationship Id="rId18" Type="http://schemas.openxmlformats.org/officeDocument/2006/relationships/hyperlink" Target="https://doi.org/10.1016/j.apenergy.2023.121400" TargetMode="External"/><Relationship Id="rId3" Type="http://schemas.openxmlformats.org/officeDocument/2006/relationships/hyperlink" Target="https://data.europa.eu/doi/10.2760/160859" TargetMode="External"/><Relationship Id="rId7" Type="http://schemas.openxmlformats.org/officeDocument/2006/relationships/hyperlink" Target="https://doi.org/10.1016/j.enpol.2018.04.056" TargetMode="External"/><Relationship Id="rId12" Type="http://schemas.openxmlformats.org/officeDocument/2006/relationships/hyperlink" Target="https://www.iea.org/data-and-statistics/data-tools/critical-minerals-data-explorer" TargetMode="External"/><Relationship Id="rId17" Type="http://schemas.openxmlformats.org/officeDocument/2006/relationships/hyperlink" Target="https://www.adamasintel.com/ev-increase-battery-capacity-average-kwh-phev-up-27-percent/" TargetMode="External"/><Relationship Id="rId2" Type="http://schemas.openxmlformats.org/officeDocument/2006/relationships/hyperlink" Target="https://doi.org/10.1073/pnas.2205429119" TargetMode="External"/><Relationship Id="rId16" Type="http://schemas.openxmlformats.org/officeDocument/2006/relationships/hyperlink" Target="https://alternative-fuels-observatory.ec.europa.eu/policymakers-and-public-authorities/electric-vehicle-model-statistics" TargetMode="External"/><Relationship Id="rId1" Type="http://schemas.openxmlformats.org/officeDocument/2006/relationships/hyperlink" Target="https://doi.org/10.1016/j.apenergy.2017.05.151" TargetMode="External"/><Relationship Id="rId6" Type="http://schemas.openxmlformats.org/officeDocument/2006/relationships/hyperlink" Target="https://doi.org/10.1016/j.enpol.2018.04.056" TargetMode="External"/><Relationship Id="rId11" Type="http://schemas.openxmlformats.org/officeDocument/2006/relationships/hyperlink" Target="https://doi.org/10.1111/jiec.13321" TargetMode="External"/><Relationship Id="rId5" Type="http://schemas.openxmlformats.org/officeDocument/2006/relationships/hyperlink" Target="https://doi.org/10.1016/j.resconrec.2019.05.015" TargetMode="External"/><Relationship Id="rId15" Type="http://schemas.openxmlformats.org/officeDocument/2006/relationships/hyperlink" Target="https://www.iea.org/data-and-statistics/data-tools/critical-minerals-data-explorer" TargetMode="External"/><Relationship Id="rId10" Type="http://schemas.openxmlformats.org/officeDocument/2006/relationships/hyperlink" Target="https://doi.org/10.5281/zenodo.7252047" TargetMode="External"/><Relationship Id="rId4" Type="http://schemas.openxmlformats.org/officeDocument/2006/relationships/hyperlink" Target="https://doi.org/10.1016/j.ijft.2023.100340" TargetMode="External"/><Relationship Id="rId9" Type="http://schemas.openxmlformats.org/officeDocument/2006/relationships/hyperlink" Target="https://doi.org/10.5281/zenodo.7252047" TargetMode="External"/><Relationship Id="rId14" Type="http://schemas.openxmlformats.org/officeDocument/2006/relationships/hyperlink" Target="https://doi.org/10.1016/j.rcradv.2023.200166" TargetMode="Externa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DAF4D0-1ED3-4D34-997D-CC07F6BD4249}">
  <dimension ref="A1:B34"/>
  <sheetViews>
    <sheetView zoomScale="85" zoomScaleNormal="85" workbookViewId="0">
      <selection activeCell="A16" sqref="A16"/>
    </sheetView>
  </sheetViews>
  <sheetFormatPr baseColWidth="10" defaultRowHeight="14.5" x14ac:dyDescent="0.35"/>
  <cols>
    <col min="1" max="1" width="22.08984375" bestFit="1" customWidth="1"/>
    <col min="2" max="2" width="143.90625" customWidth="1"/>
  </cols>
  <sheetData>
    <row r="1" spans="1:2" ht="14.5" customHeight="1" x14ac:dyDescent="0.35">
      <c r="A1" s="226" t="s">
        <v>630</v>
      </c>
      <c r="B1" s="227"/>
    </row>
    <row r="2" spans="1:2" x14ac:dyDescent="0.35">
      <c r="A2" s="228"/>
      <c r="B2" s="229"/>
    </row>
    <row r="3" spans="1:2" x14ac:dyDescent="0.35">
      <c r="A3" s="230"/>
      <c r="B3" s="231"/>
    </row>
    <row r="4" spans="1:2" x14ac:dyDescent="0.35">
      <c r="A4" s="35" t="s">
        <v>378</v>
      </c>
      <c r="B4" s="146"/>
    </row>
    <row r="5" spans="1:2" x14ac:dyDescent="0.35">
      <c r="A5" s="232" t="s">
        <v>377</v>
      </c>
      <c r="B5" s="232"/>
    </row>
    <row r="6" spans="1:2" x14ac:dyDescent="0.35">
      <c r="A6" s="37" t="s">
        <v>80</v>
      </c>
      <c r="B6" s="37" t="s">
        <v>81</v>
      </c>
    </row>
    <row r="7" spans="1:2" x14ac:dyDescent="0.35">
      <c r="A7" s="233" t="s">
        <v>365</v>
      </c>
      <c r="B7" s="234"/>
    </row>
    <row r="8" spans="1:2" x14ac:dyDescent="0.35">
      <c r="A8" s="140" t="s">
        <v>363</v>
      </c>
      <c r="B8" s="41" t="s">
        <v>364</v>
      </c>
    </row>
    <row r="9" spans="1:2" x14ac:dyDescent="0.35">
      <c r="A9" s="140" t="s">
        <v>366</v>
      </c>
      <c r="B9" s="6" t="s">
        <v>367</v>
      </c>
    </row>
    <row r="10" spans="1:2" x14ac:dyDescent="0.35">
      <c r="A10" s="140" t="s">
        <v>368</v>
      </c>
      <c r="B10" s="6" t="s">
        <v>362</v>
      </c>
    </row>
    <row r="11" spans="1:2" x14ac:dyDescent="0.35">
      <c r="A11" s="237" t="s">
        <v>370</v>
      </c>
      <c r="B11" s="238"/>
    </row>
    <row r="12" spans="1:2" x14ac:dyDescent="0.35">
      <c r="A12" s="243" t="s">
        <v>272</v>
      </c>
      <c r="B12" s="10" t="s">
        <v>273</v>
      </c>
    </row>
    <row r="13" spans="1:2" x14ac:dyDescent="0.35">
      <c r="A13" s="244"/>
      <c r="B13" s="10" t="s">
        <v>274</v>
      </c>
    </row>
    <row r="14" spans="1:2" x14ac:dyDescent="0.35">
      <c r="A14" s="245"/>
      <c r="B14" s="10" t="s">
        <v>275</v>
      </c>
    </row>
    <row r="15" spans="1:2" x14ac:dyDescent="0.35">
      <c r="A15" s="96" t="s">
        <v>276</v>
      </c>
      <c r="B15" s="10" t="s">
        <v>277</v>
      </c>
    </row>
    <row r="16" spans="1:2" x14ac:dyDescent="0.35">
      <c r="A16" s="96" t="s">
        <v>278</v>
      </c>
      <c r="B16" s="10" t="s">
        <v>279</v>
      </c>
    </row>
    <row r="17" spans="1:2" x14ac:dyDescent="0.35">
      <c r="A17" s="80" t="s">
        <v>270</v>
      </c>
      <c r="B17" s="6" t="s">
        <v>130</v>
      </c>
    </row>
    <row r="18" spans="1:2" x14ac:dyDescent="0.35">
      <c r="A18" s="80" t="s">
        <v>271</v>
      </c>
      <c r="B18" s="6" t="s">
        <v>131</v>
      </c>
    </row>
    <row r="19" spans="1:2" x14ac:dyDescent="0.35">
      <c r="A19" s="236" t="s">
        <v>376</v>
      </c>
      <c r="B19" s="236"/>
    </row>
    <row r="20" spans="1:2" x14ac:dyDescent="0.35">
      <c r="A20" s="118" t="s">
        <v>70</v>
      </c>
      <c r="B20" s="10" t="s">
        <v>118</v>
      </c>
    </row>
    <row r="21" spans="1:2" x14ac:dyDescent="0.35">
      <c r="A21" s="241" t="s">
        <v>129</v>
      </c>
      <c r="B21" s="10" t="s">
        <v>119</v>
      </c>
    </row>
    <row r="22" spans="1:2" x14ac:dyDescent="0.35">
      <c r="A22" s="242"/>
      <c r="B22" s="10" t="s">
        <v>120</v>
      </c>
    </row>
    <row r="23" spans="1:2" x14ac:dyDescent="0.35">
      <c r="A23" s="239" t="s">
        <v>369</v>
      </c>
      <c r="B23" s="240"/>
    </row>
    <row r="24" spans="1:2" x14ac:dyDescent="0.35">
      <c r="A24" s="246" t="s">
        <v>280</v>
      </c>
      <c r="B24" s="10" t="s">
        <v>281</v>
      </c>
    </row>
    <row r="25" spans="1:2" x14ac:dyDescent="0.35">
      <c r="A25" s="247"/>
      <c r="B25" s="10" t="s">
        <v>282</v>
      </c>
    </row>
    <row r="26" spans="1:2" x14ac:dyDescent="0.35">
      <c r="A26" s="247"/>
      <c r="B26" s="10" t="s">
        <v>283</v>
      </c>
    </row>
    <row r="27" spans="1:2" x14ac:dyDescent="0.35">
      <c r="A27" s="248"/>
      <c r="B27" s="10" t="s">
        <v>284</v>
      </c>
    </row>
    <row r="28" spans="1:2" x14ac:dyDescent="0.35">
      <c r="A28" s="117" t="s">
        <v>336</v>
      </c>
      <c r="B28" s="10" t="s">
        <v>121</v>
      </c>
    </row>
    <row r="29" spans="1:2" x14ac:dyDescent="0.35">
      <c r="A29" s="81" t="s">
        <v>34</v>
      </c>
      <c r="B29" s="10" t="s">
        <v>122</v>
      </c>
    </row>
    <row r="30" spans="1:2" x14ac:dyDescent="0.35">
      <c r="A30" s="81" t="s">
        <v>628</v>
      </c>
      <c r="B30" s="6" t="s">
        <v>631</v>
      </c>
    </row>
    <row r="31" spans="1:2" x14ac:dyDescent="0.35">
      <c r="A31" s="81" t="s">
        <v>612</v>
      </c>
      <c r="B31" s="6" t="s">
        <v>629</v>
      </c>
    </row>
    <row r="32" spans="1:2" x14ac:dyDescent="0.35">
      <c r="A32" s="235" t="s">
        <v>82</v>
      </c>
      <c r="B32" s="235"/>
    </row>
    <row r="33" spans="1:2" ht="29" x14ac:dyDescent="0.35">
      <c r="A33" s="82" t="s">
        <v>83</v>
      </c>
      <c r="B33" s="6" t="s">
        <v>162</v>
      </c>
    </row>
    <row r="34" spans="1:2" x14ac:dyDescent="0.35">
      <c r="A34" s="35"/>
    </row>
  </sheetData>
  <mergeCells count="10">
    <mergeCell ref="A1:B3"/>
    <mergeCell ref="A5:B5"/>
    <mergeCell ref="A7:B7"/>
    <mergeCell ref="A32:B32"/>
    <mergeCell ref="A19:B19"/>
    <mergeCell ref="A11:B11"/>
    <mergeCell ref="A23:B23"/>
    <mergeCell ref="A21:A22"/>
    <mergeCell ref="A12:A14"/>
    <mergeCell ref="A24:A2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FBE80-267B-4362-B4F6-A761260A6F0D}">
  <sheetPr>
    <tabColor theme="5" tint="0.79998168889431442"/>
  </sheetPr>
  <dimension ref="A1:L31"/>
  <sheetViews>
    <sheetView workbookViewId="0">
      <selection activeCell="F11" sqref="F11"/>
    </sheetView>
  </sheetViews>
  <sheetFormatPr baseColWidth="10" defaultRowHeight="14.5" x14ac:dyDescent="0.35"/>
  <cols>
    <col min="12" max="12" width="30.54296875" bestFit="1" customWidth="1"/>
  </cols>
  <sheetData>
    <row r="1" spans="1:12" x14ac:dyDescent="0.35">
      <c r="A1" s="98" t="s">
        <v>338</v>
      </c>
      <c r="B1" s="98" t="s">
        <v>255</v>
      </c>
      <c r="C1" s="124" t="s">
        <v>237</v>
      </c>
      <c r="D1" s="125">
        <v>2022</v>
      </c>
      <c r="E1" s="125">
        <v>2025</v>
      </c>
      <c r="F1" s="125">
        <v>2030</v>
      </c>
      <c r="G1" s="125">
        <v>2035</v>
      </c>
      <c r="H1" s="125">
        <v>2040</v>
      </c>
      <c r="I1" s="125">
        <v>2045</v>
      </c>
      <c r="J1" s="125">
        <v>2050</v>
      </c>
      <c r="K1" s="37" t="s">
        <v>68</v>
      </c>
      <c r="L1" s="37" t="s">
        <v>4</v>
      </c>
    </row>
    <row r="2" spans="1:12" x14ac:dyDescent="0.35">
      <c r="A2" s="10" t="s">
        <v>339</v>
      </c>
      <c r="B2" s="10" t="s">
        <v>174</v>
      </c>
      <c r="C2" s="10" t="s">
        <v>340</v>
      </c>
      <c r="D2" s="10">
        <v>20446.8</v>
      </c>
      <c r="E2" s="10">
        <v>52158</v>
      </c>
      <c r="F2" s="10">
        <v>129562.99999999999</v>
      </c>
      <c r="G2" s="10">
        <v>230335</v>
      </c>
      <c r="H2" s="10">
        <v>375651</v>
      </c>
      <c r="I2" s="10">
        <v>412594</v>
      </c>
      <c r="J2" s="10">
        <v>443805</v>
      </c>
      <c r="K2" s="10" t="s">
        <v>341</v>
      </c>
      <c r="L2" s="10" t="s">
        <v>342</v>
      </c>
    </row>
    <row r="3" spans="1:12" x14ac:dyDescent="0.35">
      <c r="A3" s="10" t="s">
        <v>339</v>
      </c>
      <c r="B3" s="10" t="s">
        <v>172</v>
      </c>
      <c r="C3" s="10" t="s">
        <v>340</v>
      </c>
      <c r="D3" s="10">
        <v>3588.53</v>
      </c>
      <c r="E3" s="10">
        <v>4192.8599999999997</v>
      </c>
      <c r="F3" s="10">
        <v>8542.69</v>
      </c>
      <c r="G3" s="10">
        <v>9258.3000000000011</v>
      </c>
      <c r="H3" s="10">
        <v>7913.89</v>
      </c>
      <c r="I3" s="10">
        <v>3908.09</v>
      </c>
      <c r="J3" s="10">
        <v>0</v>
      </c>
      <c r="K3" s="10" t="s">
        <v>341</v>
      </c>
      <c r="L3" s="10" t="s">
        <v>342</v>
      </c>
    </row>
    <row r="4" spans="1:12" x14ac:dyDescent="0.35">
      <c r="A4" s="10" t="s">
        <v>339</v>
      </c>
      <c r="B4" s="10" t="s">
        <v>343</v>
      </c>
      <c r="C4" s="10" t="s">
        <v>340</v>
      </c>
      <c r="D4" s="10">
        <v>29839.8</v>
      </c>
      <c r="E4" s="10">
        <v>70185.100000000006</v>
      </c>
      <c r="F4" s="10">
        <v>168110</v>
      </c>
      <c r="G4" s="10">
        <v>286364</v>
      </c>
      <c r="H4" s="10">
        <v>445639</v>
      </c>
      <c r="I4" s="10">
        <v>471378</v>
      </c>
      <c r="J4" s="10">
        <v>495165</v>
      </c>
      <c r="K4" s="10" t="s">
        <v>341</v>
      </c>
      <c r="L4" s="10" t="s">
        <v>342</v>
      </c>
    </row>
    <row r="5" spans="1:12" x14ac:dyDescent="0.35">
      <c r="A5" s="10" t="s">
        <v>339</v>
      </c>
      <c r="B5" s="10" t="s">
        <v>183</v>
      </c>
      <c r="C5" s="10" t="s">
        <v>340</v>
      </c>
      <c r="D5" s="10">
        <v>3435.36</v>
      </c>
      <c r="E5" s="10">
        <v>7684.75</v>
      </c>
      <c r="F5" s="10">
        <v>18501.400000000001</v>
      </c>
      <c r="G5" s="10">
        <v>30472.5</v>
      </c>
      <c r="H5" s="10">
        <v>44890.9</v>
      </c>
      <c r="I5" s="10">
        <v>47775.3</v>
      </c>
      <c r="J5" s="10">
        <v>49675.600000000006</v>
      </c>
      <c r="K5" s="10" t="s">
        <v>341</v>
      </c>
      <c r="L5" s="10" t="s">
        <v>342</v>
      </c>
    </row>
    <row r="6" spans="1:12" x14ac:dyDescent="0.35">
      <c r="A6" s="10" t="s">
        <v>339</v>
      </c>
      <c r="B6" s="10" t="s">
        <v>185</v>
      </c>
      <c r="C6" s="10" t="s">
        <v>340</v>
      </c>
      <c r="D6" s="10">
        <v>3227.31</v>
      </c>
      <c r="E6" s="10">
        <v>4106.54</v>
      </c>
      <c r="F6" s="10">
        <v>8019.15</v>
      </c>
      <c r="G6" s="10">
        <v>7612.3399999999992</v>
      </c>
      <c r="H6" s="10">
        <v>5348.8600000000006</v>
      </c>
      <c r="I6" s="10">
        <v>622.51599999999996</v>
      </c>
      <c r="J6" s="10">
        <v>0</v>
      </c>
      <c r="K6" s="10" t="s">
        <v>341</v>
      </c>
      <c r="L6" s="10" t="s">
        <v>342</v>
      </c>
    </row>
    <row r="7" spans="1:12" x14ac:dyDescent="0.35">
      <c r="A7" s="10" t="s">
        <v>339</v>
      </c>
      <c r="B7" s="10" t="s">
        <v>188</v>
      </c>
      <c r="C7" s="10" t="s">
        <v>340</v>
      </c>
      <c r="D7" s="10">
        <v>8911.24</v>
      </c>
      <c r="E7" s="10">
        <v>11841.8</v>
      </c>
      <c r="F7" s="10">
        <v>30308.5</v>
      </c>
      <c r="G7" s="10">
        <v>38877.699999999997</v>
      </c>
      <c r="H7" s="10">
        <v>35414.200000000004</v>
      </c>
      <c r="I7" s="10">
        <v>22539.3</v>
      </c>
      <c r="J7" s="10">
        <v>0</v>
      </c>
      <c r="K7" s="10" t="s">
        <v>341</v>
      </c>
      <c r="L7" s="10" t="s">
        <v>342</v>
      </c>
    </row>
    <row r="8" spans="1:12" x14ac:dyDescent="0.35">
      <c r="A8" s="10" t="s">
        <v>339</v>
      </c>
      <c r="B8" s="10" t="s">
        <v>193</v>
      </c>
      <c r="C8" s="10" t="s">
        <v>340</v>
      </c>
      <c r="D8" s="10">
        <v>69.968500000000006</v>
      </c>
      <c r="E8" s="10">
        <v>250.94899999999998</v>
      </c>
      <c r="F8" s="10">
        <v>1773.64</v>
      </c>
      <c r="G8" s="10">
        <v>4043.8099999999995</v>
      </c>
      <c r="H8" s="10">
        <v>8177.74</v>
      </c>
      <c r="I8" s="10">
        <v>11069.5</v>
      </c>
      <c r="J8" s="10">
        <v>12395.300000000001</v>
      </c>
      <c r="K8" s="10" t="s">
        <v>341</v>
      </c>
      <c r="L8" s="10" t="s">
        <v>342</v>
      </c>
    </row>
    <row r="9" spans="1:12" x14ac:dyDescent="0.35">
      <c r="A9" s="10" t="s">
        <v>339</v>
      </c>
      <c r="B9" s="10" t="s">
        <v>200</v>
      </c>
      <c r="C9" s="10" t="s">
        <v>340</v>
      </c>
      <c r="D9" s="10">
        <v>0</v>
      </c>
      <c r="E9" s="10">
        <v>0</v>
      </c>
      <c r="F9" s="10">
        <v>24082.799999999999</v>
      </c>
      <c r="G9" s="10">
        <v>111623</v>
      </c>
      <c r="H9" s="10">
        <v>367900</v>
      </c>
      <c r="I9" s="10">
        <v>420211</v>
      </c>
      <c r="J9" s="10">
        <v>470541</v>
      </c>
      <c r="K9" s="10" t="s">
        <v>341</v>
      </c>
      <c r="L9" s="10" t="s">
        <v>342</v>
      </c>
    </row>
    <row r="10" spans="1:12" x14ac:dyDescent="0.35">
      <c r="A10" s="10" t="s">
        <v>339</v>
      </c>
      <c r="B10" s="10" t="s">
        <v>174</v>
      </c>
      <c r="C10" s="10" t="s">
        <v>344</v>
      </c>
      <c r="D10" s="10">
        <v>20446.8</v>
      </c>
      <c r="E10" s="10">
        <v>77495</v>
      </c>
      <c r="F10" s="10">
        <v>258151</v>
      </c>
      <c r="G10" s="10">
        <v>440859</v>
      </c>
      <c r="H10" s="10">
        <v>685316</v>
      </c>
      <c r="I10" s="10">
        <v>733830</v>
      </c>
      <c r="J10" s="10">
        <v>665157</v>
      </c>
      <c r="K10" s="10" t="s">
        <v>341</v>
      </c>
      <c r="L10" s="10" t="s">
        <v>342</v>
      </c>
    </row>
    <row r="11" spans="1:12" x14ac:dyDescent="0.35">
      <c r="A11" s="10" t="s">
        <v>339</v>
      </c>
      <c r="B11" s="10" t="s">
        <v>172</v>
      </c>
      <c r="C11" s="10" t="s">
        <v>344</v>
      </c>
      <c r="D11" s="10">
        <v>3588.53</v>
      </c>
      <c r="E11" s="10">
        <v>6229.6500000000005</v>
      </c>
      <c r="F11" s="10">
        <v>17021.100000000002</v>
      </c>
      <c r="G11" s="10">
        <v>17720.300000000003</v>
      </c>
      <c r="H11" s="10">
        <v>14437.6</v>
      </c>
      <c r="I11" s="10">
        <v>6950.8200000000006</v>
      </c>
      <c r="J11" s="10">
        <v>0</v>
      </c>
      <c r="K11" s="10" t="s">
        <v>341</v>
      </c>
      <c r="L11" s="10" t="s">
        <v>342</v>
      </c>
    </row>
    <row r="12" spans="1:12" x14ac:dyDescent="0.35">
      <c r="A12" s="10" t="s">
        <v>339</v>
      </c>
      <c r="B12" s="10" t="s">
        <v>343</v>
      </c>
      <c r="C12" s="10" t="s">
        <v>344</v>
      </c>
      <c r="D12" s="10">
        <v>29839.8</v>
      </c>
      <c r="E12" s="10">
        <v>104279</v>
      </c>
      <c r="F12" s="10">
        <v>334955</v>
      </c>
      <c r="G12" s="10">
        <v>548098</v>
      </c>
      <c r="H12" s="10">
        <v>812997</v>
      </c>
      <c r="I12" s="10">
        <v>838381</v>
      </c>
      <c r="J12" s="10">
        <v>742133</v>
      </c>
      <c r="K12" s="10" t="s">
        <v>341</v>
      </c>
      <c r="L12" s="10" t="s">
        <v>342</v>
      </c>
    </row>
    <row r="13" spans="1:12" x14ac:dyDescent="0.35">
      <c r="A13" s="10" t="s">
        <v>339</v>
      </c>
      <c r="B13" s="10" t="s">
        <v>183</v>
      </c>
      <c r="C13" s="10" t="s">
        <v>344</v>
      </c>
      <c r="D13" s="10">
        <v>3435.36</v>
      </c>
      <c r="E13" s="10">
        <v>11417.8</v>
      </c>
      <c r="F13" s="10">
        <v>36863.599999999999</v>
      </c>
      <c r="G13" s="10">
        <v>58324</v>
      </c>
      <c r="H13" s="10">
        <v>81896.3</v>
      </c>
      <c r="I13" s="10">
        <v>84972</v>
      </c>
      <c r="J13" s="10">
        <v>74451.8</v>
      </c>
      <c r="K13" s="10" t="s">
        <v>341</v>
      </c>
      <c r="L13" s="10" t="s">
        <v>342</v>
      </c>
    </row>
    <row r="14" spans="1:12" x14ac:dyDescent="0.35">
      <c r="A14" s="10" t="s">
        <v>339</v>
      </c>
      <c r="B14" s="10" t="s">
        <v>185</v>
      </c>
      <c r="C14" s="10" t="s">
        <v>344</v>
      </c>
      <c r="D14" s="10">
        <v>3227.31</v>
      </c>
      <c r="E14" s="10">
        <v>6101.39</v>
      </c>
      <c r="F14" s="10">
        <v>15978</v>
      </c>
      <c r="G14" s="10">
        <v>14570</v>
      </c>
      <c r="H14" s="10">
        <v>9758.14</v>
      </c>
      <c r="I14" s="10">
        <v>1107.1899999999998</v>
      </c>
      <c r="J14" s="10">
        <v>0</v>
      </c>
      <c r="K14" s="10" t="s">
        <v>341</v>
      </c>
      <c r="L14" s="10" t="s">
        <v>342</v>
      </c>
    </row>
    <row r="15" spans="1:12" x14ac:dyDescent="0.35">
      <c r="A15" s="10" t="s">
        <v>339</v>
      </c>
      <c r="B15" s="10" t="s">
        <v>188</v>
      </c>
      <c r="C15" s="10" t="s">
        <v>344</v>
      </c>
      <c r="D15" s="10">
        <v>8911.24</v>
      </c>
      <c r="E15" s="10">
        <v>17594.3</v>
      </c>
      <c r="F15" s="10">
        <v>60389</v>
      </c>
      <c r="G15" s="10">
        <v>74411.600000000006</v>
      </c>
      <c r="H15" s="10">
        <v>64607.5</v>
      </c>
      <c r="I15" s="10">
        <v>40087.800000000003</v>
      </c>
      <c r="J15" s="10">
        <v>0</v>
      </c>
      <c r="K15" s="10" t="s">
        <v>341</v>
      </c>
      <c r="L15" s="10" t="s">
        <v>342</v>
      </c>
    </row>
    <row r="16" spans="1:12" x14ac:dyDescent="0.35">
      <c r="A16" s="10" t="s">
        <v>339</v>
      </c>
      <c r="B16" s="10" t="s">
        <v>193</v>
      </c>
      <c r="C16" s="10" t="s">
        <v>344</v>
      </c>
      <c r="D16" s="10">
        <v>69.968500000000006</v>
      </c>
      <c r="E16" s="10">
        <v>372.85300000000001</v>
      </c>
      <c r="F16" s="10">
        <v>3533.93</v>
      </c>
      <c r="G16" s="10">
        <v>7739.81</v>
      </c>
      <c r="H16" s="10">
        <v>14919</v>
      </c>
      <c r="I16" s="10">
        <v>19687.899999999998</v>
      </c>
      <c r="J16" s="10">
        <v>18577.5</v>
      </c>
      <c r="K16" s="10" t="s">
        <v>341</v>
      </c>
      <c r="L16" s="10" t="s">
        <v>342</v>
      </c>
    </row>
    <row r="17" spans="1:12" x14ac:dyDescent="0.35">
      <c r="A17" s="10" t="s">
        <v>339</v>
      </c>
      <c r="B17" s="10" t="s">
        <v>200</v>
      </c>
      <c r="C17" s="10" t="s">
        <v>344</v>
      </c>
      <c r="D17" s="10">
        <v>0</v>
      </c>
      <c r="E17" s="10">
        <v>0</v>
      </c>
      <c r="F17" s="10">
        <v>47984.299999999996</v>
      </c>
      <c r="G17" s="10">
        <v>213646</v>
      </c>
      <c r="H17" s="10">
        <v>671175</v>
      </c>
      <c r="I17" s="10">
        <v>747377</v>
      </c>
      <c r="J17" s="10">
        <v>705227</v>
      </c>
      <c r="K17" s="10" t="s">
        <v>341</v>
      </c>
      <c r="L17" s="10" t="s">
        <v>342</v>
      </c>
    </row>
    <row r="18" spans="1:12" x14ac:dyDescent="0.35">
      <c r="A18" s="10" t="s">
        <v>339</v>
      </c>
      <c r="B18" s="10" t="s">
        <v>174</v>
      </c>
      <c r="C18" s="10" t="s">
        <v>345</v>
      </c>
      <c r="D18" s="10">
        <v>20446.8</v>
      </c>
      <c r="E18" s="10">
        <v>38443.699999999997</v>
      </c>
      <c r="F18" s="10">
        <v>82727.900000000009</v>
      </c>
      <c r="G18" s="10">
        <v>153587</v>
      </c>
      <c r="H18" s="10">
        <v>225253</v>
      </c>
      <c r="I18" s="10">
        <v>238484</v>
      </c>
      <c r="J18" s="10">
        <v>219724</v>
      </c>
      <c r="K18" s="10" t="s">
        <v>341</v>
      </c>
      <c r="L18" s="10" t="s">
        <v>342</v>
      </c>
    </row>
    <row r="19" spans="1:12" x14ac:dyDescent="0.35">
      <c r="A19" s="10" t="s">
        <v>339</v>
      </c>
      <c r="B19" s="10" t="s">
        <v>172</v>
      </c>
      <c r="C19" s="10" t="s">
        <v>345</v>
      </c>
      <c r="D19" s="10">
        <v>3588.53</v>
      </c>
      <c r="E19" s="10">
        <v>3090.3999999999996</v>
      </c>
      <c r="F19" s="10">
        <v>5454.65</v>
      </c>
      <c r="G19" s="10">
        <v>6173.41</v>
      </c>
      <c r="H19" s="10">
        <v>4745.4299999999994</v>
      </c>
      <c r="I19" s="10">
        <v>2258.9100000000003</v>
      </c>
      <c r="J19" s="10">
        <v>0</v>
      </c>
      <c r="K19" s="10" t="s">
        <v>341</v>
      </c>
      <c r="L19" s="10" t="s">
        <v>342</v>
      </c>
    </row>
    <row r="20" spans="1:12" x14ac:dyDescent="0.35">
      <c r="A20" s="10" t="s">
        <v>339</v>
      </c>
      <c r="B20" s="10" t="s">
        <v>343</v>
      </c>
      <c r="C20" s="10" t="s">
        <v>345</v>
      </c>
      <c r="D20" s="10">
        <v>29839.8</v>
      </c>
      <c r="E20" s="10">
        <v>51730.9</v>
      </c>
      <c r="F20" s="10">
        <v>107341</v>
      </c>
      <c r="G20" s="10">
        <v>190947</v>
      </c>
      <c r="H20" s="10">
        <v>267220</v>
      </c>
      <c r="I20" s="10">
        <v>272461</v>
      </c>
      <c r="J20" s="10">
        <v>245152</v>
      </c>
      <c r="K20" s="10" t="s">
        <v>341</v>
      </c>
      <c r="L20" s="10" t="s">
        <v>342</v>
      </c>
    </row>
    <row r="21" spans="1:12" x14ac:dyDescent="0.35">
      <c r="A21" s="10" t="s">
        <v>339</v>
      </c>
      <c r="B21" s="10" t="s">
        <v>183</v>
      </c>
      <c r="C21" s="10" t="s">
        <v>345</v>
      </c>
      <c r="D21" s="10">
        <v>3435.36</v>
      </c>
      <c r="E21" s="10">
        <v>5664.1500000000005</v>
      </c>
      <c r="F21" s="10">
        <v>11813.4</v>
      </c>
      <c r="G21" s="10">
        <v>20319</v>
      </c>
      <c r="H21" s="10">
        <v>26918.1</v>
      </c>
      <c r="I21" s="10">
        <v>27614.6</v>
      </c>
      <c r="J21" s="10">
        <v>24593.9</v>
      </c>
      <c r="K21" s="10" t="s">
        <v>341</v>
      </c>
      <c r="L21" s="10" t="s">
        <v>342</v>
      </c>
    </row>
    <row r="22" spans="1:12" x14ac:dyDescent="0.35">
      <c r="A22" s="10" t="s">
        <v>339</v>
      </c>
      <c r="B22" s="10" t="s">
        <v>185</v>
      </c>
      <c r="C22" s="10" t="s">
        <v>345</v>
      </c>
      <c r="D22" s="10">
        <v>3227.31</v>
      </c>
      <c r="E22" s="10">
        <v>3026.78</v>
      </c>
      <c r="F22" s="10">
        <v>5120.3599999999997</v>
      </c>
      <c r="G22" s="10">
        <v>5075.8900000000003</v>
      </c>
      <c r="H22" s="10">
        <v>3207.35</v>
      </c>
      <c r="I22" s="10">
        <v>359.82100000000003</v>
      </c>
      <c r="J22" s="10">
        <v>0</v>
      </c>
      <c r="K22" s="10" t="s">
        <v>341</v>
      </c>
      <c r="L22" s="10" t="s">
        <v>342</v>
      </c>
    </row>
    <row r="23" spans="1:12" x14ac:dyDescent="0.35">
      <c r="A23" s="10" t="s">
        <v>339</v>
      </c>
      <c r="B23" s="10" t="s">
        <v>188</v>
      </c>
      <c r="C23" s="10" t="s">
        <v>345</v>
      </c>
      <c r="D23" s="10">
        <v>8911.24</v>
      </c>
      <c r="E23" s="10">
        <v>8728.17</v>
      </c>
      <c r="F23" s="10">
        <v>19352.5</v>
      </c>
      <c r="G23" s="10">
        <v>25923.5</v>
      </c>
      <c r="H23" s="10">
        <v>21235.5</v>
      </c>
      <c r="I23" s="10">
        <v>13027.900000000001</v>
      </c>
      <c r="J23" s="10">
        <v>0</v>
      </c>
      <c r="K23" s="10" t="s">
        <v>341</v>
      </c>
      <c r="L23" s="10" t="s">
        <v>342</v>
      </c>
    </row>
    <row r="24" spans="1:12" x14ac:dyDescent="0.35">
      <c r="A24" s="10" t="s">
        <v>339</v>
      </c>
      <c r="B24" s="10" t="s">
        <v>193</v>
      </c>
      <c r="C24" s="10" t="s">
        <v>345</v>
      </c>
      <c r="D24" s="10">
        <v>69.968500000000006</v>
      </c>
      <c r="E24" s="10">
        <v>184.965</v>
      </c>
      <c r="F24" s="10">
        <v>1132.5</v>
      </c>
      <c r="G24" s="10">
        <v>2696.4</v>
      </c>
      <c r="H24" s="10">
        <v>4903.6400000000003</v>
      </c>
      <c r="I24" s="10">
        <v>6398.2599999999993</v>
      </c>
      <c r="J24" s="10">
        <v>6136.79</v>
      </c>
      <c r="K24" s="10" t="s">
        <v>341</v>
      </c>
      <c r="L24" s="10" t="s">
        <v>342</v>
      </c>
    </row>
    <row r="25" spans="1:12" x14ac:dyDescent="0.35">
      <c r="A25" s="10" t="s">
        <v>339</v>
      </c>
      <c r="B25" s="10" t="s">
        <v>200</v>
      </c>
      <c r="C25" s="10" t="s">
        <v>345</v>
      </c>
      <c r="D25" s="10">
        <v>0</v>
      </c>
      <c r="E25" s="10">
        <v>0</v>
      </c>
      <c r="F25" s="10">
        <v>15377.2</v>
      </c>
      <c r="G25" s="10">
        <v>74430.099999999991</v>
      </c>
      <c r="H25" s="10">
        <v>220605</v>
      </c>
      <c r="I25" s="10">
        <v>242886</v>
      </c>
      <c r="J25" s="10">
        <v>232960</v>
      </c>
      <c r="K25" s="10" t="s">
        <v>341</v>
      </c>
      <c r="L25" s="10" t="s">
        <v>342</v>
      </c>
    </row>
    <row r="26" spans="1:12" x14ac:dyDescent="0.35">
      <c r="A26" s="10" t="s">
        <v>346</v>
      </c>
      <c r="B26" s="10" t="s">
        <v>174</v>
      </c>
      <c r="C26" s="10" t="s">
        <v>340</v>
      </c>
      <c r="D26" s="10">
        <v>4181609.9999999995</v>
      </c>
      <c r="E26" s="10">
        <v>4945270</v>
      </c>
      <c r="F26" s="10">
        <v>7439960</v>
      </c>
      <c r="G26" s="10">
        <v>8394400</v>
      </c>
      <c r="H26" s="10">
        <v>9058740</v>
      </c>
      <c r="I26" s="10">
        <v>9465800</v>
      </c>
      <c r="J26" s="10">
        <v>8887340</v>
      </c>
      <c r="K26" s="10" t="s">
        <v>341</v>
      </c>
      <c r="L26" s="10" t="s">
        <v>342</v>
      </c>
    </row>
    <row r="27" spans="1:12" x14ac:dyDescent="0.35">
      <c r="A27" s="10" t="s">
        <v>346</v>
      </c>
      <c r="B27" s="10" t="s">
        <v>168</v>
      </c>
      <c r="C27" s="10" t="s">
        <v>340</v>
      </c>
      <c r="D27" s="10">
        <v>10357000</v>
      </c>
      <c r="E27" s="10">
        <v>11846000</v>
      </c>
      <c r="F27" s="10">
        <v>15649000</v>
      </c>
      <c r="G27" s="10">
        <v>17310000</v>
      </c>
      <c r="H27" s="10">
        <v>18467000</v>
      </c>
      <c r="I27" s="10">
        <v>19679000</v>
      </c>
      <c r="J27" s="10">
        <v>18957000</v>
      </c>
      <c r="K27" s="10" t="s">
        <v>341</v>
      </c>
      <c r="L27" s="10" t="s">
        <v>342</v>
      </c>
    </row>
    <row r="28" spans="1:12" x14ac:dyDescent="0.35">
      <c r="A28" s="10" t="s">
        <v>346</v>
      </c>
      <c r="B28" s="10" t="s">
        <v>174</v>
      </c>
      <c r="C28" s="10" t="s">
        <v>344</v>
      </c>
      <c r="D28" s="10">
        <v>4181609.9999999995</v>
      </c>
      <c r="E28" s="10">
        <v>5024260</v>
      </c>
      <c r="F28" s="10">
        <v>8923600</v>
      </c>
      <c r="G28" s="10">
        <v>11444500</v>
      </c>
      <c r="H28" s="10">
        <v>12574400</v>
      </c>
      <c r="I28" s="10">
        <v>11756900</v>
      </c>
      <c r="J28" s="10">
        <v>9777840</v>
      </c>
      <c r="K28" s="10" t="s">
        <v>341</v>
      </c>
      <c r="L28" s="10" t="s">
        <v>342</v>
      </c>
    </row>
    <row r="29" spans="1:12" x14ac:dyDescent="0.35">
      <c r="A29" s="10" t="s">
        <v>346</v>
      </c>
      <c r="B29" s="10" t="s">
        <v>168</v>
      </c>
      <c r="C29" s="10" t="s">
        <v>344</v>
      </c>
      <c r="D29" s="10">
        <v>10357000</v>
      </c>
      <c r="E29" s="10">
        <v>12423000</v>
      </c>
      <c r="F29" s="10">
        <v>17872000</v>
      </c>
      <c r="G29" s="10">
        <v>22818000</v>
      </c>
      <c r="H29" s="10">
        <v>26403000</v>
      </c>
      <c r="I29" s="10">
        <v>25148000</v>
      </c>
      <c r="J29" s="10">
        <v>20759000</v>
      </c>
      <c r="K29" s="10" t="s">
        <v>341</v>
      </c>
      <c r="L29" s="10" t="s">
        <v>342</v>
      </c>
    </row>
    <row r="30" spans="1:12" x14ac:dyDescent="0.35">
      <c r="A30" s="10" t="s">
        <v>346</v>
      </c>
      <c r="B30" s="10" t="s">
        <v>174</v>
      </c>
      <c r="C30" s="10" t="s">
        <v>345</v>
      </c>
      <c r="D30" s="10">
        <v>4181609.9999999995</v>
      </c>
      <c r="E30" s="10">
        <v>4578910</v>
      </c>
      <c r="F30" s="10">
        <v>6510250</v>
      </c>
      <c r="G30" s="10">
        <v>6510830</v>
      </c>
      <c r="H30" s="10">
        <v>6582400</v>
      </c>
      <c r="I30" s="10">
        <v>7113430</v>
      </c>
      <c r="J30" s="10">
        <v>6982320</v>
      </c>
      <c r="K30" s="10" t="s">
        <v>341</v>
      </c>
      <c r="L30" s="10" t="s">
        <v>342</v>
      </c>
    </row>
    <row r="31" spans="1:12" x14ac:dyDescent="0.35">
      <c r="A31" s="10" t="s">
        <v>346</v>
      </c>
      <c r="B31" s="10" t="s">
        <v>168</v>
      </c>
      <c r="C31" s="10" t="s">
        <v>345</v>
      </c>
      <c r="D31" s="10">
        <v>10357000</v>
      </c>
      <c r="E31" s="10">
        <v>11606000</v>
      </c>
      <c r="F31" s="10">
        <v>14527000</v>
      </c>
      <c r="G31" s="10">
        <v>14482000</v>
      </c>
      <c r="H31" s="10">
        <v>14174000</v>
      </c>
      <c r="I31" s="10">
        <v>14943000</v>
      </c>
      <c r="J31" s="10">
        <v>14343000</v>
      </c>
      <c r="K31" s="10" t="s">
        <v>341</v>
      </c>
      <c r="L31" s="10" t="s">
        <v>342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39F513-558F-4DC6-A942-38BE989342C2}">
  <sheetPr>
    <tabColor theme="5" tint="0.79998168889431442"/>
  </sheetPr>
  <dimension ref="A1:I17"/>
  <sheetViews>
    <sheetView workbookViewId="0">
      <selection activeCell="I30" sqref="I30"/>
    </sheetView>
  </sheetViews>
  <sheetFormatPr baseColWidth="10" defaultRowHeight="14.5" x14ac:dyDescent="0.35"/>
  <cols>
    <col min="3" max="6" width="13.453125" bestFit="1" customWidth="1"/>
    <col min="9" max="9" width="20.453125" customWidth="1"/>
  </cols>
  <sheetData>
    <row r="1" spans="1:9" x14ac:dyDescent="0.35">
      <c r="A1" s="30" t="s">
        <v>255</v>
      </c>
      <c r="B1" s="30" t="s">
        <v>237</v>
      </c>
      <c r="C1" s="99">
        <v>2020</v>
      </c>
      <c r="D1" s="99">
        <v>2030</v>
      </c>
      <c r="E1" s="99">
        <v>2040</v>
      </c>
      <c r="F1" s="99">
        <v>2050</v>
      </c>
      <c r="G1" s="126" t="s">
        <v>68</v>
      </c>
      <c r="H1" s="99" t="s">
        <v>4</v>
      </c>
      <c r="I1" s="99" t="s">
        <v>335</v>
      </c>
    </row>
    <row r="2" spans="1:9" x14ac:dyDescent="0.35">
      <c r="A2" s="127" t="s">
        <v>168</v>
      </c>
      <c r="B2" s="43" t="s">
        <v>264</v>
      </c>
      <c r="C2" s="128">
        <v>57736224.402578689</v>
      </c>
      <c r="D2" s="128">
        <v>67667309.791581914</v>
      </c>
      <c r="E2" s="128">
        <v>71305268.666108638</v>
      </c>
      <c r="F2" s="128">
        <v>71812435.304376259</v>
      </c>
      <c r="G2" s="128" t="s">
        <v>347</v>
      </c>
      <c r="H2" s="10" t="s">
        <v>348</v>
      </c>
      <c r="I2" s="10"/>
    </row>
    <row r="3" spans="1:9" x14ac:dyDescent="0.35">
      <c r="A3" s="127" t="s">
        <v>168</v>
      </c>
      <c r="B3" s="43" t="s">
        <v>265</v>
      </c>
      <c r="C3" s="129">
        <v>76622486.999999985</v>
      </c>
      <c r="D3" s="129">
        <v>82680179</v>
      </c>
      <c r="E3" s="129">
        <v>86405570.000000015</v>
      </c>
      <c r="F3" s="129">
        <v>88471761.000000015</v>
      </c>
      <c r="G3" s="128" t="s">
        <v>347</v>
      </c>
      <c r="H3" s="10" t="s">
        <v>348</v>
      </c>
      <c r="I3" s="10"/>
    </row>
    <row r="4" spans="1:9" x14ac:dyDescent="0.35">
      <c r="A4" s="127" t="s">
        <v>168</v>
      </c>
      <c r="B4" s="43" t="s">
        <v>266</v>
      </c>
      <c r="C4" s="129">
        <v>65482628.093957938</v>
      </c>
      <c r="D4" s="129">
        <v>69334255.124257818</v>
      </c>
      <c r="E4" s="129">
        <v>71898169.827508122</v>
      </c>
      <c r="F4" s="129">
        <v>72861135.309689313</v>
      </c>
      <c r="G4" s="128" t="s">
        <v>347</v>
      </c>
      <c r="H4" s="10" t="s">
        <v>348</v>
      </c>
      <c r="I4" s="10"/>
    </row>
    <row r="5" spans="1:9" x14ac:dyDescent="0.35">
      <c r="A5" s="127" t="s">
        <v>168</v>
      </c>
      <c r="B5" s="43" t="s">
        <v>268</v>
      </c>
      <c r="C5" s="129">
        <v>91558561.532466292</v>
      </c>
      <c r="D5" s="129">
        <v>102042448.38752078</v>
      </c>
      <c r="E5" s="129">
        <v>110919558.1733536</v>
      </c>
      <c r="F5" s="129">
        <v>122565621.33335048</v>
      </c>
      <c r="G5" s="128" t="s">
        <v>347</v>
      </c>
      <c r="H5" s="10" t="s">
        <v>348</v>
      </c>
      <c r="I5" s="10"/>
    </row>
    <row r="6" spans="1:9" x14ac:dyDescent="0.35">
      <c r="A6" s="130" t="s">
        <v>172</v>
      </c>
      <c r="B6" s="131" t="s">
        <v>345</v>
      </c>
      <c r="C6" s="132">
        <v>150400</v>
      </c>
      <c r="D6" s="132">
        <v>168600</v>
      </c>
      <c r="E6" s="132">
        <v>197500</v>
      </c>
      <c r="F6" s="132">
        <v>222400</v>
      </c>
      <c r="G6" s="128" t="s">
        <v>347</v>
      </c>
      <c r="H6" s="10" t="s">
        <v>342</v>
      </c>
      <c r="I6" s="10"/>
    </row>
    <row r="7" spans="1:9" x14ac:dyDescent="0.35">
      <c r="A7" s="130" t="s">
        <v>172</v>
      </c>
      <c r="B7" s="131" t="s">
        <v>340</v>
      </c>
      <c r="C7" s="133">
        <v>150400</v>
      </c>
      <c r="D7" s="133">
        <v>167500</v>
      </c>
      <c r="E7" s="133">
        <v>193800</v>
      </c>
      <c r="F7" s="133">
        <v>217800</v>
      </c>
      <c r="G7" s="128" t="s">
        <v>347</v>
      </c>
      <c r="H7" s="10" t="s">
        <v>342</v>
      </c>
      <c r="I7" s="10"/>
    </row>
    <row r="8" spans="1:9" x14ac:dyDescent="0.35">
      <c r="A8" s="130" t="s">
        <v>172</v>
      </c>
      <c r="B8" s="131" t="s">
        <v>344</v>
      </c>
      <c r="C8" s="133">
        <v>150400</v>
      </c>
      <c r="D8" s="133">
        <v>167000</v>
      </c>
      <c r="E8" s="133">
        <v>193100</v>
      </c>
      <c r="F8" s="133">
        <v>216500</v>
      </c>
      <c r="G8" s="128" t="s">
        <v>347</v>
      </c>
      <c r="H8" s="10" t="s">
        <v>342</v>
      </c>
      <c r="I8" s="10"/>
    </row>
    <row r="9" spans="1:9" x14ac:dyDescent="0.35">
      <c r="A9" s="130" t="s">
        <v>174</v>
      </c>
      <c r="B9" s="131" t="s">
        <v>345</v>
      </c>
      <c r="C9" s="132">
        <v>19543000</v>
      </c>
      <c r="D9" s="132">
        <v>20341000</v>
      </c>
      <c r="E9" s="132">
        <v>21997000</v>
      </c>
      <c r="F9" s="132">
        <v>24671000</v>
      </c>
      <c r="G9" s="128" t="s">
        <v>347</v>
      </c>
      <c r="H9" s="10" t="s">
        <v>342</v>
      </c>
      <c r="I9" s="10"/>
    </row>
    <row r="10" spans="1:9" x14ac:dyDescent="0.35">
      <c r="A10" s="130" t="s">
        <v>174</v>
      </c>
      <c r="B10" s="131" t="s">
        <v>340</v>
      </c>
      <c r="C10" s="134">
        <v>19543000</v>
      </c>
      <c r="D10" s="134">
        <v>19127000</v>
      </c>
      <c r="E10" s="134">
        <v>20036000</v>
      </c>
      <c r="F10" s="134">
        <v>22046000</v>
      </c>
      <c r="G10" s="128" t="s">
        <v>347</v>
      </c>
      <c r="H10" s="10" t="s">
        <v>342</v>
      </c>
      <c r="I10" s="10"/>
    </row>
    <row r="11" spans="1:9" x14ac:dyDescent="0.35">
      <c r="A11" s="130" t="s">
        <v>174</v>
      </c>
      <c r="B11" s="131" t="s">
        <v>344</v>
      </c>
      <c r="C11" s="134">
        <v>19543000</v>
      </c>
      <c r="D11" s="133">
        <v>18399000</v>
      </c>
      <c r="E11" s="133">
        <v>19434000</v>
      </c>
      <c r="F11" s="133">
        <v>21473000</v>
      </c>
      <c r="G11" s="128" t="s">
        <v>347</v>
      </c>
      <c r="H11" s="10" t="s">
        <v>342</v>
      </c>
      <c r="I11" s="10"/>
    </row>
    <row r="12" spans="1:9" x14ac:dyDescent="0.35">
      <c r="A12" s="135" t="s">
        <v>181</v>
      </c>
      <c r="B12" s="131" t="s">
        <v>267</v>
      </c>
      <c r="C12" s="133">
        <v>1584579230.7692313</v>
      </c>
      <c r="D12" s="133">
        <v>1878159230.7692313</v>
      </c>
      <c r="E12" s="133">
        <v>1945908461.5384533</v>
      </c>
      <c r="F12" s="133">
        <v>2194322307.6923056</v>
      </c>
      <c r="G12" s="128" t="s">
        <v>347</v>
      </c>
      <c r="H12" s="10" t="s">
        <v>349</v>
      </c>
      <c r="I12" s="10"/>
    </row>
    <row r="13" spans="1:9" x14ac:dyDescent="0.35">
      <c r="A13" s="98" t="s">
        <v>183</v>
      </c>
      <c r="B13" s="131" t="s">
        <v>267</v>
      </c>
      <c r="C13" s="133">
        <v>30613.749600000006</v>
      </c>
      <c r="D13" s="133">
        <v>49326.842120012618</v>
      </c>
      <c r="E13" s="133">
        <v>61037.346500015381</v>
      </c>
      <c r="F13" s="133">
        <v>75522.053860352215</v>
      </c>
      <c r="G13" s="128" t="s">
        <v>347</v>
      </c>
      <c r="H13" s="10" t="s">
        <v>350</v>
      </c>
      <c r="I13" s="10" t="s">
        <v>351</v>
      </c>
    </row>
    <row r="14" spans="1:9" x14ac:dyDescent="0.35">
      <c r="A14" s="130" t="s">
        <v>188</v>
      </c>
      <c r="B14" s="131" t="s">
        <v>345</v>
      </c>
      <c r="C14" s="132">
        <v>2627000</v>
      </c>
      <c r="D14" s="132">
        <v>2866000</v>
      </c>
      <c r="E14" s="132">
        <v>3120000</v>
      </c>
      <c r="F14" s="132">
        <v>3354000</v>
      </c>
      <c r="G14" s="128" t="s">
        <v>347</v>
      </c>
      <c r="H14" s="10" t="s">
        <v>342</v>
      </c>
      <c r="I14" s="10"/>
    </row>
    <row r="15" spans="1:9" x14ac:dyDescent="0.35">
      <c r="A15" s="130" t="s">
        <v>188</v>
      </c>
      <c r="B15" s="131" t="s">
        <v>340</v>
      </c>
      <c r="C15" s="133">
        <v>2627000</v>
      </c>
      <c r="D15" s="133">
        <v>2802000</v>
      </c>
      <c r="E15" s="133">
        <v>2857000</v>
      </c>
      <c r="F15" s="133">
        <v>3014000</v>
      </c>
      <c r="G15" s="128" t="s">
        <v>347</v>
      </c>
      <c r="H15" s="10" t="s">
        <v>342</v>
      </c>
      <c r="I15" s="10"/>
    </row>
    <row r="16" spans="1:9" x14ac:dyDescent="0.35">
      <c r="A16" s="130" t="s">
        <v>188</v>
      </c>
      <c r="B16" s="131" t="s">
        <v>344</v>
      </c>
      <c r="C16" s="133">
        <v>2627000</v>
      </c>
      <c r="D16" s="133">
        <v>2776000</v>
      </c>
      <c r="E16" s="133">
        <v>2803000</v>
      </c>
      <c r="F16" s="136">
        <v>2935000</v>
      </c>
      <c r="G16" s="128" t="s">
        <v>347</v>
      </c>
      <c r="H16" s="10" t="s">
        <v>342</v>
      </c>
      <c r="I16" s="10"/>
    </row>
    <row r="17" spans="1:9" x14ac:dyDescent="0.35">
      <c r="A17" s="135" t="s">
        <v>202</v>
      </c>
      <c r="B17" s="131" t="s">
        <v>267</v>
      </c>
      <c r="C17" s="137">
        <v>16900000</v>
      </c>
      <c r="D17" s="137">
        <v>20370000</v>
      </c>
      <c r="E17" s="137">
        <v>23990000</v>
      </c>
      <c r="F17" s="137">
        <v>27790000</v>
      </c>
      <c r="G17" s="128" t="s">
        <v>347</v>
      </c>
      <c r="H17" s="10" t="s">
        <v>352</v>
      </c>
      <c r="I17" s="10"/>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870F31-55CC-4887-BE8F-4B30AC9515FB}">
  <sheetPr>
    <tabColor theme="5" tint="0.79998168889431442"/>
  </sheetPr>
  <dimension ref="A1:L74"/>
  <sheetViews>
    <sheetView topLeftCell="A22" workbookViewId="0">
      <selection activeCell="F11" sqref="F11"/>
    </sheetView>
  </sheetViews>
  <sheetFormatPr baseColWidth="10" defaultRowHeight="14.5" x14ac:dyDescent="0.35"/>
  <cols>
    <col min="4" max="4" width="18" bestFit="1" customWidth="1"/>
    <col min="6" max="6" width="28.453125" bestFit="1" customWidth="1"/>
    <col min="7" max="7" width="11.7265625" customWidth="1"/>
    <col min="11" max="11" width="30.6328125" bestFit="1" customWidth="1"/>
  </cols>
  <sheetData>
    <row r="1" spans="1:12" x14ac:dyDescent="0.35">
      <c r="A1" s="251" t="s">
        <v>353</v>
      </c>
      <c r="B1" s="251"/>
      <c r="C1" s="251"/>
      <c r="D1" s="251"/>
    </row>
    <row r="2" spans="1:12" x14ac:dyDescent="0.35">
      <c r="A2" s="252" t="s">
        <v>354</v>
      </c>
      <c r="B2" s="252" t="s">
        <v>355</v>
      </c>
      <c r="C2" s="252" t="s">
        <v>356</v>
      </c>
      <c r="D2" s="252" t="s">
        <v>4</v>
      </c>
      <c r="F2" s="249" t="s">
        <v>357</v>
      </c>
      <c r="H2" s="251" t="s">
        <v>361</v>
      </c>
      <c r="I2" s="251"/>
      <c r="J2" s="251"/>
      <c r="K2" s="251"/>
      <c r="L2" s="251"/>
    </row>
    <row r="3" spans="1:12" x14ac:dyDescent="0.35">
      <c r="A3" s="253"/>
      <c r="B3" s="253"/>
      <c r="C3" s="253"/>
      <c r="D3" s="253"/>
      <c r="F3" s="250"/>
      <c r="H3" s="138">
        <v>2030</v>
      </c>
      <c r="I3" s="138">
        <v>2040</v>
      </c>
      <c r="J3" s="138">
        <v>2050</v>
      </c>
      <c r="K3" s="139" t="s">
        <v>68</v>
      </c>
      <c r="L3" s="99" t="s">
        <v>4</v>
      </c>
    </row>
    <row r="4" spans="1:12" x14ac:dyDescent="0.35">
      <c r="A4">
        <v>1990</v>
      </c>
      <c r="B4" t="s">
        <v>263</v>
      </c>
      <c r="C4">
        <v>8.4538304895952002E-2</v>
      </c>
      <c r="D4" t="s">
        <v>358</v>
      </c>
      <c r="F4">
        <f t="shared" ref="F4:F67" si="0">(C5-C4)/C4</f>
        <v>-1.9965157308993606E-2</v>
      </c>
      <c r="H4" s="46">
        <f>SUM(F35:F44)</f>
        <v>-8.6870699207865429E-2</v>
      </c>
      <c r="I4" s="46">
        <f>SUM(F45:F54)</f>
        <v>-8.4250953757133679E-2</v>
      </c>
      <c r="J4" s="46">
        <f>SUM(F55:F64)</f>
        <v>-8.7272404801165784E-2</v>
      </c>
      <c r="K4" s="10" t="s">
        <v>359</v>
      </c>
      <c r="L4" s="10" t="s">
        <v>360</v>
      </c>
    </row>
    <row r="5" spans="1:12" x14ac:dyDescent="0.35">
      <c r="A5">
        <v>1991</v>
      </c>
      <c r="B5" t="s">
        <v>263</v>
      </c>
      <c r="C5">
        <v>8.2850484340068656E-2</v>
      </c>
      <c r="D5" t="s">
        <v>358</v>
      </c>
      <c r="F5">
        <f t="shared" si="0"/>
        <v>-1.8851415089076414E-3</v>
      </c>
    </row>
    <row r="6" spans="1:12" x14ac:dyDescent="0.35">
      <c r="A6">
        <v>1992</v>
      </c>
      <c r="B6" t="s">
        <v>263</v>
      </c>
      <c r="C6">
        <v>8.269429945300609E-2</v>
      </c>
      <c r="D6" t="s">
        <v>358</v>
      </c>
      <c r="F6">
        <f t="shared" si="0"/>
        <v>-1.371373539739347E-2</v>
      </c>
    </row>
    <row r="7" spans="1:12" x14ac:dyDescent="0.35">
      <c r="A7">
        <v>1993</v>
      </c>
      <c r="B7" t="s">
        <v>263</v>
      </c>
      <c r="C7">
        <v>8.1560251711434745E-2</v>
      </c>
      <c r="D7" t="s">
        <v>358</v>
      </c>
      <c r="F7">
        <f t="shared" si="0"/>
        <v>-6.5823788745459138E-3</v>
      </c>
    </row>
    <row r="8" spans="1:12" x14ac:dyDescent="0.35">
      <c r="A8">
        <v>1994</v>
      </c>
      <c r="B8" t="s">
        <v>263</v>
      </c>
      <c r="C8">
        <v>8.1023391233566749E-2</v>
      </c>
      <c r="D8" t="s">
        <v>358</v>
      </c>
      <c r="F8">
        <f t="shared" si="0"/>
        <v>1.1160276912685601E-2</v>
      </c>
    </row>
    <row r="9" spans="1:12" x14ac:dyDescent="0.35">
      <c r="A9">
        <v>1995</v>
      </c>
      <c r="B9" t="s">
        <v>263</v>
      </c>
      <c r="C9">
        <v>8.1927634716138217E-2</v>
      </c>
      <c r="D9" t="s">
        <v>358</v>
      </c>
      <c r="F9">
        <f t="shared" si="0"/>
        <v>7.7776542785503921E-3</v>
      </c>
    </row>
    <row r="10" spans="1:12" x14ac:dyDescent="0.35">
      <c r="A10">
        <v>1996</v>
      </c>
      <c r="B10" t="s">
        <v>263</v>
      </c>
      <c r="C10">
        <v>8.2564839534819703E-2</v>
      </c>
      <c r="D10" t="s">
        <v>358</v>
      </c>
      <c r="F10">
        <f t="shared" si="0"/>
        <v>1.1324707010792641E-3</v>
      </c>
    </row>
    <row r="11" spans="1:12" x14ac:dyDescent="0.35">
      <c r="A11">
        <v>1997</v>
      </c>
      <c r="B11" t="s">
        <v>263</v>
      </c>
      <c r="C11">
        <v>8.2658341796532198E-2</v>
      </c>
      <c r="D11" t="s">
        <v>358</v>
      </c>
      <c r="F11">
        <f t="shared" si="0"/>
        <v>-6.7775467310886729E-3</v>
      </c>
    </row>
    <row r="12" spans="1:12" x14ac:dyDescent="0.35">
      <c r="A12">
        <v>1998</v>
      </c>
      <c r="B12" t="s">
        <v>263</v>
      </c>
      <c r="C12">
        <v>8.2098121022291901E-2</v>
      </c>
      <c r="D12" t="s">
        <v>358</v>
      </c>
      <c r="F12">
        <f t="shared" si="0"/>
        <v>-4.0417791027102329E-2</v>
      </c>
    </row>
    <row r="13" spans="1:12" x14ac:dyDescent="0.35">
      <c r="A13">
        <v>1999</v>
      </c>
      <c r="B13" t="s">
        <v>263</v>
      </c>
      <c r="C13">
        <v>7.877989632309515E-2</v>
      </c>
      <c r="D13" t="s">
        <v>358</v>
      </c>
      <c r="F13">
        <f t="shared" si="0"/>
        <v>-3.3353443421510302E-2</v>
      </c>
    </row>
    <row r="14" spans="1:12" x14ac:dyDescent="0.35">
      <c r="A14">
        <v>2000</v>
      </c>
      <c r="B14" t="s">
        <v>263</v>
      </c>
      <c r="C14">
        <v>7.6152315508330348E-2</v>
      </c>
      <c r="D14" t="s">
        <v>358</v>
      </c>
      <c r="F14">
        <f t="shared" si="0"/>
        <v>-1.9994091865165351E-2</v>
      </c>
    </row>
    <row r="15" spans="1:12" x14ac:dyDescent="0.35">
      <c r="A15">
        <v>2001</v>
      </c>
      <c r="B15" t="s">
        <v>263</v>
      </c>
      <c r="C15">
        <v>7.4629719116311735E-2</v>
      </c>
      <c r="D15" t="s">
        <v>358</v>
      </c>
      <c r="F15">
        <f t="shared" si="0"/>
        <v>-1.3440671197383432E-2</v>
      </c>
    </row>
    <row r="16" spans="1:12" x14ac:dyDescent="0.35">
      <c r="A16">
        <v>2002</v>
      </c>
      <c r="B16" t="s">
        <v>263</v>
      </c>
      <c r="C16">
        <v>7.3626645600116308E-2</v>
      </c>
      <c r="D16" t="s">
        <v>358</v>
      </c>
      <c r="F16">
        <f t="shared" si="0"/>
        <v>-2.7119937057081028E-3</v>
      </c>
    </row>
    <row r="17" spans="1:6" x14ac:dyDescent="0.35">
      <c r="A17">
        <v>2003</v>
      </c>
      <c r="B17" t="s">
        <v>263</v>
      </c>
      <c r="C17">
        <v>7.3426970600676392E-2</v>
      </c>
      <c r="D17" t="s">
        <v>358</v>
      </c>
      <c r="F17">
        <f t="shared" si="0"/>
        <v>-6.5491834146955133E-3</v>
      </c>
    </row>
    <row r="18" spans="1:6" x14ac:dyDescent="0.35">
      <c r="A18">
        <v>2004</v>
      </c>
      <c r="B18" t="s">
        <v>263</v>
      </c>
      <c r="C18">
        <v>7.2946083902627107E-2</v>
      </c>
      <c r="D18" t="s">
        <v>358</v>
      </c>
      <c r="F18">
        <f t="shared" si="0"/>
        <v>1.2917910875699903E-2</v>
      </c>
    </row>
    <row r="19" spans="1:6" x14ac:dyDescent="0.35">
      <c r="A19">
        <v>2005</v>
      </c>
      <c r="B19" t="s">
        <v>263</v>
      </c>
      <c r="C19">
        <v>7.3888394913212571E-2</v>
      </c>
      <c r="D19" t="s">
        <v>358</v>
      </c>
      <c r="F19">
        <f t="shared" si="0"/>
        <v>1.2506847964254221E-3</v>
      </c>
    </row>
    <row r="20" spans="1:6" x14ac:dyDescent="0.35">
      <c r="A20">
        <v>2006</v>
      </c>
      <c r="B20" t="s">
        <v>263</v>
      </c>
      <c r="C20">
        <v>7.3980806005362804E-2</v>
      </c>
      <c r="D20" t="s">
        <v>358</v>
      </c>
      <c r="F20">
        <f t="shared" si="0"/>
        <v>1.6154486696632688E-2</v>
      </c>
    </row>
    <row r="21" spans="1:6" x14ac:dyDescent="0.35">
      <c r="A21">
        <v>2007</v>
      </c>
      <c r="B21" t="s">
        <v>263</v>
      </c>
      <c r="C21">
        <v>7.5175927951782601E-2</v>
      </c>
      <c r="D21" t="s">
        <v>358</v>
      </c>
      <c r="F21">
        <f t="shared" si="0"/>
        <v>6.0806078968308379E-4</v>
      </c>
    </row>
    <row r="22" spans="1:6" x14ac:dyDescent="0.35">
      <c r="A22">
        <v>2008</v>
      </c>
      <c r="B22" t="s">
        <v>263</v>
      </c>
      <c r="C22">
        <v>7.522163948589812E-2</v>
      </c>
      <c r="D22" t="s">
        <v>358</v>
      </c>
      <c r="F22">
        <f t="shared" si="0"/>
        <v>6.3105677953001907E-3</v>
      </c>
    </row>
    <row r="23" spans="1:6" x14ac:dyDescent="0.35">
      <c r="A23">
        <v>2009</v>
      </c>
      <c r="B23" t="s">
        <v>263</v>
      </c>
      <c r="C23">
        <v>7.569633074154751E-2</v>
      </c>
      <c r="D23" t="s">
        <v>358</v>
      </c>
      <c r="F23">
        <f t="shared" si="0"/>
        <v>3.6119732398068781E-2</v>
      </c>
    </row>
    <row r="24" spans="1:6" x14ac:dyDescent="0.35">
      <c r="A24">
        <v>2010</v>
      </c>
      <c r="B24" t="s">
        <v>263</v>
      </c>
      <c r="C24">
        <v>7.8430461951447913E-2</v>
      </c>
      <c r="D24" t="s">
        <v>358</v>
      </c>
      <c r="F24">
        <f t="shared" si="0"/>
        <v>3.9623421691535772E-2</v>
      </c>
    </row>
    <row r="25" spans="1:6" x14ac:dyDescent="0.35">
      <c r="A25">
        <v>2011</v>
      </c>
      <c r="B25" t="s">
        <v>263</v>
      </c>
      <c r="C25">
        <v>8.1538145218812086E-2</v>
      </c>
      <c r="D25" t="s">
        <v>358</v>
      </c>
      <c r="F25">
        <f t="shared" si="0"/>
        <v>-3.7446014481258426E-3</v>
      </c>
    </row>
    <row r="26" spans="1:6" x14ac:dyDescent="0.35">
      <c r="A26">
        <v>2012</v>
      </c>
      <c r="B26" t="s">
        <v>263</v>
      </c>
      <c r="C26">
        <v>8.1232817362148227E-2</v>
      </c>
      <c r="D26" t="s">
        <v>358</v>
      </c>
      <c r="F26">
        <f t="shared" si="0"/>
        <v>2.5960014867372646E-2</v>
      </c>
    </row>
    <row r="27" spans="1:6" x14ac:dyDescent="0.35">
      <c r="A27">
        <v>2013</v>
      </c>
      <c r="B27" t="s">
        <v>263</v>
      </c>
      <c r="C27">
        <v>8.3341622508588162E-2</v>
      </c>
      <c r="D27" t="s">
        <v>358</v>
      </c>
      <c r="F27">
        <f t="shared" si="0"/>
        <v>-5.8706555115875962E-2</v>
      </c>
    </row>
    <row r="28" spans="1:6" x14ac:dyDescent="0.35">
      <c r="A28">
        <v>2014</v>
      </c>
      <c r="B28" t="s">
        <v>263</v>
      </c>
      <c r="C28">
        <v>7.8448922953341202E-2</v>
      </c>
      <c r="D28" t="s">
        <v>358</v>
      </c>
      <c r="F28">
        <f t="shared" si="0"/>
        <v>4.7903509439684126E-3</v>
      </c>
    </row>
    <row r="29" spans="1:6" x14ac:dyDescent="0.35">
      <c r="A29">
        <v>2015</v>
      </c>
      <c r="B29" t="s">
        <v>263</v>
      </c>
      <c r="C29">
        <v>7.8824720825464045E-2</v>
      </c>
      <c r="D29" t="s">
        <v>358</v>
      </c>
      <c r="F29">
        <f t="shared" si="0"/>
        <v>5.1648636829857006E-3</v>
      </c>
    </row>
    <row r="30" spans="1:6" x14ac:dyDescent="0.35">
      <c r="A30">
        <v>2016</v>
      </c>
      <c r="B30" t="s">
        <v>263</v>
      </c>
      <c r="C30">
        <v>7.9231839763376971E-2</v>
      </c>
      <c r="D30" t="s">
        <v>358</v>
      </c>
      <c r="F30">
        <f t="shared" si="0"/>
        <v>-5.4667604219104229E-2</v>
      </c>
    </row>
    <row r="31" spans="1:6" x14ac:dyDescent="0.35">
      <c r="A31">
        <v>2017</v>
      </c>
      <c r="B31" t="s">
        <v>263</v>
      </c>
      <c r="C31">
        <v>7.4900424905641194E-2</v>
      </c>
      <c r="D31" t="s">
        <v>358</v>
      </c>
      <c r="F31">
        <f t="shared" si="0"/>
        <v>-7.262386208866772E-3</v>
      </c>
    </row>
    <row r="32" spans="1:6" x14ac:dyDescent="0.35">
      <c r="A32">
        <v>2018</v>
      </c>
      <c r="B32" t="s">
        <v>263</v>
      </c>
      <c r="C32">
        <v>7.4356469092768204E-2</v>
      </c>
      <c r="D32" t="s">
        <v>358</v>
      </c>
      <c r="F32">
        <f t="shared" si="0"/>
        <v>-5.1494753688851201E-3</v>
      </c>
    </row>
    <row r="33" spans="1:6" x14ac:dyDescent="0.35">
      <c r="A33">
        <v>2019</v>
      </c>
      <c r="B33" t="s">
        <v>263</v>
      </c>
      <c r="C33">
        <v>7.3973572286657727E-2</v>
      </c>
      <c r="D33" t="s">
        <v>358</v>
      </c>
      <c r="F33">
        <f t="shared" si="0"/>
        <v>-1.7002218454828274E-3</v>
      </c>
    </row>
    <row r="34" spans="1:6" x14ac:dyDescent="0.35">
      <c r="A34">
        <v>2020</v>
      </c>
      <c r="B34" t="s">
        <v>263</v>
      </c>
      <c r="C34">
        <v>7.3847800803067548E-2</v>
      </c>
      <c r="D34" t="s">
        <v>358</v>
      </c>
      <c r="F34">
        <f t="shared" si="0"/>
        <v>-4.0674136404304116E-3</v>
      </c>
    </row>
    <row r="35" spans="1:6" x14ac:dyDescent="0.35">
      <c r="A35">
        <v>2021</v>
      </c>
      <c r="B35" t="s">
        <v>263</v>
      </c>
      <c r="C35">
        <v>7.3547431250765363E-2</v>
      </c>
      <c r="D35" t="s">
        <v>358</v>
      </c>
      <c r="F35">
        <f t="shared" si="0"/>
        <v>-6.5137164245545947E-3</v>
      </c>
    </row>
    <row r="36" spans="1:6" x14ac:dyDescent="0.35">
      <c r="A36">
        <v>2022</v>
      </c>
      <c r="B36" t="s">
        <v>263</v>
      </c>
      <c r="C36">
        <v>7.3068364139843453E-2</v>
      </c>
      <c r="D36" t="s">
        <v>358</v>
      </c>
      <c r="F36">
        <f t="shared" si="0"/>
        <v>-1.0425826562209264E-2</v>
      </c>
    </row>
    <row r="37" spans="1:6" x14ac:dyDescent="0.35">
      <c r="A37">
        <v>2023</v>
      </c>
      <c r="B37" t="s">
        <v>263</v>
      </c>
      <c r="C37">
        <v>7.2306566048137094E-2</v>
      </c>
      <c r="D37" t="s">
        <v>358</v>
      </c>
      <c r="F37">
        <f t="shared" si="0"/>
        <v>-8.6280278761351158E-3</v>
      </c>
    </row>
    <row r="38" spans="1:6" x14ac:dyDescent="0.35">
      <c r="A38">
        <v>2024</v>
      </c>
      <c r="B38" t="s">
        <v>263</v>
      </c>
      <c r="C38">
        <v>7.1682702980646162E-2</v>
      </c>
      <c r="D38" t="s">
        <v>358</v>
      </c>
      <c r="F38">
        <f t="shared" si="0"/>
        <v>-8.1678883569197558E-3</v>
      </c>
    </row>
    <row r="39" spans="1:6" x14ac:dyDescent="0.35">
      <c r="A39">
        <v>2025</v>
      </c>
      <c r="B39" t="s">
        <v>263</v>
      </c>
      <c r="C39">
        <v>7.1097206665578006E-2</v>
      </c>
      <c r="D39" t="s">
        <v>358</v>
      </c>
      <c r="F39">
        <f t="shared" si="0"/>
        <v>-9.4454254939183198E-3</v>
      </c>
    </row>
    <row r="40" spans="1:6" x14ac:dyDescent="0.35">
      <c r="A40">
        <v>2026</v>
      </c>
      <c r="B40" t="s">
        <v>263</v>
      </c>
      <c r="C40">
        <v>7.0425663297192576E-2</v>
      </c>
      <c r="D40" t="s">
        <v>358</v>
      </c>
      <c r="F40">
        <f t="shared" si="0"/>
        <v>-9.2756992097882945E-3</v>
      </c>
    </row>
    <row r="41" spans="1:6" x14ac:dyDescent="0.35">
      <c r="A41">
        <v>2027</v>
      </c>
      <c r="B41" t="s">
        <v>263</v>
      </c>
      <c r="C41">
        <v>6.977241602779799E-2</v>
      </c>
      <c r="D41" t="s">
        <v>358</v>
      </c>
      <c r="F41">
        <f t="shared" si="0"/>
        <v>-9.1955602699218594E-3</v>
      </c>
    </row>
    <row r="42" spans="1:6" x14ac:dyDescent="0.35">
      <c r="A42">
        <v>2028</v>
      </c>
      <c r="B42" t="s">
        <v>263</v>
      </c>
      <c r="C42">
        <v>6.9130819571036312E-2</v>
      </c>
      <c r="D42" t="s">
        <v>358</v>
      </c>
      <c r="F42">
        <f t="shared" si="0"/>
        <v>-8.9088420674293799E-3</v>
      </c>
    </row>
    <row r="43" spans="1:6" x14ac:dyDescent="0.35">
      <c r="A43">
        <v>2029</v>
      </c>
      <c r="B43" t="s">
        <v>263</v>
      </c>
      <c r="C43">
        <v>6.8514944017485993E-2</v>
      </c>
      <c r="D43" t="s">
        <v>358</v>
      </c>
      <c r="F43">
        <f t="shared" si="0"/>
        <v>-7.8780014880359735E-3</v>
      </c>
    </row>
    <row r="44" spans="1:6" x14ac:dyDescent="0.35">
      <c r="A44">
        <v>2030</v>
      </c>
      <c r="B44" t="s">
        <v>263</v>
      </c>
      <c r="C44">
        <v>6.7975183186563537E-2</v>
      </c>
      <c r="D44" t="s">
        <v>358</v>
      </c>
      <c r="F44">
        <f t="shared" si="0"/>
        <v>-8.4317114589528841E-3</v>
      </c>
    </row>
    <row r="45" spans="1:6" x14ac:dyDescent="0.35">
      <c r="A45">
        <v>2031</v>
      </c>
      <c r="B45" t="s">
        <v>263</v>
      </c>
      <c r="C45">
        <v>6.7402036055564968E-2</v>
      </c>
      <c r="D45" t="s">
        <v>358</v>
      </c>
      <c r="F45">
        <f t="shared" si="0"/>
        <v>-8.3081172928711877E-3</v>
      </c>
    </row>
    <row r="46" spans="1:6" x14ac:dyDescent="0.35">
      <c r="A46">
        <v>2032</v>
      </c>
      <c r="B46" t="s">
        <v>263</v>
      </c>
      <c r="C46">
        <v>6.6842052034237001E-2</v>
      </c>
      <c r="D46" t="s">
        <v>358</v>
      </c>
      <c r="F46">
        <f t="shared" si="0"/>
        <v>-8.4864900488901013E-3</v>
      </c>
    </row>
    <row r="47" spans="1:6" x14ac:dyDescent="0.35">
      <c r="A47">
        <v>2033</v>
      </c>
      <c r="B47" t="s">
        <v>263</v>
      </c>
      <c r="C47">
        <v>6.6274797624801055E-2</v>
      </c>
      <c r="D47" t="s">
        <v>358</v>
      </c>
      <c r="F47">
        <f t="shared" si="0"/>
        <v>-8.6387123896686045E-3</v>
      </c>
    </row>
    <row r="48" spans="1:6" x14ac:dyDescent="0.35">
      <c r="A48">
        <v>2034</v>
      </c>
      <c r="B48" t="s">
        <v>263</v>
      </c>
      <c r="C48">
        <v>6.5702268709436906E-2</v>
      </c>
      <c r="D48" t="s">
        <v>358</v>
      </c>
      <c r="F48">
        <f t="shared" si="0"/>
        <v>-8.3973183274288921E-3</v>
      </c>
    </row>
    <row r="49" spans="1:6" x14ac:dyDescent="0.35">
      <c r="A49">
        <v>2035</v>
      </c>
      <c r="B49" t="s">
        <v>263</v>
      </c>
      <c r="C49">
        <v>6.5150545844249494E-2</v>
      </c>
      <c r="D49" t="s">
        <v>358</v>
      </c>
      <c r="F49">
        <f t="shared" si="0"/>
        <v>-8.760111421245111E-3</v>
      </c>
    </row>
    <row r="50" spans="1:6" x14ac:dyDescent="0.35">
      <c r="A50">
        <v>2036</v>
      </c>
      <c r="B50" t="s">
        <v>263</v>
      </c>
      <c r="C50">
        <v>6.4579819803498931E-2</v>
      </c>
      <c r="D50" t="s">
        <v>358</v>
      </c>
      <c r="F50">
        <f t="shared" si="0"/>
        <v>-8.725442947089556E-3</v>
      </c>
    </row>
    <row r="51" spans="1:6" x14ac:dyDescent="0.35">
      <c r="A51">
        <v>2037</v>
      </c>
      <c r="B51" t="s">
        <v>263</v>
      </c>
      <c r="C51">
        <v>6.4016332270270176E-2</v>
      </c>
      <c r="D51" t="s">
        <v>358</v>
      </c>
      <c r="F51">
        <f t="shared" si="0"/>
        <v>-8.0900928312112215E-3</v>
      </c>
    </row>
    <row r="52" spans="1:6" x14ac:dyDescent="0.35">
      <c r="A52">
        <v>2038</v>
      </c>
      <c r="B52" t="s">
        <v>263</v>
      </c>
      <c r="C52">
        <v>6.3498434199490028E-2</v>
      </c>
      <c r="D52" t="s">
        <v>358</v>
      </c>
      <c r="F52">
        <f t="shared" si="0"/>
        <v>-7.9855550602861529E-3</v>
      </c>
    </row>
    <row r="53" spans="1:6" x14ac:dyDescent="0.35">
      <c r="A53">
        <v>2039</v>
      </c>
      <c r="B53" t="s">
        <v>263</v>
      </c>
      <c r="C53">
        <v>6.2991363956948043E-2</v>
      </c>
      <c r="D53" t="s">
        <v>358</v>
      </c>
      <c r="F53">
        <f t="shared" si="0"/>
        <v>-7.9448459072585676E-3</v>
      </c>
    </row>
    <row r="54" spans="1:6" x14ac:dyDescent="0.35">
      <c r="A54">
        <v>2040</v>
      </c>
      <c r="B54" t="s">
        <v>263</v>
      </c>
      <c r="C54">
        <v>6.249090727682205E-2</v>
      </c>
      <c r="D54" t="s">
        <v>358</v>
      </c>
      <c r="F54">
        <f t="shared" si="0"/>
        <v>-8.9142675311842945E-3</v>
      </c>
    </row>
    <row r="55" spans="1:6" x14ac:dyDescent="0.35">
      <c r="A55">
        <v>2041</v>
      </c>
      <c r="B55" t="s">
        <v>263</v>
      </c>
      <c r="C55">
        <v>6.1933846611090027E-2</v>
      </c>
      <c r="D55" t="s">
        <v>358</v>
      </c>
      <c r="F55">
        <f t="shared" si="0"/>
        <v>-8.620606956106714E-3</v>
      </c>
    </row>
    <row r="56" spans="1:6" x14ac:dyDescent="0.35">
      <c r="A56">
        <v>2042</v>
      </c>
      <c r="B56" t="s">
        <v>263</v>
      </c>
      <c r="C56">
        <v>6.1399939262176018E-2</v>
      </c>
      <c r="D56" t="s">
        <v>358</v>
      </c>
      <c r="F56">
        <f t="shared" si="0"/>
        <v>-9.4882195142352039E-3</v>
      </c>
    </row>
    <row r="57" spans="1:6" x14ac:dyDescent="0.35">
      <c r="A57">
        <v>2043</v>
      </c>
      <c r="B57" t="s">
        <v>263</v>
      </c>
      <c r="C57">
        <v>6.0817363160295783E-2</v>
      </c>
      <c r="D57" t="s">
        <v>358</v>
      </c>
      <c r="F57">
        <f t="shared" si="0"/>
        <v>-8.8924336084041482E-3</v>
      </c>
    </row>
    <row r="58" spans="1:6" x14ac:dyDescent="0.35">
      <c r="A58">
        <v>2044</v>
      </c>
      <c r="B58" t="s">
        <v>263</v>
      </c>
      <c r="C58">
        <v>6.0276548796154648E-2</v>
      </c>
      <c r="D58" t="s">
        <v>358</v>
      </c>
      <c r="F58">
        <f t="shared" si="0"/>
        <v>-8.8765017002150649E-3</v>
      </c>
    </row>
    <row r="59" spans="1:6" x14ac:dyDescent="0.35">
      <c r="A59">
        <v>2045</v>
      </c>
      <c r="B59" t="s">
        <v>263</v>
      </c>
      <c r="C59">
        <v>5.9741503908282485E-2</v>
      </c>
      <c r="D59" t="s">
        <v>358</v>
      </c>
      <c r="F59">
        <f t="shared" si="0"/>
        <v>-8.3237694717198333E-3</v>
      </c>
    </row>
    <row r="60" spans="1:6" x14ac:dyDescent="0.35">
      <c r="A60">
        <v>2046</v>
      </c>
      <c r="B60" t="s">
        <v>263</v>
      </c>
      <c r="C60">
        <v>5.9244229401856092E-2</v>
      </c>
      <c r="D60" t="s">
        <v>358</v>
      </c>
      <c r="F60">
        <f t="shared" si="0"/>
        <v>-7.3822719686393347E-3</v>
      </c>
    </row>
    <row r="61" spans="1:6" x14ac:dyDescent="0.35">
      <c r="A61">
        <v>2047</v>
      </c>
      <c r="B61" t="s">
        <v>263</v>
      </c>
      <c r="C61">
        <v>5.8806872387839132E-2</v>
      </c>
      <c r="D61" t="s">
        <v>358</v>
      </c>
      <c r="F61">
        <f t="shared" si="0"/>
        <v>-9.1281070238747753E-3</v>
      </c>
    </row>
    <row r="62" spans="1:6" x14ac:dyDescent="0.35">
      <c r="A62">
        <v>2048</v>
      </c>
      <c r="B62" t="s">
        <v>263</v>
      </c>
      <c r="C62">
        <v>5.827007696294359E-2</v>
      </c>
      <c r="D62" t="s">
        <v>358</v>
      </c>
      <c r="F62">
        <f t="shared" si="0"/>
        <v>-8.9646036809113063E-3</v>
      </c>
    </row>
    <row r="63" spans="1:6" x14ac:dyDescent="0.35">
      <c r="A63">
        <v>2049</v>
      </c>
      <c r="B63" t="s">
        <v>263</v>
      </c>
      <c r="C63">
        <v>5.7747708816514601E-2</v>
      </c>
      <c r="D63" t="s">
        <v>358</v>
      </c>
      <c r="F63">
        <f t="shared" si="0"/>
        <v>-8.5167658999823481E-3</v>
      </c>
    </row>
    <row r="64" spans="1:6" x14ac:dyDescent="0.35">
      <c r="A64">
        <v>2050</v>
      </c>
      <c r="B64" t="s">
        <v>263</v>
      </c>
      <c r="C64">
        <v>5.7255885099263999E-2</v>
      </c>
      <c r="D64" t="s">
        <v>358</v>
      </c>
      <c r="F64">
        <f t="shared" si="0"/>
        <v>-9.0791249770770643E-3</v>
      </c>
    </row>
    <row r="65" spans="1:6" x14ac:dyDescent="0.35">
      <c r="A65">
        <v>2051</v>
      </c>
      <c r="B65" t="s">
        <v>263</v>
      </c>
      <c r="C65">
        <v>5.6736051762774617E-2</v>
      </c>
      <c r="D65" t="s">
        <v>358</v>
      </c>
      <c r="F65">
        <f t="shared" si="0"/>
        <v>-9.1380393875006884E-3</v>
      </c>
    </row>
    <row r="66" spans="1:6" x14ac:dyDescent="0.35">
      <c r="A66">
        <v>2052</v>
      </c>
      <c r="B66" t="s">
        <v>263</v>
      </c>
      <c r="C66">
        <v>5.6217595487075105E-2</v>
      </c>
      <c r="D66" t="s">
        <v>358</v>
      </c>
      <c r="F66">
        <f t="shared" si="0"/>
        <v>-9.1458075926281555E-3</v>
      </c>
    </row>
    <row r="67" spans="1:6" x14ac:dyDescent="0.35">
      <c r="A67">
        <v>2053</v>
      </c>
      <c r="B67" t="s">
        <v>263</v>
      </c>
      <c r="C67">
        <v>5.5703440175430115E-2</v>
      </c>
      <c r="D67" t="s">
        <v>358</v>
      </c>
      <c r="F67">
        <f t="shared" si="0"/>
        <v>-9.1855934749970839E-3</v>
      </c>
    </row>
    <row r="68" spans="1:6" x14ac:dyDescent="0.35">
      <c r="A68">
        <v>2054</v>
      </c>
      <c r="B68" t="s">
        <v>263</v>
      </c>
      <c r="C68">
        <v>5.5191771018819794E-2</v>
      </c>
      <c r="D68" t="s">
        <v>358</v>
      </c>
      <c r="F68">
        <f t="shared" ref="F68:F73" si="1">(C69-C68)/C68</f>
        <v>-9.24982067139642E-3</v>
      </c>
    </row>
    <row r="69" spans="1:6" x14ac:dyDescent="0.35">
      <c r="A69">
        <v>2055</v>
      </c>
      <c r="B69" t="s">
        <v>263</v>
      </c>
      <c r="C69">
        <v>5.4681257034358936E-2</v>
      </c>
      <c r="D69" t="s">
        <v>358</v>
      </c>
      <c r="F69">
        <f t="shared" si="1"/>
        <v>-9.2332859593564371E-3</v>
      </c>
    </row>
    <row r="70" spans="1:6" x14ac:dyDescent="0.35">
      <c r="A70">
        <v>2056</v>
      </c>
      <c r="B70" t="s">
        <v>263</v>
      </c>
      <c r="C70">
        <v>5.417636935154363E-2</v>
      </c>
      <c r="D70" t="s">
        <v>358</v>
      </c>
      <c r="F70">
        <f t="shared" si="1"/>
        <v>-9.269693476197681E-3</v>
      </c>
    </row>
    <row r="71" spans="1:6" x14ac:dyDescent="0.35">
      <c r="A71">
        <v>2057</v>
      </c>
      <c r="B71" t="s">
        <v>263</v>
      </c>
      <c r="C71">
        <v>5.367417101400155E-2</v>
      </c>
      <c r="D71" t="s">
        <v>358</v>
      </c>
      <c r="F71">
        <f t="shared" si="1"/>
        <v>-8.7595788854739343E-3</v>
      </c>
    </row>
    <row r="72" spans="1:6" x14ac:dyDescent="0.35">
      <c r="A72">
        <v>2058</v>
      </c>
      <c r="B72" t="s">
        <v>263</v>
      </c>
      <c r="C72">
        <v>5.3204007878891985E-2</v>
      </c>
      <c r="D72" t="s">
        <v>358</v>
      </c>
      <c r="F72">
        <f t="shared" si="1"/>
        <v>-8.660052307252487E-3</v>
      </c>
    </row>
    <row r="73" spans="1:6" x14ac:dyDescent="0.35">
      <c r="A73">
        <v>2059</v>
      </c>
      <c r="B73" t="s">
        <v>263</v>
      </c>
      <c r="C73">
        <v>5.2743258387705307E-2</v>
      </c>
      <c r="D73" t="s">
        <v>358</v>
      </c>
      <c r="F73">
        <f t="shared" si="1"/>
        <v>-9.0443507913913548E-3</v>
      </c>
    </row>
    <row r="74" spans="1:6" x14ac:dyDescent="0.35">
      <c r="A74">
        <v>2060</v>
      </c>
      <c r="B74" t="s">
        <v>263</v>
      </c>
      <c r="C74">
        <v>5.2266229856965905E-2</v>
      </c>
      <c r="D74" t="s">
        <v>358</v>
      </c>
    </row>
  </sheetData>
  <mergeCells count="7">
    <mergeCell ref="F2:F3"/>
    <mergeCell ref="H2:L2"/>
    <mergeCell ref="A1:D1"/>
    <mergeCell ref="A2:A3"/>
    <mergeCell ref="B2:B3"/>
    <mergeCell ref="C2:C3"/>
    <mergeCell ref="D2:D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4956CA-4672-4725-A2F8-B60E77A4D6DA}">
  <sheetPr>
    <tabColor theme="4" tint="0.79998168889431442"/>
  </sheetPr>
  <dimension ref="A1:W19"/>
  <sheetViews>
    <sheetView zoomScale="70" zoomScaleNormal="70" workbookViewId="0">
      <selection activeCell="G55" sqref="G55"/>
    </sheetView>
  </sheetViews>
  <sheetFormatPr baseColWidth="10" defaultColWidth="8.7265625" defaultRowHeight="14.5" x14ac:dyDescent="0.35"/>
  <cols>
    <col min="1" max="1" width="18.90625" bestFit="1" customWidth="1"/>
    <col min="2" max="2" width="27.36328125" bestFit="1" customWidth="1"/>
    <col min="3" max="3" width="12.36328125" bestFit="1" customWidth="1"/>
    <col min="4" max="4" width="18.08984375" bestFit="1" customWidth="1"/>
    <col min="13" max="13" width="8.6328125" customWidth="1"/>
    <col min="18" max="18" width="12.08984375" bestFit="1" customWidth="1"/>
    <col min="19" max="19" width="33.7265625" customWidth="1"/>
    <col min="20" max="20" width="67.26953125" bestFit="1" customWidth="1"/>
  </cols>
  <sheetData>
    <row r="1" spans="1:23" x14ac:dyDescent="0.35">
      <c r="A1" s="2" t="s">
        <v>385</v>
      </c>
    </row>
    <row r="2" spans="1:23" x14ac:dyDescent="0.35">
      <c r="A2" s="30" t="s">
        <v>381</v>
      </c>
      <c r="B2" s="30" t="s">
        <v>237</v>
      </c>
      <c r="C2" s="99">
        <v>2014</v>
      </c>
      <c r="D2" s="99">
        <v>2015</v>
      </c>
      <c r="E2" s="99">
        <v>2016</v>
      </c>
      <c r="F2" s="99">
        <v>2017</v>
      </c>
      <c r="G2" s="99">
        <v>2018</v>
      </c>
      <c r="H2" s="99">
        <v>2019</v>
      </c>
      <c r="I2" s="99">
        <v>2020</v>
      </c>
      <c r="J2" s="99">
        <v>2021</v>
      </c>
      <c r="K2" s="99">
        <v>2022</v>
      </c>
      <c r="L2" s="99">
        <v>2023</v>
      </c>
      <c r="M2" s="99">
        <v>2024</v>
      </c>
      <c r="N2" s="99">
        <v>2025</v>
      </c>
      <c r="O2" s="99">
        <v>2026</v>
      </c>
      <c r="P2" s="99">
        <v>2027</v>
      </c>
      <c r="Q2" s="99">
        <v>2028</v>
      </c>
      <c r="R2" s="99">
        <v>2029</v>
      </c>
      <c r="S2" s="99">
        <v>2030</v>
      </c>
      <c r="T2" s="99">
        <v>2040</v>
      </c>
      <c r="U2" s="99">
        <v>2050</v>
      </c>
      <c r="V2" s="30" t="s">
        <v>4</v>
      </c>
      <c r="W2" s="35" t="s">
        <v>382</v>
      </c>
    </row>
    <row r="3" spans="1:23" x14ac:dyDescent="0.35">
      <c r="A3" s="150" t="s">
        <v>236</v>
      </c>
      <c r="B3" s="10" t="s">
        <v>383</v>
      </c>
      <c r="C3" s="46">
        <v>4.296505647281304E-2</v>
      </c>
      <c r="D3" s="46">
        <v>4.296505647281304E-2</v>
      </c>
      <c r="E3" s="46">
        <v>5.4472815343055564E-2</v>
      </c>
      <c r="F3" s="46">
        <v>0.11153625798002946</v>
      </c>
      <c r="G3" s="46">
        <v>6.0479777742159541E-2</v>
      </c>
      <c r="H3" s="46">
        <v>3.7740000000000003E-2</v>
      </c>
      <c r="I3" s="46">
        <v>0.16603999999999999</v>
      </c>
      <c r="J3" s="46">
        <v>0.27546999999999999</v>
      </c>
      <c r="K3" s="46">
        <v>0.40377000000000002</v>
      </c>
      <c r="L3" s="46">
        <v>0.4</v>
      </c>
      <c r="M3" s="46">
        <v>0.41509000000000001</v>
      </c>
      <c r="N3" s="46">
        <v>0.42642000000000002</v>
      </c>
      <c r="O3" s="46">
        <v>0.44151000000000001</v>
      </c>
      <c r="P3" s="46">
        <v>0.45283000000000001</v>
      </c>
      <c r="Q3" s="46">
        <v>0.46415000000000001</v>
      </c>
      <c r="R3" s="46">
        <v>0.47924999999999995</v>
      </c>
      <c r="S3" s="46">
        <v>0.49057000000000001</v>
      </c>
      <c r="T3" s="46">
        <v>0.51951390316304491</v>
      </c>
      <c r="U3" s="46">
        <v>0.4594179753504497</v>
      </c>
      <c r="V3" s="10" t="s">
        <v>230</v>
      </c>
      <c r="W3" s="35" t="s">
        <v>384</v>
      </c>
    </row>
    <row r="4" spans="1:23" x14ac:dyDescent="0.35">
      <c r="A4" s="150" t="s">
        <v>235</v>
      </c>
      <c r="B4" s="10" t="s">
        <v>383</v>
      </c>
      <c r="C4" s="46">
        <v>0</v>
      </c>
      <c r="D4" s="46">
        <v>0</v>
      </c>
      <c r="E4" s="46">
        <v>0</v>
      </c>
      <c r="F4" s="46">
        <v>0</v>
      </c>
      <c r="G4" s="46">
        <v>0</v>
      </c>
      <c r="H4" s="46">
        <v>0</v>
      </c>
      <c r="I4" s="46">
        <v>0</v>
      </c>
      <c r="J4" s="46">
        <v>0</v>
      </c>
      <c r="K4" s="46">
        <v>0</v>
      </c>
      <c r="L4" s="46">
        <v>4.1510000000000033E-2</v>
      </c>
      <c r="M4" s="46">
        <v>6.0379999999999968E-2</v>
      </c>
      <c r="N4" s="46">
        <v>9.0559999999999974E-2</v>
      </c>
      <c r="O4" s="46">
        <v>0.11320999999999998</v>
      </c>
      <c r="P4" s="46">
        <v>0.13585</v>
      </c>
      <c r="Q4" s="46">
        <v>0.16603999999999999</v>
      </c>
      <c r="R4" s="46">
        <v>0.18867000000000003</v>
      </c>
      <c r="S4" s="46">
        <v>0.21509</v>
      </c>
      <c r="T4" s="46">
        <v>0.38713927541982168</v>
      </c>
      <c r="U4" s="46">
        <v>0.43596399472444974</v>
      </c>
      <c r="V4" s="10" t="s">
        <v>230</v>
      </c>
    </row>
    <row r="5" spans="1:23" x14ac:dyDescent="0.35">
      <c r="A5" s="98" t="s">
        <v>234</v>
      </c>
      <c r="B5" s="10" t="s">
        <v>383</v>
      </c>
      <c r="C5" s="46">
        <v>0.30078656705562079</v>
      </c>
      <c r="D5" s="46">
        <v>0.30078656705562079</v>
      </c>
      <c r="E5" s="46">
        <v>0.44746783692310876</v>
      </c>
      <c r="F5" s="46">
        <v>0.5384678343427729</v>
      </c>
      <c r="G5" s="46">
        <v>0.63709996260084423</v>
      </c>
      <c r="H5" s="46">
        <v>0.6</v>
      </c>
      <c r="I5" s="46">
        <v>0.5773600000000001</v>
      </c>
      <c r="J5" s="46">
        <v>0.5547200000000001</v>
      </c>
      <c r="K5" s="46">
        <v>0.44529000000000002</v>
      </c>
      <c r="L5" s="46">
        <v>0.45660000000000006</v>
      </c>
      <c r="M5" s="46">
        <v>0.42264000000000013</v>
      </c>
      <c r="N5" s="46">
        <v>0.38113000000000008</v>
      </c>
      <c r="O5" s="46">
        <v>0.34716999999999992</v>
      </c>
      <c r="P5" s="46">
        <v>0.30565999999999993</v>
      </c>
      <c r="Q5" s="46">
        <v>0.27169999999999994</v>
      </c>
      <c r="R5" s="46">
        <v>0.22641999999999995</v>
      </c>
      <c r="S5" s="46">
        <v>0.19245000000000004</v>
      </c>
      <c r="T5" s="46">
        <v>0</v>
      </c>
      <c r="U5" s="46">
        <v>0</v>
      </c>
      <c r="V5" s="10" t="s">
        <v>230</v>
      </c>
    </row>
    <row r="6" spans="1:23" x14ac:dyDescent="0.35">
      <c r="A6" s="98" t="s">
        <v>233</v>
      </c>
      <c r="B6" s="10" t="s">
        <v>383</v>
      </c>
      <c r="C6" s="46">
        <v>0.60545921177045126</v>
      </c>
      <c r="D6" s="46">
        <v>0.60545921177045126</v>
      </c>
      <c r="E6" s="46">
        <v>0.46692611031184983</v>
      </c>
      <c r="F6" s="46">
        <v>0.33077222131281708</v>
      </c>
      <c r="G6" s="46">
        <v>0.30242025965699626</v>
      </c>
      <c r="H6" s="46">
        <v>0.36225999999999997</v>
      </c>
      <c r="I6" s="46">
        <v>0.25659999999999994</v>
      </c>
      <c r="J6" s="46">
        <v>0.16980999999999993</v>
      </c>
      <c r="K6" s="46">
        <v>0.15093999999999994</v>
      </c>
      <c r="L6" s="46">
        <v>9.0569999999999873E-2</v>
      </c>
      <c r="M6" s="46">
        <v>8.3019999999999927E-2</v>
      </c>
      <c r="N6" s="46">
        <v>8.3019999999999927E-2</v>
      </c>
      <c r="O6" s="46">
        <v>7.1690000000000115E-2</v>
      </c>
      <c r="P6" s="46">
        <v>6.7920000000000022E-2</v>
      </c>
      <c r="Q6" s="46">
        <v>5.6600000000000109E-2</v>
      </c>
      <c r="R6" s="46">
        <v>6.0379999999999968E-2</v>
      </c>
      <c r="S6" s="46">
        <v>4.5289999999999962E-2</v>
      </c>
      <c r="T6" s="46">
        <v>0</v>
      </c>
      <c r="U6" s="46">
        <v>0</v>
      </c>
      <c r="V6" s="10" t="s">
        <v>230</v>
      </c>
    </row>
    <row r="7" spans="1:23" x14ac:dyDescent="0.35">
      <c r="A7" s="150" t="s">
        <v>232</v>
      </c>
      <c r="B7" s="10" t="s">
        <v>383</v>
      </c>
      <c r="C7" s="46">
        <v>5.0789164701114969E-2</v>
      </c>
      <c r="D7" s="46">
        <v>5.0789164701114969E-2</v>
      </c>
      <c r="E7" s="46">
        <v>3.1133237421985878E-2</v>
      </c>
      <c r="F7" s="46">
        <v>1.9223686364380474E-2</v>
      </c>
      <c r="G7" s="46">
        <v>0</v>
      </c>
      <c r="H7" s="46">
        <v>0</v>
      </c>
      <c r="I7" s="46">
        <v>0</v>
      </c>
      <c r="J7" s="46">
        <v>0</v>
      </c>
      <c r="K7" s="46">
        <v>0</v>
      </c>
      <c r="L7" s="46">
        <v>0</v>
      </c>
      <c r="M7" s="46">
        <v>0</v>
      </c>
      <c r="N7" s="46">
        <v>0</v>
      </c>
      <c r="O7" s="46">
        <v>0</v>
      </c>
      <c r="P7" s="46">
        <v>0</v>
      </c>
      <c r="Q7" s="46">
        <v>0</v>
      </c>
      <c r="R7" s="46">
        <v>0</v>
      </c>
      <c r="S7" s="46">
        <v>0</v>
      </c>
      <c r="T7" s="46">
        <v>0</v>
      </c>
      <c r="U7" s="46">
        <v>0</v>
      </c>
      <c r="V7" s="10" t="s">
        <v>230</v>
      </c>
    </row>
    <row r="8" spans="1:23" x14ac:dyDescent="0.35">
      <c r="A8" s="98" t="s">
        <v>231</v>
      </c>
      <c r="B8" s="10" t="s">
        <v>383</v>
      </c>
      <c r="C8" s="46">
        <v>0</v>
      </c>
      <c r="D8" s="46">
        <v>0</v>
      </c>
      <c r="E8" s="46">
        <v>0</v>
      </c>
      <c r="F8" s="46">
        <v>0</v>
      </c>
      <c r="G8" s="46">
        <v>0</v>
      </c>
      <c r="H8" s="46">
        <v>0</v>
      </c>
      <c r="I8" s="46">
        <v>0</v>
      </c>
      <c r="J8" s="46">
        <v>0</v>
      </c>
      <c r="K8" s="46">
        <v>0</v>
      </c>
      <c r="L8" s="46">
        <v>1.1320000000000051E-2</v>
      </c>
      <c r="M8" s="46">
        <v>1.8870000000000005E-2</v>
      </c>
      <c r="N8" s="46">
        <v>1.8870000000000005E-2</v>
      </c>
      <c r="O8" s="46">
        <v>2.6419999999999957E-2</v>
      </c>
      <c r="P8" s="46">
        <v>3.774000000000001E-2</v>
      </c>
      <c r="Q8" s="46">
        <v>4.1509999999999964E-2</v>
      </c>
      <c r="R8" s="46">
        <v>4.5280000000000056E-2</v>
      </c>
      <c r="S8" s="46">
        <v>5.6599999999999963E-2</v>
      </c>
      <c r="T8" s="46">
        <v>9.3346821417133477E-2</v>
      </c>
      <c r="U8" s="46">
        <v>0.10461802992510058</v>
      </c>
      <c r="V8" s="10" t="s">
        <v>230</v>
      </c>
    </row>
    <row r="10" spans="1:23" x14ac:dyDescent="0.35">
      <c r="A10" s="97" t="s">
        <v>388</v>
      </c>
    </row>
    <row r="11" spans="1:23" x14ac:dyDescent="0.35">
      <c r="A11" s="30" t="s">
        <v>386</v>
      </c>
      <c r="B11" s="96" t="s">
        <v>229</v>
      </c>
      <c r="C11" s="96" t="s">
        <v>228</v>
      </c>
      <c r="D11" s="151" t="s">
        <v>4</v>
      </c>
    </row>
    <row r="12" spans="1:23" x14ac:dyDescent="0.35">
      <c r="A12" s="30" t="s">
        <v>387</v>
      </c>
      <c r="B12" s="46">
        <v>0.87628865979381443</v>
      </c>
      <c r="C12" s="46">
        <v>0.12371134020618557</v>
      </c>
      <c r="D12" s="10" t="s">
        <v>227</v>
      </c>
    </row>
    <row r="14" spans="1:23" x14ac:dyDescent="0.35">
      <c r="A14" s="2" t="s">
        <v>395</v>
      </c>
    </row>
    <row r="15" spans="1:23" x14ac:dyDescent="0.35">
      <c r="A15" s="84"/>
      <c r="B15" s="30" t="s">
        <v>389</v>
      </c>
      <c r="C15" s="23" t="s">
        <v>4</v>
      </c>
    </row>
    <row r="16" spans="1:23" x14ac:dyDescent="0.35">
      <c r="A16" s="93" t="s">
        <v>390</v>
      </c>
      <c r="B16" s="10">
        <v>0.57750000000000001</v>
      </c>
      <c r="C16" s="10" t="s">
        <v>391</v>
      </c>
    </row>
    <row r="17" spans="1:3" x14ac:dyDescent="0.35">
      <c r="A17" s="93" t="s">
        <v>392</v>
      </c>
      <c r="B17" s="10">
        <v>0.374</v>
      </c>
      <c r="C17" s="10" t="s">
        <v>391</v>
      </c>
    </row>
    <row r="18" spans="1:3" x14ac:dyDescent="0.35">
      <c r="A18" s="93" t="s">
        <v>393</v>
      </c>
      <c r="B18" s="10">
        <v>0.39</v>
      </c>
      <c r="C18" s="10" t="s">
        <v>391</v>
      </c>
    </row>
    <row r="19" spans="1:3" x14ac:dyDescent="0.35">
      <c r="A19" s="93" t="s">
        <v>394</v>
      </c>
      <c r="B19" s="10">
        <v>0.54600000000000004</v>
      </c>
      <c r="C19" s="10" t="s">
        <v>391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AEE51C-B350-4AB6-B0A4-5B7B154EBEFB}">
  <sheetPr>
    <tabColor theme="4" tint="0.79998168889431442"/>
  </sheetPr>
  <dimension ref="A1:G1213"/>
  <sheetViews>
    <sheetView workbookViewId="0">
      <selection sqref="A1:XFD1048576"/>
    </sheetView>
  </sheetViews>
  <sheetFormatPr baseColWidth="10" defaultRowHeight="14.5" x14ac:dyDescent="0.35"/>
  <cols>
    <col min="3" max="3" width="11.81640625" bestFit="1" customWidth="1"/>
    <col min="4" max="4" width="4.81640625" bestFit="1" customWidth="1"/>
    <col min="5" max="5" width="12.453125" bestFit="1" customWidth="1"/>
    <col min="6" max="6" width="31.90625" bestFit="1" customWidth="1"/>
  </cols>
  <sheetData>
    <row r="1" spans="1:7" x14ac:dyDescent="0.35">
      <c r="A1" s="10"/>
      <c r="B1" s="172" t="s">
        <v>379</v>
      </c>
      <c r="C1" s="173" t="s">
        <v>380</v>
      </c>
      <c r="D1" s="172" t="s">
        <v>354</v>
      </c>
      <c r="E1" s="172" t="s">
        <v>238</v>
      </c>
      <c r="F1" s="172" t="s">
        <v>239</v>
      </c>
      <c r="G1" s="172" t="s">
        <v>240</v>
      </c>
    </row>
    <row r="2" spans="1:7" x14ac:dyDescent="0.35">
      <c r="A2" s="100">
        <v>0</v>
      </c>
      <c r="B2" s="10" t="s">
        <v>241</v>
      </c>
      <c r="C2" s="149" t="s">
        <v>242</v>
      </c>
      <c r="D2" s="10">
        <v>1950</v>
      </c>
      <c r="E2" s="10">
        <v>1</v>
      </c>
      <c r="F2" s="10" t="s">
        <v>243</v>
      </c>
      <c r="G2" s="10" t="s">
        <v>244</v>
      </c>
    </row>
    <row r="3" spans="1:7" x14ac:dyDescent="0.35">
      <c r="A3" s="100">
        <v>1</v>
      </c>
      <c r="B3" s="10" t="s">
        <v>241</v>
      </c>
      <c r="C3" s="149" t="s">
        <v>242</v>
      </c>
      <c r="D3" s="10">
        <v>1951</v>
      </c>
      <c r="E3" s="10">
        <v>1</v>
      </c>
      <c r="F3" s="10" t="s">
        <v>243</v>
      </c>
      <c r="G3" s="10" t="s">
        <v>244</v>
      </c>
    </row>
    <row r="4" spans="1:7" x14ac:dyDescent="0.35">
      <c r="A4" s="100">
        <v>2</v>
      </c>
      <c r="B4" s="10" t="s">
        <v>241</v>
      </c>
      <c r="C4" s="149" t="s">
        <v>242</v>
      </c>
      <c r="D4" s="10">
        <v>1952</v>
      </c>
      <c r="E4" s="10">
        <v>1</v>
      </c>
      <c r="F4" s="10" t="s">
        <v>243</v>
      </c>
      <c r="G4" s="10" t="s">
        <v>244</v>
      </c>
    </row>
    <row r="5" spans="1:7" x14ac:dyDescent="0.35">
      <c r="A5" s="100">
        <v>3</v>
      </c>
      <c r="B5" s="10" t="s">
        <v>241</v>
      </c>
      <c r="C5" s="149" t="s">
        <v>242</v>
      </c>
      <c r="D5" s="10">
        <v>1953</v>
      </c>
      <c r="E5" s="10">
        <v>1</v>
      </c>
      <c r="F5" s="10" t="s">
        <v>243</v>
      </c>
      <c r="G5" s="10" t="s">
        <v>244</v>
      </c>
    </row>
    <row r="6" spans="1:7" x14ac:dyDescent="0.35">
      <c r="A6" s="100">
        <v>4</v>
      </c>
      <c r="B6" s="10" t="s">
        <v>241</v>
      </c>
      <c r="C6" s="149" t="s">
        <v>242</v>
      </c>
      <c r="D6" s="10">
        <v>1954</v>
      </c>
      <c r="E6" s="10">
        <v>1</v>
      </c>
      <c r="F6" s="10" t="s">
        <v>243</v>
      </c>
      <c r="G6" s="10" t="s">
        <v>244</v>
      </c>
    </row>
    <row r="7" spans="1:7" x14ac:dyDescent="0.35">
      <c r="A7" s="100">
        <v>5</v>
      </c>
      <c r="B7" s="10" t="s">
        <v>241</v>
      </c>
      <c r="C7" s="149" t="s">
        <v>242</v>
      </c>
      <c r="D7" s="10">
        <v>1955</v>
      </c>
      <c r="E7" s="10">
        <v>1</v>
      </c>
      <c r="F7" s="10" t="s">
        <v>243</v>
      </c>
      <c r="G7" s="10" t="s">
        <v>244</v>
      </c>
    </row>
    <row r="8" spans="1:7" x14ac:dyDescent="0.35">
      <c r="A8" s="100">
        <v>6</v>
      </c>
      <c r="B8" s="10" t="s">
        <v>241</v>
      </c>
      <c r="C8" s="149" t="s">
        <v>242</v>
      </c>
      <c r="D8" s="10">
        <v>1956</v>
      </c>
      <c r="E8" s="10">
        <v>1</v>
      </c>
      <c r="F8" s="10" t="s">
        <v>243</v>
      </c>
      <c r="G8" s="10" t="s">
        <v>244</v>
      </c>
    </row>
    <row r="9" spans="1:7" x14ac:dyDescent="0.35">
      <c r="A9" s="100">
        <v>7</v>
      </c>
      <c r="B9" s="10" t="s">
        <v>241</v>
      </c>
      <c r="C9" s="149" t="s">
        <v>242</v>
      </c>
      <c r="D9" s="10">
        <v>1957</v>
      </c>
      <c r="E9" s="10">
        <v>1</v>
      </c>
      <c r="F9" s="10" t="s">
        <v>243</v>
      </c>
      <c r="G9" s="10" t="s">
        <v>244</v>
      </c>
    </row>
    <row r="10" spans="1:7" x14ac:dyDescent="0.35">
      <c r="A10" s="100">
        <v>8</v>
      </c>
      <c r="B10" s="10" t="s">
        <v>241</v>
      </c>
      <c r="C10" s="149" t="s">
        <v>242</v>
      </c>
      <c r="D10" s="10">
        <v>1958</v>
      </c>
      <c r="E10" s="10">
        <v>1</v>
      </c>
      <c r="F10" s="10" t="s">
        <v>243</v>
      </c>
      <c r="G10" s="10" t="s">
        <v>244</v>
      </c>
    </row>
    <row r="11" spans="1:7" x14ac:dyDescent="0.35">
      <c r="A11" s="100">
        <v>9</v>
      </c>
      <c r="B11" s="10" t="s">
        <v>241</v>
      </c>
      <c r="C11" s="149" t="s">
        <v>242</v>
      </c>
      <c r="D11" s="10">
        <v>1959</v>
      </c>
      <c r="E11" s="10">
        <v>1</v>
      </c>
      <c r="F11" s="10" t="s">
        <v>243</v>
      </c>
      <c r="G11" s="10" t="s">
        <v>244</v>
      </c>
    </row>
    <row r="12" spans="1:7" x14ac:dyDescent="0.35">
      <c r="A12" s="100">
        <v>10</v>
      </c>
      <c r="B12" s="10" t="s">
        <v>241</v>
      </c>
      <c r="C12" s="149" t="s">
        <v>242</v>
      </c>
      <c r="D12" s="10">
        <v>1960</v>
      </c>
      <c r="E12" s="10">
        <v>1</v>
      </c>
      <c r="F12" s="10" t="s">
        <v>243</v>
      </c>
      <c r="G12" s="10" t="s">
        <v>244</v>
      </c>
    </row>
    <row r="13" spans="1:7" x14ac:dyDescent="0.35">
      <c r="A13" s="100">
        <v>11</v>
      </c>
      <c r="B13" s="10" t="s">
        <v>241</v>
      </c>
      <c r="C13" s="149" t="s">
        <v>242</v>
      </c>
      <c r="D13" s="10">
        <v>1961</v>
      </c>
      <c r="E13" s="10">
        <v>1</v>
      </c>
      <c r="F13" s="10" t="s">
        <v>243</v>
      </c>
      <c r="G13" s="10" t="s">
        <v>244</v>
      </c>
    </row>
    <row r="14" spans="1:7" x14ac:dyDescent="0.35">
      <c r="A14" s="100">
        <v>12</v>
      </c>
      <c r="B14" s="10" t="s">
        <v>241</v>
      </c>
      <c r="C14" s="149" t="s">
        <v>242</v>
      </c>
      <c r="D14" s="10">
        <v>1962</v>
      </c>
      <c r="E14" s="10">
        <v>1</v>
      </c>
      <c r="F14" s="10" t="s">
        <v>243</v>
      </c>
      <c r="G14" s="10" t="s">
        <v>244</v>
      </c>
    </row>
    <row r="15" spans="1:7" x14ac:dyDescent="0.35">
      <c r="A15" s="100">
        <v>13</v>
      </c>
      <c r="B15" s="10" t="s">
        <v>241</v>
      </c>
      <c r="C15" s="149" t="s">
        <v>242</v>
      </c>
      <c r="D15" s="10">
        <v>1963</v>
      </c>
      <c r="E15" s="10">
        <v>1</v>
      </c>
      <c r="F15" s="10" t="s">
        <v>243</v>
      </c>
      <c r="G15" s="10" t="s">
        <v>244</v>
      </c>
    </row>
    <row r="16" spans="1:7" x14ac:dyDescent="0.35">
      <c r="A16" s="100">
        <v>14</v>
      </c>
      <c r="B16" s="10" t="s">
        <v>241</v>
      </c>
      <c r="C16" s="149" t="s">
        <v>242</v>
      </c>
      <c r="D16" s="10">
        <v>1964</v>
      </c>
      <c r="E16" s="10">
        <v>1</v>
      </c>
      <c r="F16" s="10" t="s">
        <v>243</v>
      </c>
      <c r="G16" s="10" t="s">
        <v>244</v>
      </c>
    </row>
    <row r="17" spans="1:7" x14ac:dyDescent="0.35">
      <c r="A17" s="100">
        <v>15</v>
      </c>
      <c r="B17" s="10" t="s">
        <v>241</v>
      </c>
      <c r="C17" s="149" t="s">
        <v>242</v>
      </c>
      <c r="D17" s="10">
        <v>1965</v>
      </c>
      <c r="E17" s="10">
        <v>1</v>
      </c>
      <c r="F17" s="10" t="s">
        <v>243</v>
      </c>
      <c r="G17" s="10" t="s">
        <v>244</v>
      </c>
    </row>
    <row r="18" spans="1:7" x14ac:dyDescent="0.35">
      <c r="A18" s="100">
        <v>16</v>
      </c>
      <c r="B18" s="10" t="s">
        <v>241</v>
      </c>
      <c r="C18" s="149" t="s">
        <v>242</v>
      </c>
      <c r="D18" s="10">
        <v>1966</v>
      </c>
      <c r="E18" s="10">
        <v>1</v>
      </c>
      <c r="F18" s="10" t="s">
        <v>243</v>
      </c>
      <c r="G18" s="10" t="s">
        <v>244</v>
      </c>
    </row>
    <row r="19" spans="1:7" x14ac:dyDescent="0.35">
      <c r="A19" s="100">
        <v>17</v>
      </c>
      <c r="B19" s="10" t="s">
        <v>241</v>
      </c>
      <c r="C19" s="149" t="s">
        <v>242</v>
      </c>
      <c r="D19" s="10">
        <v>1967</v>
      </c>
      <c r="E19" s="10">
        <v>1</v>
      </c>
      <c r="F19" s="10" t="s">
        <v>243</v>
      </c>
      <c r="G19" s="10" t="s">
        <v>244</v>
      </c>
    </row>
    <row r="20" spans="1:7" x14ac:dyDescent="0.35">
      <c r="A20" s="100">
        <v>18</v>
      </c>
      <c r="B20" s="10" t="s">
        <v>241</v>
      </c>
      <c r="C20" s="149" t="s">
        <v>242</v>
      </c>
      <c r="D20" s="10">
        <v>1968</v>
      </c>
      <c r="E20" s="10">
        <v>1</v>
      </c>
      <c r="F20" s="10" t="s">
        <v>243</v>
      </c>
      <c r="G20" s="10" t="s">
        <v>244</v>
      </c>
    </row>
    <row r="21" spans="1:7" x14ac:dyDescent="0.35">
      <c r="A21" s="100">
        <v>19</v>
      </c>
      <c r="B21" s="10" t="s">
        <v>241</v>
      </c>
      <c r="C21" s="149" t="s">
        <v>242</v>
      </c>
      <c r="D21" s="10">
        <v>1969</v>
      </c>
      <c r="E21" s="10">
        <v>1</v>
      </c>
      <c r="F21" s="10" t="s">
        <v>243</v>
      </c>
      <c r="G21" s="10" t="s">
        <v>244</v>
      </c>
    </row>
    <row r="22" spans="1:7" x14ac:dyDescent="0.35">
      <c r="A22" s="100">
        <v>20</v>
      </c>
      <c r="B22" s="10" t="s">
        <v>241</v>
      </c>
      <c r="C22" s="149" t="s">
        <v>242</v>
      </c>
      <c r="D22" s="10">
        <v>1970</v>
      </c>
      <c r="E22" s="10">
        <v>1</v>
      </c>
      <c r="F22" s="10" t="s">
        <v>243</v>
      </c>
      <c r="G22" s="10" t="s">
        <v>244</v>
      </c>
    </row>
    <row r="23" spans="1:7" x14ac:dyDescent="0.35">
      <c r="A23" s="100">
        <v>21</v>
      </c>
      <c r="B23" s="10" t="s">
        <v>241</v>
      </c>
      <c r="C23" s="149" t="s">
        <v>242</v>
      </c>
      <c r="D23" s="10">
        <v>1971</v>
      </c>
      <c r="E23" s="10">
        <v>1</v>
      </c>
      <c r="F23" s="10" t="s">
        <v>243</v>
      </c>
      <c r="G23" s="10" t="s">
        <v>244</v>
      </c>
    </row>
    <row r="24" spans="1:7" x14ac:dyDescent="0.35">
      <c r="A24" s="100">
        <v>22</v>
      </c>
      <c r="B24" s="10" t="s">
        <v>241</v>
      </c>
      <c r="C24" s="149" t="s">
        <v>242</v>
      </c>
      <c r="D24" s="10">
        <v>1972</v>
      </c>
      <c r="E24" s="10">
        <v>1</v>
      </c>
      <c r="F24" s="10" t="s">
        <v>243</v>
      </c>
      <c r="G24" s="10" t="s">
        <v>244</v>
      </c>
    </row>
    <row r="25" spans="1:7" x14ac:dyDescent="0.35">
      <c r="A25" s="100">
        <v>23</v>
      </c>
      <c r="B25" s="10" t="s">
        <v>241</v>
      </c>
      <c r="C25" s="149" t="s">
        <v>242</v>
      </c>
      <c r="D25" s="10">
        <v>1973</v>
      </c>
      <c r="E25" s="10">
        <v>1</v>
      </c>
      <c r="F25" s="10" t="s">
        <v>243</v>
      </c>
      <c r="G25" s="10" t="s">
        <v>244</v>
      </c>
    </row>
    <row r="26" spans="1:7" x14ac:dyDescent="0.35">
      <c r="A26" s="100">
        <v>24</v>
      </c>
      <c r="B26" s="10" t="s">
        <v>241</v>
      </c>
      <c r="C26" s="149" t="s">
        <v>242</v>
      </c>
      <c r="D26" s="10">
        <v>1974</v>
      </c>
      <c r="E26" s="10">
        <v>1</v>
      </c>
      <c r="F26" s="10" t="s">
        <v>243</v>
      </c>
      <c r="G26" s="10" t="s">
        <v>244</v>
      </c>
    </row>
    <row r="27" spans="1:7" x14ac:dyDescent="0.35">
      <c r="A27" s="100">
        <v>25</v>
      </c>
      <c r="B27" s="10" t="s">
        <v>241</v>
      </c>
      <c r="C27" s="149" t="s">
        <v>242</v>
      </c>
      <c r="D27" s="10">
        <v>1975</v>
      </c>
      <c r="E27" s="10">
        <v>1</v>
      </c>
      <c r="F27" s="10" t="s">
        <v>243</v>
      </c>
      <c r="G27" s="10" t="s">
        <v>244</v>
      </c>
    </row>
    <row r="28" spans="1:7" x14ac:dyDescent="0.35">
      <c r="A28" s="100">
        <v>26</v>
      </c>
      <c r="B28" s="10" t="s">
        <v>241</v>
      </c>
      <c r="C28" s="149" t="s">
        <v>242</v>
      </c>
      <c r="D28" s="10">
        <v>1976</v>
      </c>
      <c r="E28" s="10">
        <v>1</v>
      </c>
      <c r="F28" s="10" t="s">
        <v>243</v>
      </c>
      <c r="G28" s="10" t="s">
        <v>244</v>
      </c>
    </row>
    <row r="29" spans="1:7" x14ac:dyDescent="0.35">
      <c r="A29" s="100">
        <v>27</v>
      </c>
      <c r="B29" s="10" t="s">
        <v>241</v>
      </c>
      <c r="C29" s="149" t="s">
        <v>242</v>
      </c>
      <c r="D29" s="10">
        <v>1977</v>
      </c>
      <c r="E29" s="10">
        <v>1</v>
      </c>
      <c r="F29" s="10" t="s">
        <v>243</v>
      </c>
      <c r="G29" s="10" t="s">
        <v>244</v>
      </c>
    </row>
    <row r="30" spans="1:7" x14ac:dyDescent="0.35">
      <c r="A30" s="100">
        <v>28</v>
      </c>
      <c r="B30" s="10" t="s">
        <v>241</v>
      </c>
      <c r="C30" s="149" t="s">
        <v>242</v>
      </c>
      <c r="D30" s="10">
        <v>1978</v>
      </c>
      <c r="E30" s="10">
        <v>1</v>
      </c>
      <c r="F30" s="10" t="s">
        <v>243</v>
      </c>
      <c r="G30" s="10" t="s">
        <v>244</v>
      </c>
    </row>
    <row r="31" spans="1:7" x14ac:dyDescent="0.35">
      <c r="A31" s="100">
        <v>29</v>
      </c>
      <c r="B31" s="10" t="s">
        <v>241</v>
      </c>
      <c r="C31" s="149" t="s">
        <v>242</v>
      </c>
      <c r="D31" s="10">
        <v>1979</v>
      </c>
      <c r="E31" s="10">
        <v>1</v>
      </c>
      <c r="F31" s="10" t="s">
        <v>243</v>
      </c>
      <c r="G31" s="10" t="s">
        <v>244</v>
      </c>
    </row>
    <row r="32" spans="1:7" x14ac:dyDescent="0.35">
      <c r="A32" s="100">
        <v>30</v>
      </c>
      <c r="B32" s="10" t="s">
        <v>241</v>
      </c>
      <c r="C32" s="149" t="s">
        <v>242</v>
      </c>
      <c r="D32" s="10">
        <v>1980</v>
      </c>
      <c r="E32" s="10">
        <v>1</v>
      </c>
      <c r="F32" s="10" t="s">
        <v>243</v>
      </c>
      <c r="G32" s="10" t="s">
        <v>244</v>
      </c>
    </row>
    <row r="33" spans="1:7" x14ac:dyDescent="0.35">
      <c r="A33" s="100">
        <v>31</v>
      </c>
      <c r="B33" s="10" t="s">
        <v>241</v>
      </c>
      <c r="C33" s="149" t="s">
        <v>242</v>
      </c>
      <c r="D33" s="10">
        <v>1981</v>
      </c>
      <c r="E33" s="10">
        <v>1</v>
      </c>
      <c r="F33" s="10" t="s">
        <v>243</v>
      </c>
      <c r="G33" s="10" t="s">
        <v>244</v>
      </c>
    </row>
    <row r="34" spans="1:7" x14ac:dyDescent="0.35">
      <c r="A34" s="100">
        <v>32</v>
      </c>
      <c r="B34" s="10" t="s">
        <v>241</v>
      </c>
      <c r="C34" s="149" t="s">
        <v>242</v>
      </c>
      <c r="D34" s="10">
        <v>1982</v>
      </c>
      <c r="E34" s="10">
        <v>1</v>
      </c>
      <c r="F34" s="10" t="s">
        <v>243</v>
      </c>
      <c r="G34" s="10" t="s">
        <v>244</v>
      </c>
    </row>
    <row r="35" spans="1:7" x14ac:dyDescent="0.35">
      <c r="A35" s="100">
        <v>33</v>
      </c>
      <c r="B35" s="10" t="s">
        <v>241</v>
      </c>
      <c r="C35" s="149" t="s">
        <v>242</v>
      </c>
      <c r="D35" s="10">
        <v>1983</v>
      </c>
      <c r="E35" s="10">
        <v>1</v>
      </c>
      <c r="F35" s="10" t="s">
        <v>243</v>
      </c>
      <c r="G35" s="10" t="s">
        <v>244</v>
      </c>
    </row>
    <row r="36" spans="1:7" x14ac:dyDescent="0.35">
      <c r="A36" s="100">
        <v>34</v>
      </c>
      <c r="B36" s="10" t="s">
        <v>241</v>
      </c>
      <c r="C36" s="149" t="s">
        <v>242</v>
      </c>
      <c r="D36" s="10">
        <v>1984</v>
      </c>
      <c r="E36" s="10">
        <v>1</v>
      </c>
      <c r="F36" s="10" t="s">
        <v>243</v>
      </c>
      <c r="G36" s="10" t="s">
        <v>244</v>
      </c>
    </row>
    <row r="37" spans="1:7" x14ac:dyDescent="0.35">
      <c r="A37" s="100">
        <v>35</v>
      </c>
      <c r="B37" s="10" t="s">
        <v>241</v>
      </c>
      <c r="C37" s="149" t="s">
        <v>242</v>
      </c>
      <c r="D37" s="10">
        <v>1985</v>
      </c>
      <c r="E37" s="10">
        <v>1</v>
      </c>
      <c r="F37" s="10" t="s">
        <v>243</v>
      </c>
      <c r="G37" s="10" t="s">
        <v>244</v>
      </c>
    </row>
    <row r="38" spans="1:7" x14ac:dyDescent="0.35">
      <c r="A38" s="100">
        <v>36</v>
      </c>
      <c r="B38" s="10" t="s">
        <v>241</v>
      </c>
      <c r="C38" s="149" t="s">
        <v>242</v>
      </c>
      <c r="D38" s="10">
        <v>1986</v>
      </c>
      <c r="E38" s="10">
        <v>1</v>
      </c>
      <c r="F38" s="10" t="s">
        <v>243</v>
      </c>
      <c r="G38" s="10" t="s">
        <v>244</v>
      </c>
    </row>
    <row r="39" spans="1:7" x14ac:dyDescent="0.35">
      <c r="A39" s="100">
        <v>37</v>
      </c>
      <c r="B39" s="10" t="s">
        <v>241</v>
      </c>
      <c r="C39" s="149" t="s">
        <v>242</v>
      </c>
      <c r="D39" s="10">
        <v>1987</v>
      </c>
      <c r="E39" s="10">
        <v>1</v>
      </c>
      <c r="F39" s="10" t="s">
        <v>243</v>
      </c>
      <c r="G39" s="10" t="s">
        <v>244</v>
      </c>
    </row>
    <row r="40" spans="1:7" x14ac:dyDescent="0.35">
      <c r="A40" s="100">
        <v>38</v>
      </c>
      <c r="B40" s="10" t="s">
        <v>241</v>
      </c>
      <c r="C40" s="149" t="s">
        <v>242</v>
      </c>
      <c r="D40" s="10">
        <v>1988</v>
      </c>
      <c r="E40" s="10">
        <v>1</v>
      </c>
      <c r="F40" s="10" t="s">
        <v>243</v>
      </c>
      <c r="G40" s="10" t="s">
        <v>244</v>
      </c>
    </row>
    <row r="41" spans="1:7" x14ac:dyDescent="0.35">
      <c r="A41" s="100">
        <v>39</v>
      </c>
      <c r="B41" s="10" t="s">
        <v>241</v>
      </c>
      <c r="C41" s="149" t="s">
        <v>242</v>
      </c>
      <c r="D41" s="10">
        <v>1989</v>
      </c>
      <c r="E41" s="10">
        <v>1</v>
      </c>
      <c r="F41" s="10" t="s">
        <v>243</v>
      </c>
      <c r="G41" s="10" t="s">
        <v>244</v>
      </c>
    </row>
    <row r="42" spans="1:7" x14ac:dyDescent="0.35">
      <c r="A42" s="100">
        <v>40</v>
      </c>
      <c r="B42" s="10" t="s">
        <v>241</v>
      </c>
      <c r="C42" s="149" t="s">
        <v>242</v>
      </c>
      <c r="D42" s="10">
        <v>1990</v>
      </c>
      <c r="E42" s="10">
        <v>1</v>
      </c>
      <c r="F42" s="10" t="s">
        <v>243</v>
      </c>
      <c r="G42" s="10" t="s">
        <v>244</v>
      </c>
    </row>
    <row r="43" spans="1:7" x14ac:dyDescent="0.35">
      <c r="A43" s="100">
        <v>41</v>
      </c>
      <c r="B43" s="10" t="s">
        <v>241</v>
      </c>
      <c r="C43" s="149" t="s">
        <v>242</v>
      </c>
      <c r="D43" s="10">
        <v>1991</v>
      </c>
      <c r="E43" s="10">
        <v>1</v>
      </c>
      <c r="F43" s="10" t="s">
        <v>243</v>
      </c>
      <c r="G43" s="10" t="s">
        <v>244</v>
      </c>
    </row>
    <row r="44" spans="1:7" x14ac:dyDescent="0.35">
      <c r="A44" s="100">
        <v>42</v>
      </c>
      <c r="B44" s="10" t="s">
        <v>241</v>
      </c>
      <c r="C44" s="149" t="s">
        <v>242</v>
      </c>
      <c r="D44" s="10">
        <v>1992</v>
      </c>
      <c r="E44" s="10">
        <v>1</v>
      </c>
      <c r="F44" s="10" t="s">
        <v>243</v>
      </c>
      <c r="G44" s="10" t="s">
        <v>244</v>
      </c>
    </row>
    <row r="45" spans="1:7" x14ac:dyDescent="0.35">
      <c r="A45" s="100">
        <v>43</v>
      </c>
      <c r="B45" s="10" t="s">
        <v>241</v>
      </c>
      <c r="C45" s="149" t="s">
        <v>242</v>
      </c>
      <c r="D45" s="10">
        <v>1993</v>
      </c>
      <c r="E45" s="10">
        <v>1</v>
      </c>
      <c r="F45" s="10" t="s">
        <v>243</v>
      </c>
      <c r="G45" s="10" t="s">
        <v>244</v>
      </c>
    </row>
    <row r="46" spans="1:7" x14ac:dyDescent="0.35">
      <c r="A46" s="100">
        <v>44</v>
      </c>
      <c r="B46" s="10" t="s">
        <v>241</v>
      </c>
      <c r="C46" s="149" t="s">
        <v>242</v>
      </c>
      <c r="D46" s="10">
        <v>1994</v>
      </c>
      <c r="E46" s="10">
        <v>1</v>
      </c>
      <c r="F46" s="10" t="s">
        <v>243</v>
      </c>
      <c r="G46" s="10" t="s">
        <v>244</v>
      </c>
    </row>
    <row r="47" spans="1:7" x14ac:dyDescent="0.35">
      <c r="A47" s="100">
        <v>45</v>
      </c>
      <c r="B47" s="10" t="s">
        <v>241</v>
      </c>
      <c r="C47" s="149" t="s">
        <v>242</v>
      </c>
      <c r="D47" s="10">
        <v>1995</v>
      </c>
      <c r="E47" s="10">
        <v>1</v>
      </c>
      <c r="F47" s="10" t="s">
        <v>243</v>
      </c>
      <c r="G47" s="10" t="s">
        <v>244</v>
      </c>
    </row>
    <row r="48" spans="1:7" x14ac:dyDescent="0.35">
      <c r="A48" s="100">
        <v>46</v>
      </c>
      <c r="B48" s="10" t="s">
        <v>241</v>
      </c>
      <c r="C48" s="149" t="s">
        <v>242</v>
      </c>
      <c r="D48" s="10">
        <v>1996</v>
      </c>
      <c r="E48" s="10">
        <v>1</v>
      </c>
      <c r="F48" s="10" t="s">
        <v>243</v>
      </c>
      <c r="G48" s="10" t="s">
        <v>244</v>
      </c>
    </row>
    <row r="49" spans="1:7" x14ac:dyDescent="0.35">
      <c r="A49" s="100">
        <v>47</v>
      </c>
      <c r="B49" s="10" t="s">
        <v>241</v>
      </c>
      <c r="C49" s="149" t="s">
        <v>242</v>
      </c>
      <c r="D49" s="10">
        <v>1997</v>
      </c>
      <c r="E49" s="10">
        <v>1</v>
      </c>
      <c r="F49" s="10" t="s">
        <v>243</v>
      </c>
      <c r="G49" s="10" t="s">
        <v>244</v>
      </c>
    </row>
    <row r="50" spans="1:7" x14ac:dyDescent="0.35">
      <c r="A50" s="100">
        <v>48</v>
      </c>
      <c r="B50" s="10" t="s">
        <v>241</v>
      </c>
      <c r="C50" s="149" t="s">
        <v>242</v>
      </c>
      <c r="D50" s="10">
        <v>1998</v>
      </c>
      <c r="E50" s="10">
        <v>1</v>
      </c>
      <c r="F50" s="10" t="s">
        <v>243</v>
      </c>
      <c r="G50" s="10" t="s">
        <v>244</v>
      </c>
    </row>
    <row r="51" spans="1:7" x14ac:dyDescent="0.35">
      <c r="A51" s="100">
        <v>49</v>
      </c>
      <c r="B51" s="10" t="s">
        <v>241</v>
      </c>
      <c r="C51" s="149" t="s">
        <v>242</v>
      </c>
      <c r="D51" s="10">
        <v>1999</v>
      </c>
      <c r="E51" s="10">
        <v>1</v>
      </c>
      <c r="F51" s="10" t="s">
        <v>243</v>
      </c>
      <c r="G51" s="10" t="s">
        <v>244</v>
      </c>
    </row>
    <row r="52" spans="1:7" x14ac:dyDescent="0.35">
      <c r="A52" s="100">
        <v>50</v>
      </c>
      <c r="B52" s="10" t="s">
        <v>241</v>
      </c>
      <c r="C52" s="149" t="s">
        <v>242</v>
      </c>
      <c r="D52" s="10">
        <v>2000</v>
      </c>
      <c r="E52" s="10">
        <v>1</v>
      </c>
      <c r="F52" s="10" t="s">
        <v>243</v>
      </c>
      <c r="G52" s="10" t="s">
        <v>244</v>
      </c>
    </row>
    <row r="53" spans="1:7" x14ac:dyDescent="0.35">
      <c r="A53" s="100">
        <v>51</v>
      </c>
      <c r="B53" s="10" t="s">
        <v>241</v>
      </c>
      <c r="C53" s="149" t="s">
        <v>242</v>
      </c>
      <c r="D53" s="10">
        <v>2001</v>
      </c>
      <c r="E53" s="10">
        <v>1</v>
      </c>
      <c r="F53" s="10" t="s">
        <v>243</v>
      </c>
      <c r="G53" s="10" t="s">
        <v>244</v>
      </c>
    </row>
    <row r="54" spans="1:7" x14ac:dyDescent="0.35">
      <c r="A54" s="100">
        <v>52</v>
      </c>
      <c r="B54" s="10" t="s">
        <v>241</v>
      </c>
      <c r="C54" s="149" t="s">
        <v>242</v>
      </c>
      <c r="D54" s="10">
        <v>2002</v>
      </c>
      <c r="E54" s="10">
        <v>1</v>
      </c>
      <c r="F54" s="10" t="s">
        <v>243</v>
      </c>
      <c r="G54" s="10" t="s">
        <v>244</v>
      </c>
    </row>
    <row r="55" spans="1:7" x14ac:dyDescent="0.35">
      <c r="A55" s="100">
        <v>53</v>
      </c>
      <c r="B55" s="10" t="s">
        <v>241</v>
      </c>
      <c r="C55" s="149" t="s">
        <v>242</v>
      </c>
      <c r="D55" s="10">
        <v>2003</v>
      </c>
      <c r="E55" s="10">
        <v>1</v>
      </c>
      <c r="F55" s="10" t="s">
        <v>243</v>
      </c>
      <c r="G55" s="10" t="s">
        <v>244</v>
      </c>
    </row>
    <row r="56" spans="1:7" x14ac:dyDescent="0.35">
      <c r="A56" s="100">
        <v>54</v>
      </c>
      <c r="B56" s="10" t="s">
        <v>241</v>
      </c>
      <c r="C56" s="149" t="s">
        <v>242</v>
      </c>
      <c r="D56" s="10">
        <v>2004</v>
      </c>
      <c r="E56" s="10">
        <v>1</v>
      </c>
      <c r="F56" s="10" t="s">
        <v>243</v>
      </c>
      <c r="G56" s="10" t="s">
        <v>244</v>
      </c>
    </row>
    <row r="57" spans="1:7" x14ac:dyDescent="0.35">
      <c r="A57" s="100">
        <v>55</v>
      </c>
      <c r="B57" s="10" t="s">
        <v>241</v>
      </c>
      <c r="C57" s="149" t="s">
        <v>242</v>
      </c>
      <c r="D57" s="10">
        <v>2005</v>
      </c>
      <c r="E57" s="10">
        <v>1</v>
      </c>
      <c r="F57" s="10" t="s">
        <v>243</v>
      </c>
      <c r="G57" s="10" t="s">
        <v>244</v>
      </c>
    </row>
    <row r="58" spans="1:7" x14ac:dyDescent="0.35">
      <c r="A58" s="100">
        <v>56</v>
      </c>
      <c r="B58" s="10" t="s">
        <v>241</v>
      </c>
      <c r="C58" s="149" t="s">
        <v>242</v>
      </c>
      <c r="D58" s="10">
        <v>2006</v>
      </c>
      <c r="E58" s="10">
        <v>1</v>
      </c>
      <c r="F58" s="10" t="s">
        <v>243</v>
      </c>
      <c r="G58" s="10" t="s">
        <v>244</v>
      </c>
    </row>
    <row r="59" spans="1:7" x14ac:dyDescent="0.35">
      <c r="A59" s="100">
        <v>57</v>
      </c>
      <c r="B59" s="10" t="s">
        <v>241</v>
      </c>
      <c r="C59" s="149" t="s">
        <v>242</v>
      </c>
      <c r="D59" s="10">
        <v>2007</v>
      </c>
      <c r="E59" s="10">
        <v>1</v>
      </c>
      <c r="F59" s="10" t="s">
        <v>243</v>
      </c>
      <c r="G59" s="10" t="s">
        <v>244</v>
      </c>
    </row>
    <row r="60" spans="1:7" x14ac:dyDescent="0.35">
      <c r="A60" s="100">
        <v>58</v>
      </c>
      <c r="B60" s="10" t="s">
        <v>241</v>
      </c>
      <c r="C60" s="149" t="s">
        <v>242</v>
      </c>
      <c r="D60" s="10">
        <v>2008</v>
      </c>
      <c r="E60" s="10">
        <v>1</v>
      </c>
      <c r="F60" s="10" t="s">
        <v>243</v>
      </c>
      <c r="G60" s="10" t="s">
        <v>244</v>
      </c>
    </row>
    <row r="61" spans="1:7" x14ac:dyDescent="0.35">
      <c r="A61" s="100">
        <v>59</v>
      </c>
      <c r="B61" s="10" t="s">
        <v>241</v>
      </c>
      <c r="C61" s="149" t="s">
        <v>242</v>
      </c>
      <c r="D61" s="10">
        <v>2009</v>
      </c>
      <c r="E61" s="10">
        <v>1</v>
      </c>
      <c r="F61" s="10" t="s">
        <v>243</v>
      </c>
      <c r="G61" s="10" t="s">
        <v>244</v>
      </c>
    </row>
    <row r="62" spans="1:7" x14ac:dyDescent="0.35">
      <c r="A62" s="100">
        <v>60</v>
      </c>
      <c r="B62" s="10" t="s">
        <v>241</v>
      </c>
      <c r="C62" s="149" t="s">
        <v>242</v>
      </c>
      <c r="D62" s="10">
        <v>2010</v>
      </c>
      <c r="E62" s="10">
        <v>1</v>
      </c>
      <c r="F62" s="10" t="s">
        <v>243</v>
      </c>
      <c r="G62" s="10" t="s">
        <v>244</v>
      </c>
    </row>
    <row r="63" spans="1:7" x14ac:dyDescent="0.35">
      <c r="A63" s="100">
        <v>61</v>
      </c>
      <c r="B63" s="10" t="s">
        <v>241</v>
      </c>
      <c r="C63" s="149" t="s">
        <v>242</v>
      </c>
      <c r="D63" s="10">
        <v>2011</v>
      </c>
      <c r="E63" s="10">
        <v>1</v>
      </c>
      <c r="F63" s="10" t="s">
        <v>243</v>
      </c>
      <c r="G63" s="10" t="s">
        <v>244</v>
      </c>
    </row>
    <row r="64" spans="1:7" x14ac:dyDescent="0.35">
      <c r="A64" s="100">
        <v>62</v>
      </c>
      <c r="B64" s="10" t="s">
        <v>241</v>
      </c>
      <c r="C64" s="149" t="s">
        <v>242</v>
      </c>
      <c r="D64" s="10">
        <v>2012</v>
      </c>
      <c r="E64" s="10">
        <v>1</v>
      </c>
      <c r="F64" s="10" t="s">
        <v>243</v>
      </c>
      <c r="G64" s="10" t="s">
        <v>244</v>
      </c>
    </row>
    <row r="65" spans="1:7" x14ac:dyDescent="0.35">
      <c r="A65" s="100">
        <v>63</v>
      </c>
      <c r="B65" s="10" t="s">
        <v>241</v>
      </c>
      <c r="C65" s="149" t="s">
        <v>242</v>
      </c>
      <c r="D65" s="10">
        <v>2013</v>
      </c>
      <c r="E65" s="10">
        <v>1</v>
      </c>
      <c r="F65" s="10" t="s">
        <v>243</v>
      </c>
      <c r="G65" s="10" t="s">
        <v>244</v>
      </c>
    </row>
    <row r="66" spans="1:7" x14ac:dyDescent="0.35">
      <c r="A66" s="100">
        <v>64</v>
      </c>
      <c r="B66" s="10" t="s">
        <v>241</v>
      </c>
      <c r="C66" s="149" t="s">
        <v>242</v>
      </c>
      <c r="D66" s="10">
        <v>2014</v>
      </c>
      <c r="E66" s="10">
        <v>0.99815914587141408</v>
      </c>
      <c r="F66" s="10" t="s">
        <v>243</v>
      </c>
      <c r="G66" s="10" t="s">
        <v>244</v>
      </c>
    </row>
    <row r="67" spans="1:7" x14ac:dyDescent="0.35">
      <c r="A67" s="100">
        <v>65</v>
      </c>
      <c r="B67" s="10" t="s">
        <v>241</v>
      </c>
      <c r="C67" s="149" t="s">
        <v>242</v>
      </c>
      <c r="D67" s="10">
        <v>2015</v>
      </c>
      <c r="E67" s="10">
        <v>0.99607417588009517</v>
      </c>
      <c r="F67" s="10" t="s">
        <v>243</v>
      </c>
      <c r="G67" s="10" t="s">
        <v>244</v>
      </c>
    </row>
    <row r="68" spans="1:7" x14ac:dyDescent="0.35">
      <c r="A68" s="100">
        <v>66</v>
      </c>
      <c r="B68" s="10" t="s">
        <v>241</v>
      </c>
      <c r="C68" s="149" t="s">
        <v>242</v>
      </c>
      <c r="D68" s="10">
        <v>2016</v>
      </c>
      <c r="E68" s="10">
        <v>0.99314523515218278</v>
      </c>
      <c r="F68" s="10" t="s">
        <v>243</v>
      </c>
      <c r="G68" s="10" t="s">
        <v>244</v>
      </c>
    </row>
    <row r="69" spans="1:7" x14ac:dyDescent="0.35">
      <c r="A69" s="100">
        <v>67</v>
      </c>
      <c r="B69" s="10" t="s">
        <v>241</v>
      </c>
      <c r="C69" s="149" t="s">
        <v>242</v>
      </c>
      <c r="D69" s="10">
        <v>2017</v>
      </c>
      <c r="E69" s="10">
        <v>0.98785880700835171</v>
      </c>
      <c r="F69" s="10" t="s">
        <v>243</v>
      </c>
      <c r="G69" s="10" t="s">
        <v>244</v>
      </c>
    </row>
    <row r="70" spans="1:7" x14ac:dyDescent="0.35">
      <c r="A70" s="100">
        <v>68</v>
      </c>
      <c r="B70" s="10" t="s">
        <v>241</v>
      </c>
      <c r="C70" s="149" t="s">
        <v>242</v>
      </c>
      <c r="D70" s="10">
        <v>2018</v>
      </c>
      <c r="E70" s="10">
        <v>0.98203997669665422</v>
      </c>
      <c r="F70" s="10" t="s">
        <v>243</v>
      </c>
      <c r="G70" s="10" t="s">
        <v>244</v>
      </c>
    </row>
    <row r="71" spans="1:7" x14ac:dyDescent="0.35">
      <c r="A71" s="100">
        <v>69</v>
      </c>
      <c r="B71" s="10" t="s">
        <v>241</v>
      </c>
      <c r="C71" s="149" t="s">
        <v>242</v>
      </c>
      <c r="D71" s="10">
        <v>2019</v>
      </c>
      <c r="E71" s="10">
        <v>0.97565417224772855</v>
      </c>
      <c r="F71" s="10" t="s">
        <v>243</v>
      </c>
      <c r="G71" s="10" t="s">
        <v>244</v>
      </c>
    </row>
    <row r="72" spans="1:7" x14ac:dyDescent="0.35">
      <c r="A72" s="100">
        <v>70</v>
      </c>
      <c r="B72" s="10" t="s">
        <v>241</v>
      </c>
      <c r="C72" s="149" t="s">
        <v>242</v>
      </c>
      <c r="D72" s="10">
        <v>2020</v>
      </c>
      <c r="E72" s="10">
        <v>0.96866548038197575</v>
      </c>
      <c r="F72" s="10" t="s">
        <v>243</v>
      </c>
      <c r="G72" s="10" t="s">
        <v>244</v>
      </c>
    </row>
    <row r="73" spans="1:7" x14ac:dyDescent="0.35">
      <c r="A73" s="100">
        <v>71</v>
      </c>
      <c r="B73" s="10" t="s">
        <v>241</v>
      </c>
      <c r="C73" s="149" t="s">
        <v>242</v>
      </c>
      <c r="D73" s="10">
        <v>2021</v>
      </c>
      <c r="E73" s="10">
        <v>0.96103725757477421</v>
      </c>
      <c r="F73" s="10" t="s">
        <v>243</v>
      </c>
      <c r="G73" s="10" t="s">
        <v>244</v>
      </c>
    </row>
    <row r="74" spans="1:7" x14ac:dyDescent="0.35">
      <c r="A74" s="100">
        <v>72</v>
      </c>
      <c r="B74" s="10" t="s">
        <v>241</v>
      </c>
      <c r="C74" s="149" t="s">
        <v>242</v>
      </c>
      <c r="D74" s="10">
        <v>2022</v>
      </c>
      <c r="E74" s="10">
        <v>0.95273294656428997</v>
      </c>
      <c r="F74" s="10" t="s">
        <v>243</v>
      </c>
      <c r="G74" s="10" t="s">
        <v>244</v>
      </c>
    </row>
    <row r="75" spans="1:7" x14ac:dyDescent="0.35">
      <c r="A75" s="100">
        <v>73</v>
      </c>
      <c r="B75" s="10" t="s">
        <v>241</v>
      </c>
      <c r="C75" s="149" t="s">
        <v>242</v>
      </c>
      <c r="D75" s="10">
        <v>2023</v>
      </c>
      <c r="E75" s="10">
        <v>0.9437171197085944</v>
      </c>
      <c r="F75" s="10" t="s">
        <v>243</v>
      </c>
      <c r="G75" s="10" t="s">
        <v>244</v>
      </c>
    </row>
    <row r="76" spans="1:7" x14ac:dyDescent="0.35">
      <c r="A76" s="100">
        <v>74</v>
      </c>
      <c r="B76" s="10" t="s">
        <v>241</v>
      </c>
      <c r="C76" s="149" t="s">
        <v>242</v>
      </c>
      <c r="D76" s="10">
        <v>2024</v>
      </c>
      <c r="E76" s="10">
        <v>0.93395676055094212</v>
      </c>
      <c r="F76" s="10" t="s">
        <v>243</v>
      </c>
      <c r="G76" s="10" t="s">
        <v>244</v>
      </c>
    </row>
    <row r="77" spans="1:7" x14ac:dyDescent="0.35">
      <c r="A77" s="100">
        <v>75</v>
      </c>
      <c r="B77" s="10" t="s">
        <v>241</v>
      </c>
      <c r="C77" s="149" t="s">
        <v>242</v>
      </c>
      <c r="D77" s="10">
        <v>2025</v>
      </c>
      <c r="E77" s="10">
        <v>0.92342277929811045</v>
      </c>
      <c r="F77" s="10" t="s">
        <v>243</v>
      </c>
      <c r="G77" s="10" t="s">
        <v>244</v>
      </c>
    </row>
    <row r="78" spans="1:7" x14ac:dyDescent="0.35">
      <c r="A78" s="100">
        <v>76</v>
      </c>
      <c r="B78" s="10" t="s">
        <v>241</v>
      </c>
      <c r="C78" s="149" t="s">
        <v>242</v>
      </c>
      <c r="D78" s="10">
        <v>2026</v>
      </c>
      <c r="E78" s="10">
        <v>0.91209173608250338</v>
      </c>
      <c r="F78" s="10" t="s">
        <v>243</v>
      </c>
      <c r="G78" s="10" t="s">
        <v>244</v>
      </c>
    </row>
    <row r="79" spans="1:7" x14ac:dyDescent="0.35">
      <c r="A79" s="100">
        <v>77</v>
      </c>
      <c r="B79" s="10" t="s">
        <v>241</v>
      </c>
      <c r="C79" s="149" t="s">
        <v>242</v>
      </c>
      <c r="D79" s="10">
        <v>2027</v>
      </c>
      <c r="E79" s="10">
        <v>0.89994771810788843</v>
      </c>
      <c r="F79" s="10" t="s">
        <v>243</v>
      </c>
      <c r="G79" s="10" t="s">
        <v>244</v>
      </c>
    </row>
    <row r="80" spans="1:7" x14ac:dyDescent="0.35">
      <c r="A80" s="100">
        <v>78</v>
      </c>
      <c r="B80" s="10" t="s">
        <v>241</v>
      </c>
      <c r="C80" s="149" t="s">
        <v>242</v>
      </c>
      <c r="D80" s="10">
        <v>2028</v>
      </c>
      <c r="E80" s="10">
        <v>0.88698428447320099</v>
      </c>
      <c r="F80" s="10" t="s">
        <v>243</v>
      </c>
      <c r="G80" s="10" t="s">
        <v>244</v>
      </c>
    </row>
    <row r="81" spans="1:7" x14ac:dyDescent="0.35">
      <c r="A81" s="100">
        <v>79</v>
      </c>
      <c r="B81" s="10" t="s">
        <v>241</v>
      </c>
      <c r="C81" s="149" t="s">
        <v>242</v>
      </c>
      <c r="D81" s="10">
        <v>2029</v>
      </c>
      <c r="E81" s="10">
        <v>0.87320635860286799</v>
      </c>
      <c r="F81" s="10" t="s">
        <v>243</v>
      </c>
      <c r="G81" s="10" t="s">
        <v>244</v>
      </c>
    </row>
    <row r="82" spans="1:7" x14ac:dyDescent="0.35">
      <c r="A82" s="100">
        <v>80</v>
      </c>
      <c r="B82" s="10" t="s">
        <v>241</v>
      </c>
      <c r="C82" s="149" t="s">
        <v>242</v>
      </c>
      <c r="D82" s="10">
        <v>2030</v>
      </c>
      <c r="E82" s="10">
        <v>0.8586319174129049</v>
      </c>
      <c r="F82" s="10" t="s">
        <v>243</v>
      </c>
      <c r="G82" s="10" t="s">
        <v>244</v>
      </c>
    </row>
    <row r="83" spans="1:7" x14ac:dyDescent="0.35">
      <c r="A83" s="100">
        <v>81</v>
      </c>
      <c r="B83" s="10" t="s">
        <v>241</v>
      </c>
      <c r="C83" s="149" t="s">
        <v>242</v>
      </c>
      <c r="D83" s="10">
        <v>2031</v>
      </c>
      <c r="E83" s="10">
        <v>0.8432933047031258</v>
      </c>
      <c r="F83" s="10" t="s">
        <v>243</v>
      </c>
      <c r="G83" s="10" t="s">
        <v>244</v>
      </c>
    </row>
    <row r="84" spans="1:7" x14ac:dyDescent="0.35">
      <c r="A84" s="100">
        <v>82</v>
      </c>
      <c r="B84" s="10" t="s">
        <v>241</v>
      </c>
      <c r="C84" s="149" t="s">
        <v>242</v>
      </c>
      <c r="D84" s="10">
        <v>2032</v>
      </c>
      <c r="E84" s="10">
        <v>0.82723799051830404</v>
      </c>
      <c r="F84" s="10" t="s">
        <v>243</v>
      </c>
      <c r="G84" s="10" t="s">
        <v>244</v>
      </c>
    </row>
    <row r="85" spans="1:7" x14ac:dyDescent="0.35">
      <c r="A85" s="100">
        <v>83</v>
      </c>
      <c r="B85" s="10" t="s">
        <v>241</v>
      </c>
      <c r="C85" s="149" t="s">
        <v>242</v>
      </c>
      <c r="D85" s="10">
        <v>2033</v>
      </c>
      <c r="E85" s="10">
        <v>0.810528614433493</v>
      </c>
      <c r="F85" s="10" t="s">
        <v>243</v>
      </c>
      <c r="G85" s="10" t="s">
        <v>244</v>
      </c>
    </row>
    <row r="86" spans="1:7" x14ac:dyDescent="0.35">
      <c r="A86" s="100">
        <v>84</v>
      </c>
      <c r="B86" s="10" t="s">
        <v>241</v>
      </c>
      <c r="C86" s="149" t="s">
        <v>242</v>
      </c>
      <c r="D86" s="10">
        <v>2034</v>
      </c>
      <c r="E86" s="10">
        <v>0.79324219250251615</v>
      </c>
      <c r="F86" s="10" t="s">
        <v>243</v>
      </c>
      <c r="G86" s="10" t="s">
        <v>244</v>
      </c>
    </row>
    <row r="87" spans="1:7" x14ac:dyDescent="0.35">
      <c r="A87" s="100">
        <v>85</v>
      </c>
      <c r="B87" s="10" t="s">
        <v>241</v>
      </c>
      <c r="C87" s="149" t="s">
        <v>242</v>
      </c>
      <c r="D87" s="10">
        <v>2035</v>
      </c>
      <c r="E87" s="10">
        <v>0.77546843442014057</v>
      </c>
      <c r="F87" s="10" t="s">
        <v>243</v>
      </c>
      <c r="G87" s="10" t="s">
        <v>244</v>
      </c>
    </row>
    <row r="88" spans="1:7" x14ac:dyDescent="0.35">
      <c r="A88" s="100">
        <v>86</v>
      </c>
      <c r="B88" s="10" t="s">
        <v>241</v>
      </c>
      <c r="C88" s="149" t="s">
        <v>242</v>
      </c>
      <c r="D88" s="10">
        <v>2036</v>
      </c>
      <c r="E88" s="10">
        <v>0.75730720340288493</v>
      </c>
      <c r="F88" s="10" t="s">
        <v>243</v>
      </c>
      <c r="G88" s="10" t="s">
        <v>244</v>
      </c>
    </row>
    <row r="89" spans="1:7" x14ac:dyDescent="0.35">
      <c r="A89" s="100">
        <v>87</v>
      </c>
      <c r="B89" s="10" t="s">
        <v>241</v>
      </c>
      <c r="C89" s="149" t="s">
        <v>242</v>
      </c>
      <c r="D89" s="10">
        <v>2037</v>
      </c>
      <c r="E89" s="10">
        <v>0.73886524528119812</v>
      </c>
      <c r="F89" s="10" t="s">
        <v>243</v>
      </c>
      <c r="G89" s="10" t="s">
        <v>244</v>
      </c>
    </row>
    <row r="90" spans="1:7" x14ac:dyDescent="0.35">
      <c r="A90" s="100">
        <v>88</v>
      </c>
      <c r="B90" s="10" t="s">
        <v>241</v>
      </c>
      <c r="C90" s="149" t="s">
        <v>242</v>
      </c>
      <c r="D90" s="10">
        <v>2038</v>
      </c>
      <c r="E90" s="10">
        <v>0.72025240058124806</v>
      </c>
      <c r="F90" s="10" t="s">
        <v>243</v>
      </c>
      <c r="G90" s="10" t="s">
        <v>244</v>
      </c>
    </row>
    <row r="91" spans="1:7" x14ac:dyDescent="0.35">
      <c r="A91" s="100">
        <v>89</v>
      </c>
      <c r="B91" s="10" t="s">
        <v>241</v>
      </c>
      <c r="C91" s="149" t="s">
        <v>242</v>
      </c>
      <c r="D91" s="10">
        <v>2039</v>
      </c>
      <c r="E91" s="10">
        <v>0.70157757861833647</v>
      </c>
      <c r="F91" s="10" t="s">
        <v>243</v>
      </c>
      <c r="G91" s="10" t="s">
        <v>244</v>
      </c>
    </row>
    <row r="92" spans="1:7" x14ac:dyDescent="0.35">
      <c r="A92" s="100">
        <v>90</v>
      </c>
      <c r="B92" s="10" t="s">
        <v>241</v>
      </c>
      <c r="C92" s="149" t="s">
        <v>242</v>
      </c>
      <c r="D92" s="10">
        <v>2040</v>
      </c>
      <c r="E92" s="10">
        <v>0.6829448035575385</v>
      </c>
      <c r="F92" s="10" t="s">
        <v>243</v>
      </c>
      <c r="G92" s="10" t="s">
        <v>244</v>
      </c>
    </row>
    <row r="93" spans="1:7" x14ac:dyDescent="0.35">
      <c r="A93" s="100">
        <v>91</v>
      </c>
      <c r="B93" s="10" t="s">
        <v>241</v>
      </c>
      <c r="C93" s="149" t="s">
        <v>242</v>
      </c>
      <c r="D93" s="10">
        <v>2041</v>
      </c>
      <c r="E93" s="10">
        <v>0.66444963298526438</v>
      </c>
      <c r="F93" s="10" t="s">
        <v>243</v>
      </c>
      <c r="G93" s="10" t="s">
        <v>244</v>
      </c>
    </row>
    <row r="94" spans="1:7" x14ac:dyDescent="0.35">
      <c r="A94" s="100">
        <v>92</v>
      </c>
      <c r="B94" s="10" t="s">
        <v>241</v>
      </c>
      <c r="C94" s="149" t="s">
        <v>242</v>
      </c>
      <c r="D94" s="10">
        <v>2042</v>
      </c>
      <c r="E94" s="10">
        <v>0.64617620162720724</v>
      </c>
      <c r="F94" s="10" t="s">
        <v>243</v>
      </c>
      <c r="G94" s="10" t="s">
        <v>244</v>
      </c>
    </row>
    <row r="95" spans="1:7" x14ac:dyDescent="0.35">
      <c r="A95" s="100">
        <v>93</v>
      </c>
      <c r="B95" s="10" t="s">
        <v>241</v>
      </c>
      <c r="C95" s="149" t="s">
        <v>242</v>
      </c>
      <c r="D95" s="10">
        <v>2043</v>
      </c>
      <c r="E95" s="10">
        <v>0.62819506566941041</v>
      </c>
      <c r="F95" s="10" t="s">
        <v>243</v>
      </c>
      <c r="G95" s="10" t="s">
        <v>244</v>
      </c>
    </row>
    <row r="96" spans="1:7" x14ac:dyDescent="0.35">
      <c r="A96" s="100">
        <v>94</v>
      </c>
      <c r="B96" s="10" t="s">
        <v>241</v>
      </c>
      <c r="C96" s="149" t="s">
        <v>242</v>
      </c>
      <c r="D96" s="10">
        <v>2044</v>
      </c>
      <c r="E96" s="10">
        <v>0.61056193081876176</v>
      </c>
      <c r="F96" s="10" t="s">
        <v>243</v>
      </c>
      <c r="G96" s="10" t="s">
        <v>244</v>
      </c>
    </row>
    <row r="97" spans="1:7" x14ac:dyDescent="0.35">
      <c r="A97" s="100">
        <v>95</v>
      </c>
      <c r="B97" s="10" t="s">
        <v>241</v>
      </c>
      <c r="C97" s="149" t="s">
        <v>242</v>
      </c>
      <c r="D97" s="10">
        <v>2045</v>
      </c>
      <c r="E97" s="10">
        <v>0.59331725527774026</v>
      </c>
      <c r="F97" s="10" t="s">
        <v>243</v>
      </c>
      <c r="G97" s="10" t="s">
        <v>244</v>
      </c>
    </row>
    <row r="98" spans="1:7" x14ac:dyDescent="0.35">
      <c r="A98" s="100">
        <v>96</v>
      </c>
      <c r="B98" s="10" t="s">
        <v>241</v>
      </c>
      <c r="C98" s="149" t="s">
        <v>242</v>
      </c>
      <c r="D98" s="10">
        <v>2046</v>
      </c>
      <c r="E98" s="10">
        <v>0.57648664058064791</v>
      </c>
      <c r="F98" s="10" t="s">
        <v>243</v>
      </c>
      <c r="G98" s="10" t="s">
        <v>244</v>
      </c>
    </row>
    <row r="99" spans="1:7" x14ac:dyDescent="0.35">
      <c r="A99" s="100">
        <v>97</v>
      </c>
      <c r="B99" s="10" t="s">
        <v>241</v>
      </c>
      <c r="C99" s="149" t="s">
        <v>242</v>
      </c>
      <c r="D99" s="10">
        <v>2047</v>
      </c>
      <c r="E99" s="10">
        <v>0.560081867548333</v>
      </c>
      <c r="F99" s="10" t="s">
        <v>243</v>
      </c>
      <c r="G99" s="10" t="s">
        <v>244</v>
      </c>
    </row>
    <row r="100" spans="1:7" x14ac:dyDescent="0.35">
      <c r="A100" s="100">
        <v>98</v>
      </c>
      <c r="B100" s="10" t="s">
        <v>241</v>
      </c>
      <c r="C100" s="149" t="s">
        <v>242</v>
      </c>
      <c r="D100" s="10">
        <v>2048</v>
      </c>
      <c r="E100" s="10">
        <v>0.5441024048203611</v>
      </c>
      <c r="F100" s="10" t="s">
        <v>243</v>
      </c>
      <c r="G100" s="10" t="s">
        <v>244</v>
      </c>
    </row>
    <row r="101" spans="1:7" x14ac:dyDescent="0.35">
      <c r="A101" s="100">
        <v>99</v>
      </c>
      <c r="B101" s="10" t="s">
        <v>241</v>
      </c>
      <c r="C101" s="149" t="s">
        <v>242</v>
      </c>
      <c r="D101" s="10">
        <v>2049</v>
      </c>
      <c r="E101" s="10">
        <v>0.52853721195628933</v>
      </c>
      <c r="F101" s="10" t="s">
        <v>243</v>
      </c>
      <c r="G101" s="10" t="s">
        <v>244</v>
      </c>
    </row>
    <row r="102" spans="1:7" x14ac:dyDescent="0.35">
      <c r="A102" s="100">
        <v>100</v>
      </c>
      <c r="B102" s="10" t="s">
        <v>241</v>
      </c>
      <c r="C102" s="149" t="s">
        <v>242</v>
      </c>
      <c r="D102" s="10">
        <v>2050</v>
      </c>
      <c r="E102" s="10">
        <v>0.51336667298747574</v>
      </c>
      <c r="F102" s="10" t="s">
        <v>243</v>
      </c>
      <c r="G102" s="10" t="s">
        <v>244</v>
      </c>
    </row>
    <row r="103" spans="1:7" x14ac:dyDescent="0.35">
      <c r="A103" s="100">
        <v>101</v>
      </c>
      <c r="B103" s="10" t="s">
        <v>241</v>
      </c>
      <c r="C103" s="149" t="s">
        <v>245</v>
      </c>
      <c r="D103" s="10">
        <v>1950</v>
      </c>
      <c r="E103" s="10">
        <v>0</v>
      </c>
      <c r="F103" s="10" t="s">
        <v>243</v>
      </c>
      <c r="G103" s="10" t="s">
        <v>244</v>
      </c>
    </row>
    <row r="104" spans="1:7" x14ac:dyDescent="0.35">
      <c r="A104" s="100">
        <v>102</v>
      </c>
      <c r="B104" s="10" t="s">
        <v>241</v>
      </c>
      <c r="C104" s="149" t="s">
        <v>245</v>
      </c>
      <c r="D104" s="10">
        <v>1951</v>
      </c>
      <c r="E104" s="10">
        <v>0</v>
      </c>
      <c r="F104" s="10" t="s">
        <v>243</v>
      </c>
      <c r="G104" s="10" t="s">
        <v>244</v>
      </c>
    </row>
    <row r="105" spans="1:7" x14ac:dyDescent="0.35">
      <c r="A105" s="100">
        <v>103</v>
      </c>
      <c r="B105" s="10" t="s">
        <v>241</v>
      </c>
      <c r="C105" s="149" t="s">
        <v>245</v>
      </c>
      <c r="D105" s="10">
        <v>1952</v>
      </c>
      <c r="E105" s="10">
        <v>0</v>
      </c>
      <c r="F105" s="10" t="s">
        <v>243</v>
      </c>
      <c r="G105" s="10" t="s">
        <v>244</v>
      </c>
    </row>
    <row r="106" spans="1:7" x14ac:dyDescent="0.35">
      <c r="A106" s="100">
        <v>104</v>
      </c>
      <c r="B106" s="10" t="s">
        <v>241</v>
      </c>
      <c r="C106" s="149" t="s">
        <v>245</v>
      </c>
      <c r="D106" s="10">
        <v>1953</v>
      </c>
      <c r="E106" s="10">
        <v>0</v>
      </c>
      <c r="F106" s="10" t="s">
        <v>243</v>
      </c>
      <c r="G106" s="10" t="s">
        <v>244</v>
      </c>
    </row>
    <row r="107" spans="1:7" x14ac:dyDescent="0.35">
      <c r="A107" s="100">
        <v>105</v>
      </c>
      <c r="B107" s="10" t="s">
        <v>241</v>
      </c>
      <c r="C107" s="149" t="s">
        <v>245</v>
      </c>
      <c r="D107" s="10">
        <v>1954</v>
      </c>
      <c r="E107" s="10">
        <v>0</v>
      </c>
      <c r="F107" s="10" t="s">
        <v>243</v>
      </c>
      <c r="G107" s="10" t="s">
        <v>244</v>
      </c>
    </row>
    <row r="108" spans="1:7" x14ac:dyDescent="0.35">
      <c r="A108" s="100">
        <v>106</v>
      </c>
      <c r="B108" s="10" t="s">
        <v>241</v>
      </c>
      <c r="C108" s="149" t="s">
        <v>245</v>
      </c>
      <c r="D108" s="10">
        <v>1955</v>
      </c>
      <c r="E108" s="10">
        <v>0</v>
      </c>
      <c r="F108" s="10" t="s">
        <v>243</v>
      </c>
      <c r="G108" s="10" t="s">
        <v>244</v>
      </c>
    </row>
    <row r="109" spans="1:7" x14ac:dyDescent="0.35">
      <c r="A109" s="100">
        <v>107</v>
      </c>
      <c r="B109" s="10" t="s">
        <v>241</v>
      </c>
      <c r="C109" s="149" t="s">
        <v>245</v>
      </c>
      <c r="D109" s="10">
        <v>1956</v>
      </c>
      <c r="E109" s="10">
        <v>0</v>
      </c>
      <c r="F109" s="10" t="s">
        <v>243</v>
      </c>
      <c r="G109" s="10" t="s">
        <v>244</v>
      </c>
    </row>
    <row r="110" spans="1:7" x14ac:dyDescent="0.35">
      <c r="A110" s="100">
        <v>108</v>
      </c>
      <c r="B110" s="10" t="s">
        <v>241</v>
      </c>
      <c r="C110" s="149" t="s">
        <v>245</v>
      </c>
      <c r="D110" s="10">
        <v>1957</v>
      </c>
      <c r="E110" s="10">
        <v>0</v>
      </c>
      <c r="F110" s="10" t="s">
        <v>243</v>
      </c>
      <c r="G110" s="10" t="s">
        <v>244</v>
      </c>
    </row>
    <row r="111" spans="1:7" x14ac:dyDescent="0.35">
      <c r="A111" s="100">
        <v>109</v>
      </c>
      <c r="B111" s="10" t="s">
        <v>241</v>
      </c>
      <c r="C111" s="149" t="s">
        <v>245</v>
      </c>
      <c r="D111" s="10">
        <v>1958</v>
      </c>
      <c r="E111" s="10">
        <v>0</v>
      </c>
      <c r="F111" s="10" t="s">
        <v>243</v>
      </c>
      <c r="G111" s="10" t="s">
        <v>244</v>
      </c>
    </row>
    <row r="112" spans="1:7" x14ac:dyDescent="0.35">
      <c r="A112" s="100">
        <v>110</v>
      </c>
      <c r="B112" s="10" t="s">
        <v>241</v>
      </c>
      <c r="C112" s="149" t="s">
        <v>245</v>
      </c>
      <c r="D112" s="10">
        <v>1959</v>
      </c>
      <c r="E112" s="10">
        <v>0</v>
      </c>
      <c r="F112" s="10" t="s">
        <v>243</v>
      </c>
      <c r="G112" s="10" t="s">
        <v>244</v>
      </c>
    </row>
    <row r="113" spans="1:7" x14ac:dyDescent="0.35">
      <c r="A113" s="100">
        <v>111</v>
      </c>
      <c r="B113" s="10" t="s">
        <v>241</v>
      </c>
      <c r="C113" s="149" t="s">
        <v>245</v>
      </c>
      <c r="D113" s="10">
        <v>1960</v>
      </c>
      <c r="E113" s="10">
        <v>0</v>
      </c>
      <c r="F113" s="10" t="s">
        <v>243</v>
      </c>
      <c r="G113" s="10" t="s">
        <v>244</v>
      </c>
    </row>
    <row r="114" spans="1:7" x14ac:dyDescent="0.35">
      <c r="A114" s="100">
        <v>112</v>
      </c>
      <c r="B114" s="10" t="s">
        <v>241</v>
      </c>
      <c r="C114" s="149" t="s">
        <v>245</v>
      </c>
      <c r="D114" s="10">
        <v>1961</v>
      </c>
      <c r="E114" s="10">
        <v>0</v>
      </c>
      <c r="F114" s="10" t="s">
        <v>243</v>
      </c>
      <c r="G114" s="10" t="s">
        <v>244</v>
      </c>
    </row>
    <row r="115" spans="1:7" x14ac:dyDescent="0.35">
      <c r="A115" s="100">
        <v>113</v>
      </c>
      <c r="B115" s="10" t="s">
        <v>241</v>
      </c>
      <c r="C115" s="149" t="s">
        <v>245</v>
      </c>
      <c r="D115" s="10">
        <v>1962</v>
      </c>
      <c r="E115" s="10">
        <v>0</v>
      </c>
      <c r="F115" s="10" t="s">
        <v>243</v>
      </c>
      <c r="G115" s="10" t="s">
        <v>244</v>
      </c>
    </row>
    <row r="116" spans="1:7" x14ac:dyDescent="0.35">
      <c r="A116" s="100">
        <v>114</v>
      </c>
      <c r="B116" s="10" t="s">
        <v>241</v>
      </c>
      <c r="C116" s="149" t="s">
        <v>245</v>
      </c>
      <c r="D116" s="10">
        <v>1963</v>
      </c>
      <c r="E116" s="10">
        <v>0</v>
      </c>
      <c r="F116" s="10" t="s">
        <v>243</v>
      </c>
      <c r="G116" s="10" t="s">
        <v>244</v>
      </c>
    </row>
    <row r="117" spans="1:7" x14ac:dyDescent="0.35">
      <c r="A117" s="100">
        <v>115</v>
      </c>
      <c r="B117" s="10" t="s">
        <v>241</v>
      </c>
      <c r="C117" s="149" t="s">
        <v>245</v>
      </c>
      <c r="D117" s="10">
        <v>1964</v>
      </c>
      <c r="E117" s="10">
        <v>0</v>
      </c>
      <c r="F117" s="10" t="s">
        <v>243</v>
      </c>
      <c r="G117" s="10" t="s">
        <v>244</v>
      </c>
    </row>
    <row r="118" spans="1:7" x14ac:dyDescent="0.35">
      <c r="A118" s="100">
        <v>116</v>
      </c>
      <c r="B118" s="10" t="s">
        <v>241</v>
      </c>
      <c r="C118" s="149" t="s">
        <v>245</v>
      </c>
      <c r="D118" s="10">
        <v>1965</v>
      </c>
      <c r="E118" s="10">
        <v>0</v>
      </c>
      <c r="F118" s="10" t="s">
        <v>243</v>
      </c>
      <c r="G118" s="10" t="s">
        <v>244</v>
      </c>
    </row>
    <row r="119" spans="1:7" x14ac:dyDescent="0.35">
      <c r="A119" s="100">
        <v>117</v>
      </c>
      <c r="B119" s="10" t="s">
        <v>241</v>
      </c>
      <c r="C119" s="149" t="s">
        <v>245</v>
      </c>
      <c r="D119" s="10">
        <v>1966</v>
      </c>
      <c r="E119" s="10">
        <v>0</v>
      </c>
      <c r="F119" s="10" t="s">
        <v>243</v>
      </c>
      <c r="G119" s="10" t="s">
        <v>244</v>
      </c>
    </row>
    <row r="120" spans="1:7" x14ac:dyDescent="0.35">
      <c r="A120" s="100">
        <v>118</v>
      </c>
      <c r="B120" s="10" t="s">
        <v>241</v>
      </c>
      <c r="C120" s="149" t="s">
        <v>245</v>
      </c>
      <c r="D120" s="10">
        <v>1967</v>
      </c>
      <c r="E120" s="10">
        <v>0</v>
      </c>
      <c r="F120" s="10" t="s">
        <v>243</v>
      </c>
      <c r="G120" s="10" t="s">
        <v>244</v>
      </c>
    </row>
    <row r="121" spans="1:7" x14ac:dyDescent="0.35">
      <c r="A121" s="100">
        <v>119</v>
      </c>
      <c r="B121" s="10" t="s">
        <v>241</v>
      </c>
      <c r="C121" s="149" t="s">
        <v>245</v>
      </c>
      <c r="D121" s="10">
        <v>1968</v>
      </c>
      <c r="E121" s="10">
        <v>0</v>
      </c>
      <c r="F121" s="10" t="s">
        <v>243</v>
      </c>
      <c r="G121" s="10" t="s">
        <v>244</v>
      </c>
    </row>
    <row r="122" spans="1:7" x14ac:dyDescent="0.35">
      <c r="A122" s="100">
        <v>120</v>
      </c>
      <c r="B122" s="10" t="s">
        <v>241</v>
      </c>
      <c r="C122" s="149" t="s">
        <v>245</v>
      </c>
      <c r="D122" s="10">
        <v>1969</v>
      </c>
      <c r="E122" s="10">
        <v>0</v>
      </c>
      <c r="F122" s="10" t="s">
        <v>243</v>
      </c>
      <c r="G122" s="10" t="s">
        <v>244</v>
      </c>
    </row>
    <row r="123" spans="1:7" x14ac:dyDescent="0.35">
      <c r="A123" s="100">
        <v>121</v>
      </c>
      <c r="B123" s="10" t="s">
        <v>241</v>
      </c>
      <c r="C123" s="149" t="s">
        <v>245</v>
      </c>
      <c r="D123" s="10">
        <v>1970</v>
      </c>
      <c r="E123" s="10">
        <v>0</v>
      </c>
      <c r="F123" s="10" t="s">
        <v>243</v>
      </c>
      <c r="G123" s="10" t="s">
        <v>244</v>
      </c>
    </row>
    <row r="124" spans="1:7" x14ac:dyDescent="0.35">
      <c r="A124" s="100">
        <v>122</v>
      </c>
      <c r="B124" s="10" t="s">
        <v>241</v>
      </c>
      <c r="C124" s="149" t="s">
        <v>245</v>
      </c>
      <c r="D124" s="10">
        <v>1971</v>
      </c>
      <c r="E124" s="10">
        <v>0</v>
      </c>
      <c r="F124" s="10" t="s">
        <v>243</v>
      </c>
      <c r="G124" s="10" t="s">
        <v>244</v>
      </c>
    </row>
    <row r="125" spans="1:7" x14ac:dyDescent="0.35">
      <c r="A125" s="100">
        <v>123</v>
      </c>
      <c r="B125" s="10" t="s">
        <v>241</v>
      </c>
      <c r="C125" s="149" t="s">
        <v>245</v>
      </c>
      <c r="D125" s="10">
        <v>1972</v>
      </c>
      <c r="E125" s="10">
        <v>0</v>
      </c>
      <c r="F125" s="10" t="s">
        <v>243</v>
      </c>
      <c r="G125" s="10" t="s">
        <v>244</v>
      </c>
    </row>
    <row r="126" spans="1:7" x14ac:dyDescent="0.35">
      <c r="A126" s="100">
        <v>124</v>
      </c>
      <c r="B126" s="10" t="s">
        <v>241</v>
      </c>
      <c r="C126" s="149" t="s">
        <v>245</v>
      </c>
      <c r="D126" s="10">
        <v>1973</v>
      </c>
      <c r="E126" s="10">
        <v>0</v>
      </c>
      <c r="F126" s="10" t="s">
        <v>243</v>
      </c>
      <c r="G126" s="10" t="s">
        <v>244</v>
      </c>
    </row>
    <row r="127" spans="1:7" x14ac:dyDescent="0.35">
      <c r="A127" s="100">
        <v>125</v>
      </c>
      <c r="B127" s="10" t="s">
        <v>241</v>
      </c>
      <c r="C127" s="149" t="s">
        <v>245</v>
      </c>
      <c r="D127" s="10">
        <v>1974</v>
      </c>
      <c r="E127" s="10">
        <v>0</v>
      </c>
      <c r="F127" s="10" t="s">
        <v>243</v>
      </c>
      <c r="G127" s="10" t="s">
        <v>244</v>
      </c>
    </row>
    <row r="128" spans="1:7" x14ac:dyDescent="0.35">
      <c r="A128" s="100">
        <v>126</v>
      </c>
      <c r="B128" s="10" t="s">
        <v>241</v>
      </c>
      <c r="C128" s="149" t="s">
        <v>245</v>
      </c>
      <c r="D128" s="10">
        <v>1975</v>
      </c>
      <c r="E128" s="10">
        <v>0</v>
      </c>
      <c r="F128" s="10" t="s">
        <v>243</v>
      </c>
      <c r="G128" s="10" t="s">
        <v>244</v>
      </c>
    </row>
    <row r="129" spans="1:7" x14ac:dyDescent="0.35">
      <c r="A129" s="100">
        <v>127</v>
      </c>
      <c r="B129" s="10" t="s">
        <v>241</v>
      </c>
      <c r="C129" s="149" t="s">
        <v>245</v>
      </c>
      <c r="D129" s="10">
        <v>1976</v>
      </c>
      <c r="E129" s="10">
        <v>0</v>
      </c>
      <c r="F129" s="10" t="s">
        <v>243</v>
      </c>
      <c r="G129" s="10" t="s">
        <v>244</v>
      </c>
    </row>
    <row r="130" spans="1:7" x14ac:dyDescent="0.35">
      <c r="A130" s="100">
        <v>128</v>
      </c>
      <c r="B130" s="10" t="s">
        <v>241</v>
      </c>
      <c r="C130" s="149" t="s">
        <v>245</v>
      </c>
      <c r="D130" s="10">
        <v>1977</v>
      </c>
      <c r="E130" s="10">
        <v>0</v>
      </c>
      <c r="F130" s="10" t="s">
        <v>243</v>
      </c>
      <c r="G130" s="10" t="s">
        <v>244</v>
      </c>
    </row>
    <row r="131" spans="1:7" x14ac:dyDescent="0.35">
      <c r="A131" s="100">
        <v>129</v>
      </c>
      <c r="B131" s="10" t="s">
        <v>241</v>
      </c>
      <c r="C131" s="149" t="s">
        <v>245</v>
      </c>
      <c r="D131" s="10">
        <v>1978</v>
      </c>
      <c r="E131" s="10">
        <v>0</v>
      </c>
      <c r="F131" s="10" t="s">
        <v>243</v>
      </c>
      <c r="G131" s="10" t="s">
        <v>244</v>
      </c>
    </row>
    <row r="132" spans="1:7" x14ac:dyDescent="0.35">
      <c r="A132" s="100">
        <v>130</v>
      </c>
      <c r="B132" s="10" t="s">
        <v>241</v>
      </c>
      <c r="C132" s="149" t="s">
        <v>245</v>
      </c>
      <c r="D132" s="10">
        <v>1979</v>
      </c>
      <c r="E132" s="10">
        <v>0</v>
      </c>
      <c r="F132" s="10" t="s">
        <v>243</v>
      </c>
      <c r="G132" s="10" t="s">
        <v>244</v>
      </c>
    </row>
    <row r="133" spans="1:7" x14ac:dyDescent="0.35">
      <c r="A133" s="100">
        <v>131</v>
      </c>
      <c r="B133" s="10" t="s">
        <v>241</v>
      </c>
      <c r="C133" s="149" t="s">
        <v>245</v>
      </c>
      <c r="D133" s="10">
        <v>1980</v>
      </c>
      <c r="E133" s="10">
        <v>0</v>
      </c>
      <c r="F133" s="10" t="s">
        <v>243</v>
      </c>
      <c r="G133" s="10" t="s">
        <v>244</v>
      </c>
    </row>
    <row r="134" spans="1:7" x14ac:dyDescent="0.35">
      <c r="A134" s="100">
        <v>132</v>
      </c>
      <c r="B134" s="10" t="s">
        <v>241</v>
      </c>
      <c r="C134" s="149" t="s">
        <v>245</v>
      </c>
      <c r="D134" s="10">
        <v>1981</v>
      </c>
      <c r="E134" s="10">
        <v>0</v>
      </c>
      <c r="F134" s="10" t="s">
        <v>243</v>
      </c>
      <c r="G134" s="10" t="s">
        <v>244</v>
      </c>
    </row>
    <row r="135" spans="1:7" x14ac:dyDescent="0.35">
      <c r="A135" s="100">
        <v>133</v>
      </c>
      <c r="B135" s="10" t="s">
        <v>241</v>
      </c>
      <c r="C135" s="149" t="s">
        <v>245</v>
      </c>
      <c r="D135" s="10">
        <v>1982</v>
      </c>
      <c r="E135" s="10">
        <v>0</v>
      </c>
      <c r="F135" s="10" t="s">
        <v>243</v>
      </c>
      <c r="G135" s="10" t="s">
        <v>244</v>
      </c>
    </row>
    <row r="136" spans="1:7" x14ac:dyDescent="0.35">
      <c r="A136" s="100">
        <v>134</v>
      </c>
      <c r="B136" s="10" t="s">
        <v>241</v>
      </c>
      <c r="C136" s="149" t="s">
        <v>245</v>
      </c>
      <c r="D136" s="10">
        <v>1983</v>
      </c>
      <c r="E136" s="10">
        <v>0</v>
      </c>
      <c r="F136" s="10" t="s">
        <v>243</v>
      </c>
      <c r="G136" s="10" t="s">
        <v>244</v>
      </c>
    </row>
    <row r="137" spans="1:7" x14ac:dyDescent="0.35">
      <c r="A137" s="100">
        <v>135</v>
      </c>
      <c r="B137" s="10" t="s">
        <v>241</v>
      </c>
      <c r="C137" s="149" t="s">
        <v>245</v>
      </c>
      <c r="D137" s="10">
        <v>1984</v>
      </c>
      <c r="E137" s="10">
        <v>0</v>
      </c>
      <c r="F137" s="10" t="s">
        <v>243</v>
      </c>
      <c r="G137" s="10" t="s">
        <v>244</v>
      </c>
    </row>
    <row r="138" spans="1:7" x14ac:dyDescent="0.35">
      <c r="A138" s="100">
        <v>136</v>
      </c>
      <c r="B138" s="10" t="s">
        <v>241</v>
      </c>
      <c r="C138" s="149" t="s">
        <v>245</v>
      </c>
      <c r="D138" s="10">
        <v>1985</v>
      </c>
      <c r="E138" s="10">
        <v>0</v>
      </c>
      <c r="F138" s="10" t="s">
        <v>243</v>
      </c>
      <c r="G138" s="10" t="s">
        <v>244</v>
      </c>
    </row>
    <row r="139" spans="1:7" x14ac:dyDescent="0.35">
      <c r="A139" s="100">
        <v>137</v>
      </c>
      <c r="B139" s="10" t="s">
        <v>241</v>
      </c>
      <c r="C139" s="149" t="s">
        <v>245</v>
      </c>
      <c r="D139" s="10">
        <v>1986</v>
      </c>
      <c r="E139" s="10">
        <v>0</v>
      </c>
      <c r="F139" s="10" t="s">
        <v>243</v>
      </c>
      <c r="G139" s="10" t="s">
        <v>244</v>
      </c>
    </row>
    <row r="140" spans="1:7" x14ac:dyDescent="0.35">
      <c r="A140" s="100">
        <v>138</v>
      </c>
      <c r="B140" s="10" t="s">
        <v>241</v>
      </c>
      <c r="C140" s="149" t="s">
        <v>245</v>
      </c>
      <c r="D140" s="10">
        <v>1987</v>
      </c>
      <c r="E140" s="10">
        <v>0</v>
      </c>
      <c r="F140" s="10" t="s">
        <v>243</v>
      </c>
      <c r="G140" s="10" t="s">
        <v>244</v>
      </c>
    </row>
    <row r="141" spans="1:7" x14ac:dyDescent="0.35">
      <c r="A141" s="100">
        <v>139</v>
      </c>
      <c r="B141" s="10" t="s">
        <v>241</v>
      </c>
      <c r="C141" s="149" t="s">
        <v>245</v>
      </c>
      <c r="D141" s="10">
        <v>1988</v>
      </c>
      <c r="E141" s="10">
        <v>0</v>
      </c>
      <c r="F141" s="10" t="s">
        <v>243</v>
      </c>
      <c r="G141" s="10" t="s">
        <v>244</v>
      </c>
    </row>
    <row r="142" spans="1:7" x14ac:dyDescent="0.35">
      <c r="A142" s="100">
        <v>140</v>
      </c>
      <c r="B142" s="10" t="s">
        <v>241</v>
      </c>
      <c r="C142" s="149" t="s">
        <v>245</v>
      </c>
      <c r="D142" s="10">
        <v>1989</v>
      </c>
      <c r="E142" s="10">
        <v>0</v>
      </c>
      <c r="F142" s="10" t="s">
        <v>243</v>
      </c>
      <c r="G142" s="10" t="s">
        <v>244</v>
      </c>
    </row>
    <row r="143" spans="1:7" x14ac:dyDescent="0.35">
      <c r="A143" s="100">
        <v>141</v>
      </c>
      <c r="B143" s="10" t="s">
        <v>241</v>
      </c>
      <c r="C143" s="149" t="s">
        <v>245</v>
      </c>
      <c r="D143" s="10">
        <v>1990</v>
      </c>
      <c r="E143" s="10">
        <v>0</v>
      </c>
      <c r="F143" s="10" t="s">
        <v>243</v>
      </c>
      <c r="G143" s="10" t="s">
        <v>244</v>
      </c>
    </row>
    <row r="144" spans="1:7" x14ac:dyDescent="0.35">
      <c r="A144" s="100">
        <v>142</v>
      </c>
      <c r="B144" s="10" t="s">
        <v>241</v>
      </c>
      <c r="C144" s="149" t="s">
        <v>245</v>
      </c>
      <c r="D144" s="10">
        <v>1991</v>
      </c>
      <c r="E144" s="10">
        <v>0</v>
      </c>
      <c r="F144" s="10" t="s">
        <v>243</v>
      </c>
      <c r="G144" s="10" t="s">
        <v>244</v>
      </c>
    </row>
    <row r="145" spans="1:7" x14ac:dyDescent="0.35">
      <c r="A145" s="100">
        <v>143</v>
      </c>
      <c r="B145" s="10" t="s">
        <v>241</v>
      </c>
      <c r="C145" s="149" t="s">
        <v>245</v>
      </c>
      <c r="D145" s="10">
        <v>1992</v>
      </c>
      <c r="E145" s="10">
        <v>0</v>
      </c>
      <c r="F145" s="10" t="s">
        <v>243</v>
      </c>
      <c r="G145" s="10" t="s">
        <v>244</v>
      </c>
    </row>
    <row r="146" spans="1:7" x14ac:dyDescent="0.35">
      <c r="A146" s="100">
        <v>144</v>
      </c>
      <c r="B146" s="10" t="s">
        <v>241</v>
      </c>
      <c r="C146" s="149" t="s">
        <v>245</v>
      </c>
      <c r="D146" s="10">
        <v>1993</v>
      </c>
      <c r="E146" s="10">
        <v>0</v>
      </c>
      <c r="F146" s="10" t="s">
        <v>243</v>
      </c>
      <c r="G146" s="10" t="s">
        <v>244</v>
      </c>
    </row>
    <row r="147" spans="1:7" x14ac:dyDescent="0.35">
      <c r="A147" s="100">
        <v>145</v>
      </c>
      <c r="B147" s="10" t="s">
        <v>241</v>
      </c>
      <c r="C147" s="149" t="s">
        <v>245</v>
      </c>
      <c r="D147" s="10">
        <v>1994</v>
      </c>
      <c r="E147" s="10">
        <v>0</v>
      </c>
      <c r="F147" s="10" t="s">
        <v>243</v>
      </c>
      <c r="G147" s="10" t="s">
        <v>244</v>
      </c>
    </row>
    <row r="148" spans="1:7" x14ac:dyDescent="0.35">
      <c r="A148" s="100">
        <v>146</v>
      </c>
      <c r="B148" s="10" t="s">
        <v>241</v>
      </c>
      <c r="C148" s="149" t="s">
        <v>245</v>
      </c>
      <c r="D148" s="10">
        <v>1995</v>
      </c>
      <c r="E148" s="10">
        <v>0</v>
      </c>
      <c r="F148" s="10" t="s">
        <v>243</v>
      </c>
      <c r="G148" s="10" t="s">
        <v>244</v>
      </c>
    </row>
    <row r="149" spans="1:7" x14ac:dyDescent="0.35">
      <c r="A149" s="100">
        <v>147</v>
      </c>
      <c r="B149" s="10" t="s">
        <v>241</v>
      </c>
      <c r="C149" s="149" t="s">
        <v>245</v>
      </c>
      <c r="D149" s="10">
        <v>1996</v>
      </c>
      <c r="E149" s="10">
        <v>0</v>
      </c>
      <c r="F149" s="10" t="s">
        <v>243</v>
      </c>
      <c r="G149" s="10" t="s">
        <v>244</v>
      </c>
    </row>
    <row r="150" spans="1:7" x14ac:dyDescent="0.35">
      <c r="A150" s="100">
        <v>148</v>
      </c>
      <c r="B150" s="10" t="s">
        <v>241</v>
      </c>
      <c r="C150" s="149" t="s">
        <v>245</v>
      </c>
      <c r="D150" s="10">
        <v>1997</v>
      </c>
      <c r="E150" s="10">
        <v>0</v>
      </c>
      <c r="F150" s="10" t="s">
        <v>243</v>
      </c>
      <c r="G150" s="10" t="s">
        <v>244</v>
      </c>
    </row>
    <row r="151" spans="1:7" x14ac:dyDescent="0.35">
      <c r="A151" s="100">
        <v>149</v>
      </c>
      <c r="B151" s="10" t="s">
        <v>241</v>
      </c>
      <c r="C151" s="149" t="s">
        <v>245</v>
      </c>
      <c r="D151" s="10">
        <v>1998</v>
      </c>
      <c r="E151" s="10">
        <v>0</v>
      </c>
      <c r="F151" s="10" t="s">
        <v>243</v>
      </c>
      <c r="G151" s="10" t="s">
        <v>244</v>
      </c>
    </row>
    <row r="152" spans="1:7" x14ac:dyDescent="0.35">
      <c r="A152" s="100">
        <v>150</v>
      </c>
      <c r="B152" s="10" t="s">
        <v>241</v>
      </c>
      <c r="C152" s="149" t="s">
        <v>245</v>
      </c>
      <c r="D152" s="10">
        <v>1999</v>
      </c>
      <c r="E152" s="10">
        <v>0</v>
      </c>
      <c r="F152" s="10" t="s">
        <v>243</v>
      </c>
      <c r="G152" s="10" t="s">
        <v>244</v>
      </c>
    </row>
    <row r="153" spans="1:7" x14ac:dyDescent="0.35">
      <c r="A153" s="100">
        <v>151</v>
      </c>
      <c r="B153" s="10" t="s">
        <v>241</v>
      </c>
      <c r="C153" s="149" t="s">
        <v>245</v>
      </c>
      <c r="D153" s="10">
        <v>2000</v>
      </c>
      <c r="E153" s="10">
        <v>0</v>
      </c>
      <c r="F153" s="10" t="s">
        <v>243</v>
      </c>
      <c r="G153" s="10" t="s">
        <v>244</v>
      </c>
    </row>
    <row r="154" spans="1:7" x14ac:dyDescent="0.35">
      <c r="A154" s="100">
        <v>152</v>
      </c>
      <c r="B154" s="10" t="s">
        <v>241</v>
      </c>
      <c r="C154" s="149" t="s">
        <v>245</v>
      </c>
      <c r="D154" s="10">
        <v>2001</v>
      </c>
      <c r="E154" s="10">
        <v>0</v>
      </c>
      <c r="F154" s="10" t="s">
        <v>243</v>
      </c>
      <c r="G154" s="10" t="s">
        <v>244</v>
      </c>
    </row>
    <row r="155" spans="1:7" x14ac:dyDescent="0.35">
      <c r="A155" s="100">
        <v>153</v>
      </c>
      <c r="B155" s="10" t="s">
        <v>241</v>
      </c>
      <c r="C155" s="149" t="s">
        <v>245</v>
      </c>
      <c r="D155" s="10">
        <v>2002</v>
      </c>
      <c r="E155" s="10">
        <v>0</v>
      </c>
      <c r="F155" s="10" t="s">
        <v>243</v>
      </c>
      <c r="G155" s="10" t="s">
        <v>244</v>
      </c>
    </row>
    <row r="156" spans="1:7" x14ac:dyDescent="0.35">
      <c r="A156" s="100">
        <v>154</v>
      </c>
      <c r="B156" s="10" t="s">
        <v>241</v>
      </c>
      <c r="C156" s="149" t="s">
        <v>245</v>
      </c>
      <c r="D156" s="10">
        <v>2003</v>
      </c>
      <c r="E156" s="10">
        <v>0</v>
      </c>
      <c r="F156" s="10" t="s">
        <v>243</v>
      </c>
      <c r="G156" s="10" t="s">
        <v>244</v>
      </c>
    </row>
    <row r="157" spans="1:7" x14ac:dyDescent="0.35">
      <c r="A157" s="100">
        <v>155</v>
      </c>
      <c r="B157" s="10" t="s">
        <v>241</v>
      </c>
      <c r="C157" s="149" t="s">
        <v>245</v>
      </c>
      <c r="D157" s="10">
        <v>2004</v>
      </c>
      <c r="E157" s="10">
        <v>0</v>
      </c>
      <c r="F157" s="10" t="s">
        <v>243</v>
      </c>
      <c r="G157" s="10" t="s">
        <v>244</v>
      </c>
    </row>
    <row r="158" spans="1:7" x14ac:dyDescent="0.35">
      <c r="A158" s="100">
        <v>156</v>
      </c>
      <c r="B158" s="10" t="s">
        <v>241</v>
      </c>
      <c r="C158" s="149" t="s">
        <v>245</v>
      </c>
      <c r="D158" s="10">
        <v>2005</v>
      </c>
      <c r="E158" s="10">
        <v>0</v>
      </c>
      <c r="F158" s="10" t="s">
        <v>243</v>
      </c>
      <c r="G158" s="10" t="s">
        <v>244</v>
      </c>
    </row>
    <row r="159" spans="1:7" x14ac:dyDescent="0.35">
      <c r="A159" s="100">
        <v>157</v>
      </c>
      <c r="B159" s="10" t="s">
        <v>241</v>
      </c>
      <c r="C159" s="149" t="s">
        <v>245</v>
      </c>
      <c r="D159" s="10">
        <v>2006</v>
      </c>
      <c r="E159" s="10">
        <v>0</v>
      </c>
      <c r="F159" s="10" t="s">
        <v>243</v>
      </c>
      <c r="G159" s="10" t="s">
        <v>244</v>
      </c>
    </row>
    <row r="160" spans="1:7" x14ac:dyDescent="0.35">
      <c r="A160" s="100">
        <v>158</v>
      </c>
      <c r="B160" s="10" t="s">
        <v>241</v>
      </c>
      <c r="C160" s="149" t="s">
        <v>245</v>
      </c>
      <c r="D160" s="10">
        <v>2007</v>
      </c>
      <c r="E160" s="10">
        <v>0</v>
      </c>
      <c r="F160" s="10" t="s">
        <v>243</v>
      </c>
      <c r="G160" s="10" t="s">
        <v>244</v>
      </c>
    </row>
    <row r="161" spans="1:7" x14ac:dyDescent="0.35">
      <c r="A161" s="100">
        <v>159</v>
      </c>
      <c r="B161" s="10" t="s">
        <v>241</v>
      </c>
      <c r="C161" s="149" t="s">
        <v>245</v>
      </c>
      <c r="D161" s="10">
        <v>2008</v>
      </c>
      <c r="E161" s="10">
        <v>0</v>
      </c>
      <c r="F161" s="10" t="s">
        <v>243</v>
      </c>
      <c r="G161" s="10" t="s">
        <v>244</v>
      </c>
    </row>
    <row r="162" spans="1:7" x14ac:dyDescent="0.35">
      <c r="A162" s="100">
        <v>160</v>
      </c>
      <c r="B162" s="10" t="s">
        <v>241</v>
      </c>
      <c r="C162" s="149" t="s">
        <v>245</v>
      </c>
      <c r="D162" s="10">
        <v>2009</v>
      </c>
      <c r="E162" s="10">
        <v>0</v>
      </c>
      <c r="F162" s="10" t="s">
        <v>243</v>
      </c>
      <c r="G162" s="10" t="s">
        <v>244</v>
      </c>
    </row>
    <row r="163" spans="1:7" x14ac:dyDescent="0.35">
      <c r="A163" s="100">
        <v>161</v>
      </c>
      <c r="B163" s="10" t="s">
        <v>241</v>
      </c>
      <c r="C163" s="149" t="s">
        <v>245</v>
      </c>
      <c r="D163" s="10">
        <v>2010</v>
      </c>
      <c r="E163" s="10">
        <v>0</v>
      </c>
      <c r="F163" s="10" t="s">
        <v>243</v>
      </c>
      <c r="G163" s="10" t="s">
        <v>244</v>
      </c>
    </row>
    <row r="164" spans="1:7" x14ac:dyDescent="0.35">
      <c r="A164" s="100">
        <v>162</v>
      </c>
      <c r="B164" s="10" t="s">
        <v>241</v>
      </c>
      <c r="C164" s="149" t="s">
        <v>245</v>
      </c>
      <c r="D164" s="10">
        <v>2011</v>
      </c>
      <c r="E164" s="10">
        <v>0</v>
      </c>
      <c r="F164" s="10" t="s">
        <v>243</v>
      </c>
      <c r="G164" s="10" t="s">
        <v>244</v>
      </c>
    </row>
    <row r="165" spans="1:7" x14ac:dyDescent="0.35">
      <c r="A165" s="100">
        <v>163</v>
      </c>
      <c r="B165" s="10" t="s">
        <v>241</v>
      </c>
      <c r="C165" s="149" t="s">
        <v>245</v>
      </c>
      <c r="D165" s="10">
        <v>2012</v>
      </c>
      <c r="E165" s="10">
        <v>0</v>
      </c>
      <c r="F165" s="10" t="s">
        <v>243</v>
      </c>
      <c r="G165" s="10" t="s">
        <v>244</v>
      </c>
    </row>
    <row r="166" spans="1:7" x14ac:dyDescent="0.35">
      <c r="A166" s="100">
        <v>164</v>
      </c>
      <c r="B166" s="10" t="s">
        <v>241</v>
      </c>
      <c r="C166" s="149" t="s">
        <v>245</v>
      </c>
      <c r="D166" s="10">
        <v>2013</v>
      </c>
      <c r="E166" s="10">
        <v>0</v>
      </c>
      <c r="F166" s="10" t="s">
        <v>243</v>
      </c>
      <c r="G166" s="10" t="s">
        <v>244</v>
      </c>
    </row>
    <row r="167" spans="1:7" x14ac:dyDescent="0.35">
      <c r="A167" s="100">
        <v>165</v>
      </c>
      <c r="B167" s="10" t="s">
        <v>241</v>
      </c>
      <c r="C167" s="149" t="s">
        <v>245</v>
      </c>
      <c r="D167" s="10">
        <v>2014</v>
      </c>
      <c r="E167" s="10">
        <v>1.8408541285859191E-3</v>
      </c>
      <c r="F167" s="10" t="s">
        <v>243</v>
      </c>
      <c r="G167" s="10" t="s">
        <v>244</v>
      </c>
    </row>
    <row r="168" spans="1:7" x14ac:dyDescent="0.35">
      <c r="A168" s="100">
        <v>166</v>
      </c>
      <c r="B168" s="10" t="s">
        <v>241</v>
      </c>
      <c r="C168" s="149" t="s">
        <v>245</v>
      </c>
      <c r="D168" s="10">
        <v>2015</v>
      </c>
      <c r="E168" s="10">
        <v>3.9258241199048756E-3</v>
      </c>
      <c r="F168" s="10" t="s">
        <v>243</v>
      </c>
      <c r="G168" s="10" t="s">
        <v>244</v>
      </c>
    </row>
    <row r="169" spans="1:7" x14ac:dyDescent="0.35">
      <c r="A169" s="100">
        <v>167</v>
      </c>
      <c r="B169" s="10" t="s">
        <v>241</v>
      </c>
      <c r="C169" s="149" t="s">
        <v>245</v>
      </c>
      <c r="D169" s="10">
        <v>2016</v>
      </c>
      <c r="E169" s="10">
        <v>6.2834351535073184E-3</v>
      </c>
      <c r="F169" s="10" t="s">
        <v>243</v>
      </c>
      <c r="G169" s="10" t="s">
        <v>244</v>
      </c>
    </row>
    <row r="170" spans="1:7" x14ac:dyDescent="0.35">
      <c r="A170" s="100">
        <v>168</v>
      </c>
      <c r="B170" s="10" t="s">
        <v>241</v>
      </c>
      <c r="C170" s="149" t="s">
        <v>245</v>
      </c>
      <c r="D170" s="10">
        <v>2017</v>
      </c>
      <c r="E170" s="10">
        <v>8.9444292343180166E-3</v>
      </c>
      <c r="F170" s="10" t="s">
        <v>243</v>
      </c>
      <c r="G170" s="10" t="s">
        <v>244</v>
      </c>
    </row>
    <row r="171" spans="1:7" x14ac:dyDescent="0.35">
      <c r="A171" s="100">
        <v>169</v>
      </c>
      <c r="B171" s="10" t="s">
        <v>241</v>
      </c>
      <c r="C171" s="149" t="s">
        <v>245</v>
      </c>
      <c r="D171" s="10">
        <v>2018</v>
      </c>
      <c r="E171" s="10">
        <v>1.194160458945278E-2</v>
      </c>
      <c r="F171" s="10" t="s">
        <v>243</v>
      </c>
      <c r="G171" s="10" t="s">
        <v>244</v>
      </c>
    </row>
    <row r="172" spans="1:7" x14ac:dyDescent="0.35">
      <c r="A172" s="100">
        <v>170</v>
      </c>
      <c r="B172" s="10" t="s">
        <v>241</v>
      </c>
      <c r="C172" s="149" t="s">
        <v>245</v>
      </c>
      <c r="D172" s="10">
        <v>2019</v>
      </c>
      <c r="E172" s="10">
        <v>1.530953318827335E-2</v>
      </c>
      <c r="F172" s="10" t="s">
        <v>243</v>
      </c>
      <c r="G172" s="10" t="s">
        <v>244</v>
      </c>
    </row>
    <row r="173" spans="1:7" x14ac:dyDescent="0.35">
      <c r="A173" s="100">
        <v>171</v>
      </c>
      <c r="B173" s="10" t="s">
        <v>241</v>
      </c>
      <c r="C173" s="149" t="s">
        <v>245</v>
      </c>
      <c r="D173" s="10">
        <v>2020</v>
      </c>
      <c r="E173" s="10">
        <v>1.9084128310378489E-2</v>
      </c>
      <c r="F173" s="10" t="s">
        <v>243</v>
      </c>
      <c r="G173" s="10" t="s">
        <v>244</v>
      </c>
    </row>
    <row r="174" spans="1:7" x14ac:dyDescent="0.35">
      <c r="A174" s="100">
        <v>172</v>
      </c>
      <c r="B174" s="10" t="s">
        <v>241</v>
      </c>
      <c r="C174" s="149" t="s">
        <v>245</v>
      </c>
      <c r="D174" s="10">
        <v>2021</v>
      </c>
      <c r="E174" s="10">
        <v>2.330203348044688E-2</v>
      </c>
      <c r="F174" s="10" t="s">
        <v>243</v>
      </c>
      <c r="G174" s="10" t="s">
        <v>244</v>
      </c>
    </row>
    <row r="175" spans="1:7" x14ac:dyDescent="0.35">
      <c r="A175" s="100">
        <v>173</v>
      </c>
      <c r="B175" s="10" t="s">
        <v>241</v>
      </c>
      <c r="C175" s="149" t="s">
        <v>245</v>
      </c>
      <c r="D175" s="10">
        <v>2022</v>
      </c>
      <c r="E175" s="10">
        <v>2.7999805960141792E-2</v>
      </c>
      <c r="F175" s="10" t="s">
        <v>243</v>
      </c>
      <c r="G175" s="10" t="s">
        <v>244</v>
      </c>
    </row>
    <row r="176" spans="1:7" x14ac:dyDescent="0.35">
      <c r="A176" s="100">
        <v>174</v>
      </c>
      <c r="B176" s="10" t="s">
        <v>241</v>
      </c>
      <c r="C176" s="149" t="s">
        <v>245</v>
      </c>
      <c r="D176" s="10">
        <v>2023</v>
      </c>
      <c r="E176" s="10">
        <v>3.3212873391562571E-2</v>
      </c>
      <c r="F176" s="10" t="s">
        <v>243</v>
      </c>
      <c r="G176" s="10" t="s">
        <v>244</v>
      </c>
    </row>
    <row r="177" spans="1:7" x14ac:dyDescent="0.35">
      <c r="A177" s="100">
        <v>175</v>
      </c>
      <c r="B177" s="10" t="s">
        <v>241</v>
      </c>
      <c r="C177" s="149" t="s">
        <v>245</v>
      </c>
      <c r="D177" s="10">
        <v>2024</v>
      </c>
      <c r="E177" s="10">
        <v>3.8974252231340677E-2</v>
      </c>
      <c r="F177" s="10" t="s">
        <v>243</v>
      </c>
      <c r="G177" s="10" t="s">
        <v>244</v>
      </c>
    </row>
    <row r="178" spans="1:7" x14ac:dyDescent="0.35">
      <c r="A178" s="100">
        <v>176</v>
      </c>
      <c r="B178" s="10" t="s">
        <v>241</v>
      </c>
      <c r="C178" s="149" t="s">
        <v>245</v>
      </c>
      <c r="D178" s="10">
        <v>2025</v>
      </c>
      <c r="E178" s="10">
        <v>4.5313032272812553E-2</v>
      </c>
      <c r="F178" s="10" t="s">
        <v>243</v>
      </c>
      <c r="G178" s="10" t="s">
        <v>244</v>
      </c>
    </row>
    <row r="179" spans="1:7" x14ac:dyDescent="0.35">
      <c r="A179" s="100">
        <v>177</v>
      </c>
      <c r="B179" s="10" t="s">
        <v>241</v>
      </c>
      <c r="C179" s="149" t="s">
        <v>245</v>
      </c>
      <c r="D179" s="10">
        <v>2026</v>
      </c>
      <c r="E179" s="10">
        <v>5.2252653383460593E-2</v>
      </c>
      <c r="F179" s="10" t="s">
        <v>243</v>
      </c>
      <c r="G179" s="10" t="s">
        <v>244</v>
      </c>
    </row>
    <row r="180" spans="1:7" x14ac:dyDescent="0.35">
      <c r="A180" s="100">
        <v>178</v>
      </c>
      <c r="B180" s="10" t="s">
        <v>241</v>
      </c>
      <c r="C180" s="149" t="s">
        <v>245</v>
      </c>
      <c r="D180" s="10">
        <v>2027</v>
      </c>
      <c r="E180" s="10">
        <v>5.9809028359630978E-2</v>
      </c>
      <c r="F180" s="10" t="s">
        <v>243</v>
      </c>
      <c r="G180" s="10" t="s">
        <v>244</v>
      </c>
    </row>
    <row r="181" spans="1:7" x14ac:dyDescent="0.35">
      <c r="A181" s="100">
        <v>179</v>
      </c>
      <c r="B181" s="10" t="s">
        <v>241</v>
      </c>
      <c r="C181" s="149" t="s">
        <v>245</v>
      </c>
      <c r="D181" s="10">
        <v>2028</v>
      </c>
      <c r="E181" s="10">
        <v>6.7988598102274589E-2</v>
      </c>
      <c r="F181" s="10" t="s">
        <v>243</v>
      </c>
      <c r="G181" s="10" t="s">
        <v>244</v>
      </c>
    </row>
    <row r="182" spans="1:7" x14ac:dyDescent="0.35">
      <c r="A182" s="100">
        <v>180</v>
      </c>
      <c r="B182" s="10" t="s">
        <v>241</v>
      </c>
      <c r="C182" s="149" t="s">
        <v>245</v>
      </c>
      <c r="D182" s="10">
        <v>2029</v>
      </c>
      <c r="E182" s="10">
        <v>7.6786439187021216E-2</v>
      </c>
      <c r="F182" s="10" t="s">
        <v>243</v>
      </c>
      <c r="G182" s="10" t="s">
        <v>244</v>
      </c>
    </row>
    <row r="183" spans="1:7" x14ac:dyDescent="0.35">
      <c r="A183" s="100">
        <v>181</v>
      </c>
      <c r="B183" s="10" t="s">
        <v>241</v>
      </c>
      <c r="C183" s="149" t="s">
        <v>245</v>
      </c>
      <c r="D183" s="10">
        <v>2030</v>
      </c>
      <c r="E183" s="10">
        <v>8.6184574697798749E-2</v>
      </c>
      <c r="F183" s="10" t="s">
        <v>243</v>
      </c>
      <c r="G183" s="10" t="s">
        <v>244</v>
      </c>
    </row>
    <row r="184" spans="1:7" x14ac:dyDescent="0.35">
      <c r="A184" s="100">
        <v>182</v>
      </c>
      <c r="B184" s="10" t="s">
        <v>241</v>
      </c>
      <c r="C184" s="149" t="s">
        <v>245</v>
      </c>
      <c r="D184" s="10">
        <v>2031</v>
      </c>
      <c r="E184" s="10">
        <v>9.6150660834906643E-2</v>
      </c>
      <c r="F184" s="10" t="s">
        <v>243</v>
      </c>
      <c r="G184" s="10" t="s">
        <v>244</v>
      </c>
    </row>
    <row r="185" spans="1:7" x14ac:dyDescent="0.35">
      <c r="A185" s="100">
        <v>183</v>
      </c>
      <c r="B185" s="10" t="s">
        <v>241</v>
      </c>
      <c r="C185" s="149" t="s">
        <v>245</v>
      </c>
      <c r="D185" s="10">
        <v>2032</v>
      </c>
      <c r="E185" s="10">
        <v>0.106637227553458</v>
      </c>
      <c r="F185" s="10" t="s">
        <v>243</v>
      </c>
      <c r="G185" s="10" t="s">
        <v>244</v>
      </c>
    </row>
    <row r="186" spans="1:7" x14ac:dyDescent="0.35">
      <c r="A186" s="100">
        <v>184</v>
      </c>
      <c r="B186" s="10" t="s">
        <v>241</v>
      </c>
      <c r="C186" s="149" t="s">
        <v>245</v>
      </c>
      <c r="D186" s="10">
        <v>2033</v>
      </c>
      <c r="E186" s="10">
        <v>0.1175816352785129</v>
      </c>
      <c r="F186" s="10" t="s">
        <v>243</v>
      </c>
      <c r="G186" s="10" t="s">
        <v>244</v>
      </c>
    </row>
    <row r="187" spans="1:7" x14ac:dyDescent="0.35">
      <c r="A187" s="100">
        <v>185</v>
      </c>
      <c r="B187" s="10" t="s">
        <v>241</v>
      </c>
      <c r="C187" s="149" t="s">
        <v>245</v>
      </c>
      <c r="D187" s="10">
        <v>2034</v>
      </c>
      <c r="E187" s="10">
        <v>0.1289068679561913</v>
      </c>
      <c r="F187" s="10" t="s">
        <v>243</v>
      </c>
      <c r="G187" s="10" t="s">
        <v>244</v>
      </c>
    </row>
    <row r="188" spans="1:7" x14ac:dyDescent="0.35">
      <c r="A188" s="100">
        <v>186</v>
      </c>
      <c r="B188" s="10" t="s">
        <v>241</v>
      </c>
      <c r="C188" s="149" t="s">
        <v>245</v>
      </c>
      <c r="D188" s="10">
        <v>2035</v>
      </c>
      <c r="E188" s="10">
        <v>0.14052321589166911</v>
      </c>
      <c r="F188" s="10" t="s">
        <v>243</v>
      </c>
      <c r="G188" s="10" t="s">
        <v>244</v>
      </c>
    </row>
    <row r="189" spans="1:7" x14ac:dyDescent="0.35">
      <c r="A189" s="100">
        <v>187</v>
      </c>
      <c r="B189" s="10" t="s">
        <v>241</v>
      </c>
      <c r="C189" s="149" t="s">
        <v>245</v>
      </c>
      <c r="D189" s="10">
        <v>2036</v>
      </c>
      <c r="E189" s="10">
        <v>0.1523308158684846</v>
      </c>
      <c r="F189" s="10" t="s">
        <v>243</v>
      </c>
      <c r="G189" s="10" t="s">
        <v>244</v>
      </c>
    </row>
    <row r="190" spans="1:7" x14ac:dyDescent="0.35">
      <c r="A190" s="100">
        <v>188</v>
      </c>
      <c r="B190" s="10" t="s">
        <v>241</v>
      </c>
      <c r="C190" s="149" t="s">
        <v>245</v>
      </c>
      <c r="D190" s="10">
        <v>2037</v>
      </c>
      <c r="E190" s="10">
        <v>0.16422292205613201</v>
      </c>
      <c r="F190" s="10" t="s">
        <v>243</v>
      </c>
      <c r="G190" s="10" t="s">
        <v>244</v>
      </c>
    </row>
    <row r="191" spans="1:7" x14ac:dyDescent="0.35">
      <c r="A191" s="100">
        <v>189</v>
      </c>
      <c r="B191" s="10" t="s">
        <v>241</v>
      </c>
      <c r="C191" s="149" t="s">
        <v>245</v>
      </c>
      <c r="D191" s="10">
        <v>2038</v>
      </c>
      <c r="E191" s="10">
        <v>0.17608969392855711</v>
      </c>
      <c r="F191" s="10" t="s">
        <v>243</v>
      </c>
      <c r="G191" s="10" t="s">
        <v>244</v>
      </c>
    </row>
    <row r="192" spans="1:7" x14ac:dyDescent="0.35">
      <c r="A192" s="100">
        <v>190</v>
      </c>
      <c r="B192" s="10" t="s">
        <v>241</v>
      </c>
      <c r="C192" s="149" t="s">
        <v>245</v>
      </c>
      <c r="D192" s="10">
        <v>2039</v>
      </c>
      <c r="E192" s="10">
        <v>0.18782222217045799</v>
      </c>
      <c r="F192" s="10" t="s">
        <v>243</v>
      </c>
      <c r="G192" s="10" t="s">
        <v>244</v>
      </c>
    </row>
    <row r="193" spans="1:7" x14ac:dyDescent="0.35">
      <c r="A193" s="100">
        <v>191</v>
      </c>
      <c r="B193" s="10" t="s">
        <v>241</v>
      </c>
      <c r="C193" s="149" t="s">
        <v>245</v>
      </c>
      <c r="D193" s="10">
        <v>2040</v>
      </c>
      <c r="E193" s="10">
        <v>0.1993164826165891</v>
      </c>
      <c r="F193" s="10" t="s">
        <v>243</v>
      </c>
      <c r="G193" s="10" t="s">
        <v>244</v>
      </c>
    </row>
    <row r="194" spans="1:7" x14ac:dyDescent="0.35">
      <c r="A194" s="100">
        <v>192</v>
      </c>
      <c r="B194" s="10" t="s">
        <v>241</v>
      </c>
      <c r="C194" s="149" t="s">
        <v>245</v>
      </c>
      <c r="D194" s="10">
        <v>2041</v>
      </c>
      <c r="E194" s="10">
        <v>0.2104769176806541</v>
      </c>
      <c r="F194" s="10" t="s">
        <v>243</v>
      </c>
      <c r="G194" s="10" t="s">
        <v>244</v>
      </c>
    </row>
    <row r="195" spans="1:7" x14ac:dyDescent="0.35">
      <c r="A195" s="100">
        <v>193</v>
      </c>
      <c r="B195" s="10" t="s">
        <v>241</v>
      </c>
      <c r="C195" s="149" t="s">
        <v>245</v>
      </c>
      <c r="D195" s="10">
        <v>2042</v>
      </c>
      <c r="E195" s="10">
        <v>0.22121939263701651</v>
      </c>
      <c r="F195" s="10" t="s">
        <v>243</v>
      </c>
      <c r="G195" s="10" t="s">
        <v>244</v>
      </c>
    </row>
    <row r="196" spans="1:7" x14ac:dyDescent="0.35">
      <c r="A196" s="100">
        <v>194</v>
      </c>
      <c r="B196" s="10" t="s">
        <v>241</v>
      </c>
      <c r="C196" s="149" t="s">
        <v>245</v>
      </c>
      <c r="D196" s="10">
        <v>2043</v>
      </c>
      <c r="E196" s="10">
        <v>0.23147335129951929</v>
      </c>
      <c r="F196" s="10" t="s">
        <v>243</v>
      </c>
      <c r="G196" s="10" t="s">
        <v>244</v>
      </c>
    </row>
    <row r="197" spans="1:7" x14ac:dyDescent="0.35">
      <c r="A197" s="100">
        <v>195</v>
      </c>
      <c r="B197" s="10" t="s">
        <v>241</v>
      </c>
      <c r="C197" s="149" t="s">
        <v>245</v>
      </c>
      <c r="D197" s="10">
        <v>2044</v>
      </c>
      <c r="E197" s="10">
        <v>0.24118308796133139</v>
      </c>
      <c r="F197" s="10" t="s">
        <v>243</v>
      </c>
      <c r="G197" s="10" t="s">
        <v>244</v>
      </c>
    </row>
    <row r="198" spans="1:7" x14ac:dyDescent="0.35">
      <c r="A198" s="100">
        <v>196</v>
      </c>
      <c r="B198" s="10" t="s">
        <v>241</v>
      </c>
      <c r="C198" s="149" t="s">
        <v>245</v>
      </c>
      <c r="D198" s="10">
        <v>2045</v>
      </c>
      <c r="E198" s="10">
        <v>0.25030814441997412</v>
      </c>
      <c r="F198" s="10" t="s">
        <v>243</v>
      </c>
      <c r="G198" s="10" t="s">
        <v>244</v>
      </c>
    </row>
    <row r="199" spans="1:7" x14ac:dyDescent="0.35">
      <c r="A199" s="100">
        <v>197</v>
      </c>
      <c r="B199" s="10" t="s">
        <v>241</v>
      </c>
      <c r="C199" s="149" t="s">
        <v>245</v>
      </c>
      <c r="D199" s="10">
        <v>2046</v>
      </c>
      <c r="E199" s="10">
        <v>0.25882291914114502</v>
      </c>
      <c r="F199" s="10" t="s">
        <v>243</v>
      </c>
      <c r="G199" s="10" t="s">
        <v>244</v>
      </c>
    </row>
    <row r="200" spans="1:7" x14ac:dyDescent="0.35">
      <c r="A200" s="100">
        <v>198</v>
      </c>
      <c r="B200" s="10" t="s">
        <v>241</v>
      </c>
      <c r="C200" s="149" t="s">
        <v>245</v>
      </c>
      <c r="D200" s="10">
        <v>2047</v>
      </c>
      <c r="E200" s="10">
        <v>0.26671563130399628</v>
      </c>
      <c r="F200" s="10" t="s">
        <v>243</v>
      </c>
      <c r="G200" s="10" t="s">
        <v>244</v>
      </c>
    </row>
    <row r="201" spans="1:7" x14ac:dyDescent="0.35">
      <c r="A201" s="100">
        <v>199</v>
      </c>
      <c r="B201" s="10" t="s">
        <v>241</v>
      </c>
      <c r="C201" s="149" t="s">
        <v>245</v>
      </c>
      <c r="D201" s="10">
        <v>2048</v>
      </c>
      <c r="E201" s="10">
        <v>0.27398681226890498</v>
      </c>
      <c r="F201" s="10" t="s">
        <v>243</v>
      </c>
      <c r="G201" s="10" t="s">
        <v>244</v>
      </c>
    </row>
    <row r="202" spans="1:7" x14ac:dyDescent="0.35">
      <c r="A202" s="100">
        <v>200</v>
      </c>
      <c r="B202" s="10" t="s">
        <v>241</v>
      </c>
      <c r="C202" s="149" t="s">
        <v>245</v>
      </c>
      <c r="D202" s="10">
        <v>2049</v>
      </c>
      <c r="E202" s="10">
        <v>0.28064750247637138</v>
      </c>
      <c r="F202" s="10" t="s">
        <v>243</v>
      </c>
      <c r="G202" s="10" t="s">
        <v>244</v>
      </c>
    </row>
    <row r="203" spans="1:7" x14ac:dyDescent="0.35">
      <c r="A203" s="100">
        <v>201</v>
      </c>
      <c r="B203" s="10" t="s">
        <v>241</v>
      </c>
      <c r="C203" s="149" t="s">
        <v>245</v>
      </c>
      <c r="D203" s="10">
        <v>2050</v>
      </c>
      <c r="E203" s="10">
        <v>0.28671731789509391</v>
      </c>
      <c r="F203" s="10" t="s">
        <v>243</v>
      </c>
      <c r="G203" s="10" t="s">
        <v>244</v>
      </c>
    </row>
    <row r="204" spans="1:7" x14ac:dyDescent="0.35">
      <c r="A204" s="100">
        <v>202</v>
      </c>
      <c r="B204" s="10" t="s">
        <v>241</v>
      </c>
      <c r="C204" s="149" t="s">
        <v>246</v>
      </c>
      <c r="D204" s="10">
        <v>1950</v>
      </c>
      <c r="E204" s="10">
        <v>0</v>
      </c>
      <c r="F204" s="10" t="s">
        <v>243</v>
      </c>
      <c r="G204" s="10" t="s">
        <v>244</v>
      </c>
    </row>
    <row r="205" spans="1:7" x14ac:dyDescent="0.35">
      <c r="A205" s="100">
        <v>203</v>
      </c>
      <c r="B205" s="10" t="s">
        <v>241</v>
      </c>
      <c r="C205" s="149" t="s">
        <v>246</v>
      </c>
      <c r="D205" s="10">
        <v>1951</v>
      </c>
      <c r="E205" s="10">
        <v>0</v>
      </c>
      <c r="F205" s="10" t="s">
        <v>243</v>
      </c>
      <c r="G205" s="10" t="s">
        <v>244</v>
      </c>
    </row>
    <row r="206" spans="1:7" x14ac:dyDescent="0.35">
      <c r="A206" s="100">
        <v>204</v>
      </c>
      <c r="B206" s="10" t="s">
        <v>241</v>
      </c>
      <c r="C206" s="149" t="s">
        <v>246</v>
      </c>
      <c r="D206" s="10">
        <v>1952</v>
      </c>
      <c r="E206" s="10">
        <v>0</v>
      </c>
      <c r="F206" s="10" t="s">
        <v>243</v>
      </c>
      <c r="G206" s="10" t="s">
        <v>244</v>
      </c>
    </row>
    <row r="207" spans="1:7" x14ac:dyDescent="0.35">
      <c r="A207" s="100">
        <v>205</v>
      </c>
      <c r="B207" s="10" t="s">
        <v>241</v>
      </c>
      <c r="C207" s="149" t="s">
        <v>246</v>
      </c>
      <c r="D207" s="10">
        <v>1953</v>
      </c>
      <c r="E207" s="10">
        <v>0</v>
      </c>
      <c r="F207" s="10" t="s">
        <v>243</v>
      </c>
      <c r="G207" s="10" t="s">
        <v>244</v>
      </c>
    </row>
    <row r="208" spans="1:7" x14ac:dyDescent="0.35">
      <c r="A208" s="100">
        <v>206</v>
      </c>
      <c r="B208" s="10" t="s">
        <v>241</v>
      </c>
      <c r="C208" s="149" t="s">
        <v>246</v>
      </c>
      <c r="D208" s="10">
        <v>1954</v>
      </c>
      <c r="E208" s="10">
        <v>0</v>
      </c>
      <c r="F208" s="10" t="s">
        <v>243</v>
      </c>
      <c r="G208" s="10" t="s">
        <v>244</v>
      </c>
    </row>
    <row r="209" spans="1:7" x14ac:dyDescent="0.35">
      <c r="A209" s="100">
        <v>207</v>
      </c>
      <c r="B209" s="10" t="s">
        <v>241</v>
      </c>
      <c r="C209" s="149" t="s">
        <v>246</v>
      </c>
      <c r="D209" s="10">
        <v>1955</v>
      </c>
      <c r="E209" s="10">
        <v>0</v>
      </c>
      <c r="F209" s="10" t="s">
        <v>243</v>
      </c>
      <c r="G209" s="10" t="s">
        <v>244</v>
      </c>
    </row>
    <row r="210" spans="1:7" x14ac:dyDescent="0.35">
      <c r="A210" s="100">
        <v>208</v>
      </c>
      <c r="B210" s="10" t="s">
        <v>241</v>
      </c>
      <c r="C210" s="149" t="s">
        <v>246</v>
      </c>
      <c r="D210" s="10">
        <v>1956</v>
      </c>
      <c r="E210" s="10">
        <v>0</v>
      </c>
      <c r="F210" s="10" t="s">
        <v>243</v>
      </c>
      <c r="G210" s="10" t="s">
        <v>244</v>
      </c>
    </row>
    <row r="211" spans="1:7" x14ac:dyDescent="0.35">
      <c r="A211" s="100">
        <v>209</v>
      </c>
      <c r="B211" s="10" t="s">
        <v>241</v>
      </c>
      <c r="C211" s="149" t="s">
        <v>246</v>
      </c>
      <c r="D211" s="10">
        <v>1957</v>
      </c>
      <c r="E211" s="10">
        <v>0</v>
      </c>
      <c r="F211" s="10" t="s">
        <v>243</v>
      </c>
      <c r="G211" s="10" t="s">
        <v>244</v>
      </c>
    </row>
    <row r="212" spans="1:7" x14ac:dyDescent="0.35">
      <c r="A212" s="100">
        <v>210</v>
      </c>
      <c r="B212" s="10" t="s">
        <v>241</v>
      </c>
      <c r="C212" s="149" t="s">
        <v>246</v>
      </c>
      <c r="D212" s="10">
        <v>1958</v>
      </c>
      <c r="E212" s="10">
        <v>0</v>
      </c>
      <c r="F212" s="10" t="s">
        <v>243</v>
      </c>
      <c r="G212" s="10" t="s">
        <v>244</v>
      </c>
    </row>
    <row r="213" spans="1:7" x14ac:dyDescent="0.35">
      <c r="A213" s="100">
        <v>211</v>
      </c>
      <c r="B213" s="10" t="s">
        <v>241</v>
      </c>
      <c r="C213" s="149" t="s">
        <v>246</v>
      </c>
      <c r="D213" s="10">
        <v>1959</v>
      </c>
      <c r="E213" s="10">
        <v>0</v>
      </c>
      <c r="F213" s="10" t="s">
        <v>243</v>
      </c>
      <c r="G213" s="10" t="s">
        <v>244</v>
      </c>
    </row>
    <row r="214" spans="1:7" x14ac:dyDescent="0.35">
      <c r="A214" s="100">
        <v>212</v>
      </c>
      <c r="B214" s="10" t="s">
        <v>241</v>
      </c>
      <c r="C214" s="149" t="s">
        <v>246</v>
      </c>
      <c r="D214" s="10">
        <v>1960</v>
      </c>
      <c r="E214" s="10">
        <v>0</v>
      </c>
      <c r="F214" s="10" t="s">
        <v>243</v>
      </c>
      <c r="G214" s="10" t="s">
        <v>244</v>
      </c>
    </row>
    <row r="215" spans="1:7" x14ac:dyDescent="0.35">
      <c r="A215" s="100">
        <v>213</v>
      </c>
      <c r="B215" s="10" t="s">
        <v>241</v>
      </c>
      <c r="C215" s="149" t="s">
        <v>246</v>
      </c>
      <c r="D215" s="10">
        <v>1961</v>
      </c>
      <c r="E215" s="10">
        <v>0</v>
      </c>
      <c r="F215" s="10" t="s">
        <v>243</v>
      </c>
      <c r="G215" s="10" t="s">
        <v>244</v>
      </c>
    </row>
    <row r="216" spans="1:7" x14ac:dyDescent="0.35">
      <c r="A216" s="100">
        <v>214</v>
      </c>
      <c r="B216" s="10" t="s">
        <v>241</v>
      </c>
      <c r="C216" s="149" t="s">
        <v>246</v>
      </c>
      <c r="D216" s="10">
        <v>1962</v>
      </c>
      <c r="E216" s="10">
        <v>0</v>
      </c>
      <c r="F216" s="10" t="s">
        <v>243</v>
      </c>
      <c r="G216" s="10" t="s">
        <v>244</v>
      </c>
    </row>
    <row r="217" spans="1:7" x14ac:dyDescent="0.35">
      <c r="A217" s="100">
        <v>215</v>
      </c>
      <c r="B217" s="10" t="s">
        <v>241</v>
      </c>
      <c r="C217" s="149" t="s">
        <v>246</v>
      </c>
      <c r="D217" s="10">
        <v>1963</v>
      </c>
      <c r="E217" s="10">
        <v>0</v>
      </c>
      <c r="F217" s="10" t="s">
        <v>243</v>
      </c>
      <c r="G217" s="10" t="s">
        <v>244</v>
      </c>
    </row>
    <row r="218" spans="1:7" x14ac:dyDescent="0.35">
      <c r="A218" s="100">
        <v>216</v>
      </c>
      <c r="B218" s="10" t="s">
        <v>241</v>
      </c>
      <c r="C218" s="149" t="s">
        <v>246</v>
      </c>
      <c r="D218" s="10">
        <v>1964</v>
      </c>
      <c r="E218" s="10">
        <v>0</v>
      </c>
      <c r="F218" s="10" t="s">
        <v>243</v>
      </c>
      <c r="G218" s="10" t="s">
        <v>244</v>
      </c>
    </row>
    <row r="219" spans="1:7" x14ac:dyDescent="0.35">
      <c r="A219" s="100">
        <v>217</v>
      </c>
      <c r="B219" s="10" t="s">
        <v>241</v>
      </c>
      <c r="C219" s="149" t="s">
        <v>246</v>
      </c>
      <c r="D219" s="10">
        <v>1965</v>
      </c>
      <c r="E219" s="10">
        <v>0</v>
      </c>
      <c r="F219" s="10" t="s">
        <v>243</v>
      </c>
      <c r="G219" s="10" t="s">
        <v>244</v>
      </c>
    </row>
    <row r="220" spans="1:7" x14ac:dyDescent="0.35">
      <c r="A220" s="100">
        <v>218</v>
      </c>
      <c r="B220" s="10" t="s">
        <v>241</v>
      </c>
      <c r="C220" s="149" t="s">
        <v>246</v>
      </c>
      <c r="D220" s="10">
        <v>1966</v>
      </c>
      <c r="E220" s="10">
        <v>0</v>
      </c>
      <c r="F220" s="10" t="s">
        <v>243</v>
      </c>
      <c r="G220" s="10" t="s">
        <v>244</v>
      </c>
    </row>
    <row r="221" spans="1:7" x14ac:dyDescent="0.35">
      <c r="A221" s="100">
        <v>219</v>
      </c>
      <c r="B221" s="10" t="s">
        <v>241</v>
      </c>
      <c r="C221" s="149" t="s">
        <v>246</v>
      </c>
      <c r="D221" s="10">
        <v>1967</v>
      </c>
      <c r="E221" s="10">
        <v>0</v>
      </c>
      <c r="F221" s="10" t="s">
        <v>243</v>
      </c>
      <c r="G221" s="10" t="s">
        <v>244</v>
      </c>
    </row>
    <row r="222" spans="1:7" x14ac:dyDescent="0.35">
      <c r="A222" s="100">
        <v>220</v>
      </c>
      <c r="B222" s="10" t="s">
        <v>241</v>
      </c>
      <c r="C222" s="149" t="s">
        <v>246</v>
      </c>
      <c r="D222" s="10">
        <v>1968</v>
      </c>
      <c r="E222" s="10">
        <v>0</v>
      </c>
      <c r="F222" s="10" t="s">
        <v>243</v>
      </c>
      <c r="G222" s="10" t="s">
        <v>244</v>
      </c>
    </row>
    <row r="223" spans="1:7" x14ac:dyDescent="0.35">
      <c r="A223" s="100">
        <v>221</v>
      </c>
      <c r="B223" s="10" t="s">
        <v>241</v>
      </c>
      <c r="C223" s="149" t="s">
        <v>246</v>
      </c>
      <c r="D223" s="10">
        <v>1969</v>
      </c>
      <c r="E223" s="10">
        <v>0</v>
      </c>
      <c r="F223" s="10" t="s">
        <v>243</v>
      </c>
      <c r="G223" s="10" t="s">
        <v>244</v>
      </c>
    </row>
    <row r="224" spans="1:7" x14ac:dyDescent="0.35">
      <c r="A224" s="100">
        <v>222</v>
      </c>
      <c r="B224" s="10" t="s">
        <v>241</v>
      </c>
      <c r="C224" s="149" t="s">
        <v>246</v>
      </c>
      <c r="D224" s="10">
        <v>1970</v>
      </c>
      <c r="E224" s="10">
        <v>0</v>
      </c>
      <c r="F224" s="10" t="s">
        <v>243</v>
      </c>
      <c r="G224" s="10" t="s">
        <v>244</v>
      </c>
    </row>
    <row r="225" spans="1:7" x14ac:dyDescent="0.35">
      <c r="A225" s="100">
        <v>223</v>
      </c>
      <c r="B225" s="10" t="s">
        <v>241</v>
      </c>
      <c r="C225" s="149" t="s">
        <v>246</v>
      </c>
      <c r="D225" s="10">
        <v>1971</v>
      </c>
      <c r="E225" s="10">
        <v>0</v>
      </c>
      <c r="F225" s="10" t="s">
        <v>243</v>
      </c>
      <c r="G225" s="10" t="s">
        <v>244</v>
      </c>
    </row>
    <row r="226" spans="1:7" x14ac:dyDescent="0.35">
      <c r="A226" s="100">
        <v>224</v>
      </c>
      <c r="B226" s="10" t="s">
        <v>241</v>
      </c>
      <c r="C226" s="149" t="s">
        <v>246</v>
      </c>
      <c r="D226" s="10">
        <v>1972</v>
      </c>
      <c r="E226" s="10">
        <v>0</v>
      </c>
      <c r="F226" s="10" t="s">
        <v>243</v>
      </c>
      <c r="G226" s="10" t="s">
        <v>244</v>
      </c>
    </row>
    <row r="227" spans="1:7" x14ac:dyDescent="0.35">
      <c r="A227" s="100">
        <v>225</v>
      </c>
      <c r="B227" s="10" t="s">
        <v>241</v>
      </c>
      <c r="C227" s="149" t="s">
        <v>246</v>
      </c>
      <c r="D227" s="10">
        <v>1973</v>
      </c>
      <c r="E227" s="10">
        <v>0</v>
      </c>
      <c r="F227" s="10" t="s">
        <v>243</v>
      </c>
      <c r="G227" s="10" t="s">
        <v>244</v>
      </c>
    </row>
    <row r="228" spans="1:7" x14ac:dyDescent="0.35">
      <c r="A228" s="100">
        <v>226</v>
      </c>
      <c r="B228" s="10" t="s">
        <v>241</v>
      </c>
      <c r="C228" s="149" t="s">
        <v>246</v>
      </c>
      <c r="D228" s="10">
        <v>1974</v>
      </c>
      <c r="E228" s="10">
        <v>0</v>
      </c>
      <c r="F228" s="10" t="s">
        <v>243</v>
      </c>
      <c r="G228" s="10" t="s">
        <v>244</v>
      </c>
    </row>
    <row r="229" spans="1:7" x14ac:dyDescent="0.35">
      <c r="A229" s="100">
        <v>227</v>
      </c>
      <c r="B229" s="10" t="s">
        <v>241</v>
      </c>
      <c r="C229" s="149" t="s">
        <v>246</v>
      </c>
      <c r="D229" s="10">
        <v>1975</v>
      </c>
      <c r="E229" s="10">
        <v>0</v>
      </c>
      <c r="F229" s="10" t="s">
        <v>243</v>
      </c>
      <c r="G229" s="10" t="s">
        <v>244</v>
      </c>
    </row>
    <row r="230" spans="1:7" x14ac:dyDescent="0.35">
      <c r="A230" s="100">
        <v>228</v>
      </c>
      <c r="B230" s="10" t="s">
        <v>241</v>
      </c>
      <c r="C230" s="149" t="s">
        <v>246</v>
      </c>
      <c r="D230" s="10">
        <v>1976</v>
      </c>
      <c r="E230" s="10">
        <v>0</v>
      </c>
      <c r="F230" s="10" t="s">
        <v>243</v>
      </c>
      <c r="G230" s="10" t="s">
        <v>244</v>
      </c>
    </row>
    <row r="231" spans="1:7" x14ac:dyDescent="0.35">
      <c r="A231" s="100">
        <v>229</v>
      </c>
      <c r="B231" s="10" t="s">
        <v>241</v>
      </c>
      <c r="C231" s="149" t="s">
        <v>246</v>
      </c>
      <c r="D231" s="10">
        <v>1977</v>
      </c>
      <c r="E231" s="10">
        <v>0</v>
      </c>
      <c r="F231" s="10" t="s">
        <v>243</v>
      </c>
      <c r="G231" s="10" t="s">
        <v>244</v>
      </c>
    </row>
    <row r="232" spans="1:7" x14ac:dyDescent="0.35">
      <c r="A232" s="100">
        <v>230</v>
      </c>
      <c r="B232" s="10" t="s">
        <v>241</v>
      </c>
      <c r="C232" s="149" t="s">
        <v>246</v>
      </c>
      <c r="D232" s="10">
        <v>1978</v>
      </c>
      <c r="E232" s="10">
        <v>0</v>
      </c>
      <c r="F232" s="10" t="s">
        <v>243</v>
      </c>
      <c r="G232" s="10" t="s">
        <v>244</v>
      </c>
    </row>
    <row r="233" spans="1:7" x14ac:dyDescent="0.35">
      <c r="A233" s="100">
        <v>231</v>
      </c>
      <c r="B233" s="10" t="s">
        <v>241</v>
      </c>
      <c r="C233" s="149" t="s">
        <v>246</v>
      </c>
      <c r="D233" s="10">
        <v>1979</v>
      </c>
      <c r="E233" s="10">
        <v>0</v>
      </c>
      <c r="F233" s="10" t="s">
        <v>243</v>
      </c>
      <c r="G233" s="10" t="s">
        <v>244</v>
      </c>
    </row>
    <row r="234" spans="1:7" x14ac:dyDescent="0.35">
      <c r="A234" s="100">
        <v>232</v>
      </c>
      <c r="B234" s="10" t="s">
        <v>241</v>
      </c>
      <c r="C234" s="149" t="s">
        <v>246</v>
      </c>
      <c r="D234" s="10">
        <v>1980</v>
      </c>
      <c r="E234" s="10">
        <v>0</v>
      </c>
      <c r="F234" s="10" t="s">
        <v>243</v>
      </c>
      <c r="G234" s="10" t="s">
        <v>244</v>
      </c>
    </row>
    <row r="235" spans="1:7" x14ac:dyDescent="0.35">
      <c r="A235" s="100">
        <v>233</v>
      </c>
      <c r="B235" s="10" t="s">
        <v>241</v>
      </c>
      <c r="C235" s="149" t="s">
        <v>246</v>
      </c>
      <c r="D235" s="10">
        <v>1981</v>
      </c>
      <c r="E235" s="10">
        <v>0</v>
      </c>
      <c r="F235" s="10" t="s">
        <v>243</v>
      </c>
      <c r="G235" s="10" t="s">
        <v>244</v>
      </c>
    </row>
    <row r="236" spans="1:7" x14ac:dyDescent="0.35">
      <c r="A236" s="100">
        <v>234</v>
      </c>
      <c r="B236" s="10" t="s">
        <v>241</v>
      </c>
      <c r="C236" s="149" t="s">
        <v>246</v>
      </c>
      <c r="D236" s="10">
        <v>1982</v>
      </c>
      <c r="E236" s="10">
        <v>0</v>
      </c>
      <c r="F236" s="10" t="s">
        <v>243</v>
      </c>
      <c r="G236" s="10" t="s">
        <v>244</v>
      </c>
    </row>
    <row r="237" spans="1:7" x14ac:dyDescent="0.35">
      <c r="A237" s="100">
        <v>235</v>
      </c>
      <c r="B237" s="10" t="s">
        <v>241</v>
      </c>
      <c r="C237" s="149" t="s">
        <v>246</v>
      </c>
      <c r="D237" s="10">
        <v>1983</v>
      </c>
      <c r="E237" s="10">
        <v>0</v>
      </c>
      <c r="F237" s="10" t="s">
        <v>243</v>
      </c>
      <c r="G237" s="10" t="s">
        <v>244</v>
      </c>
    </row>
    <row r="238" spans="1:7" x14ac:dyDescent="0.35">
      <c r="A238" s="100">
        <v>236</v>
      </c>
      <c r="B238" s="10" t="s">
        <v>241</v>
      </c>
      <c r="C238" s="149" t="s">
        <v>246</v>
      </c>
      <c r="D238" s="10">
        <v>1984</v>
      </c>
      <c r="E238" s="10">
        <v>0</v>
      </c>
      <c r="F238" s="10" t="s">
        <v>243</v>
      </c>
      <c r="G238" s="10" t="s">
        <v>244</v>
      </c>
    </row>
    <row r="239" spans="1:7" x14ac:dyDescent="0.35">
      <c r="A239" s="100">
        <v>237</v>
      </c>
      <c r="B239" s="10" t="s">
        <v>241</v>
      </c>
      <c r="C239" s="149" t="s">
        <v>246</v>
      </c>
      <c r="D239" s="10">
        <v>1985</v>
      </c>
      <c r="E239" s="10">
        <v>0</v>
      </c>
      <c r="F239" s="10" t="s">
        <v>243</v>
      </c>
      <c r="G239" s="10" t="s">
        <v>244</v>
      </c>
    </row>
    <row r="240" spans="1:7" x14ac:dyDescent="0.35">
      <c r="A240" s="100">
        <v>238</v>
      </c>
      <c r="B240" s="10" t="s">
        <v>241</v>
      </c>
      <c r="C240" s="149" t="s">
        <v>246</v>
      </c>
      <c r="D240" s="10">
        <v>1986</v>
      </c>
      <c r="E240" s="10">
        <v>0</v>
      </c>
      <c r="F240" s="10" t="s">
        <v>243</v>
      </c>
      <c r="G240" s="10" t="s">
        <v>244</v>
      </c>
    </row>
    <row r="241" spans="1:7" x14ac:dyDescent="0.35">
      <c r="A241" s="100">
        <v>239</v>
      </c>
      <c r="B241" s="10" t="s">
        <v>241</v>
      </c>
      <c r="C241" s="149" t="s">
        <v>246</v>
      </c>
      <c r="D241" s="10">
        <v>1987</v>
      </c>
      <c r="E241" s="10">
        <v>0</v>
      </c>
      <c r="F241" s="10" t="s">
        <v>243</v>
      </c>
      <c r="G241" s="10" t="s">
        <v>244</v>
      </c>
    </row>
    <row r="242" spans="1:7" x14ac:dyDescent="0.35">
      <c r="A242" s="100">
        <v>240</v>
      </c>
      <c r="B242" s="10" t="s">
        <v>241</v>
      </c>
      <c r="C242" s="149" t="s">
        <v>246</v>
      </c>
      <c r="D242" s="10">
        <v>1988</v>
      </c>
      <c r="E242" s="10">
        <v>0</v>
      </c>
      <c r="F242" s="10" t="s">
        <v>243</v>
      </c>
      <c r="G242" s="10" t="s">
        <v>244</v>
      </c>
    </row>
    <row r="243" spans="1:7" x14ac:dyDescent="0.35">
      <c r="A243" s="100">
        <v>241</v>
      </c>
      <c r="B243" s="10" t="s">
        <v>241</v>
      </c>
      <c r="C243" s="149" t="s">
        <v>246</v>
      </c>
      <c r="D243" s="10">
        <v>1989</v>
      </c>
      <c r="E243" s="10">
        <v>0</v>
      </c>
      <c r="F243" s="10" t="s">
        <v>243</v>
      </c>
      <c r="G243" s="10" t="s">
        <v>244</v>
      </c>
    </row>
    <row r="244" spans="1:7" x14ac:dyDescent="0.35">
      <c r="A244" s="100">
        <v>242</v>
      </c>
      <c r="B244" s="10" t="s">
        <v>241</v>
      </c>
      <c r="C244" s="149" t="s">
        <v>246</v>
      </c>
      <c r="D244" s="10">
        <v>1990</v>
      </c>
      <c r="E244" s="10">
        <v>0</v>
      </c>
      <c r="F244" s="10" t="s">
        <v>243</v>
      </c>
      <c r="G244" s="10" t="s">
        <v>244</v>
      </c>
    </row>
    <row r="245" spans="1:7" x14ac:dyDescent="0.35">
      <c r="A245" s="100">
        <v>243</v>
      </c>
      <c r="B245" s="10" t="s">
        <v>241</v>
      </c>
      <c r="C245" s="149" t="s">
        <v>246</v>
      </c>
      <c r="D245" s="10">
        <v>1991</v>
      </c>
      <c r="E245" s="10">
        <v>0</v>
      </c>
      <c r="F245" s="10" t="s">
        <v>243</v>
      </c>
      <c r="G245" s="10" t="s">
        <v>244</v>
      </c>
    </row>
    <row r="246" spans="1:7" x14ac:dyDescent="0.35">
      <c r="A246" s="100">
        <v>244</v>
      </c>
      <c r="B246" s="10" t="s">
        <v>241</v>
      </c>
      <c r="C246" s="149" t="s">
        <v>246</v>
      </c>
      <c r="D246" s="10">
        <v>1992</v>
      </c>
      <c r="E246" s="10">
        <v>0</v>
      </c>
      <c r="F246" s="10" t="s">
        <v>243</v>
      </c>
      <c r="G246" s="10" t="s">
        <v>244</v>
      </c>
    </row>
    <row r="247" spans="1:7" x14ac:dyDescent="0.35">
      <c r="A247" s="100">
        <v>245</v>
      </c>
      <c r="B247" s="10" t="s">
        <v>241</v>
      </c>
      <c r="C247" s="149" t="s">
        <v>246</v>
      </c>
      <c r="D247" s="10">
        <v>1993</v>
      </c>
      <c r="E247" s="10">
        <v>0</v>
      </c>
      <c r="F247" s="10" t="s">
        <v>243</v>
      </c>
      <c r="G247" s="10" t="s">
        <v>244</v>
      </c>
    </row>
    <row r="248" spans="1:7" x14ac:dyDescent="0.35">
      <c r="A248" s="100">
        <v>246</v>
      </c>
      <c r="B248" s="10" t="s">
        <v>241</v>
      </c>
      <c r="C248" s="149" t="s">
        <v>246</v>
      </c>
      <c r="D248" s="10">
        <v>1994</v>
      </c>
      <c r="E248" s="10">
        <v>0</v>
      </c>
      <c r="F248" s="10" t="s">
        <v>243</v>
      </c>
      <c r="G248" s="10" t="s">
        <v>244</v>
      </c>
    </row>
    <row r="249" spans="1:7" x14ac:dyDescent="0.35">
      <c r="A249" s="100">
        <v>247</v>
      </c>
      <c r="B249" s="10" t="s">
        <v>241</v>
      </c>
      <c r="C249" s="149" t="s">
        <v>246</v>
      </c>
      <c r="D249" s="10">
        <v>1995</v>
      </c>
      <c r="E249" s="10">
        <v>0</v>
      </c>
      <c r="F249" s="10" t="s">
        <v>243</v>
      </c>
      <c r="G249" s="10" t="s">
        <v>244</v>
      </c>
    </row>
    <row r="250" spans="1:7" x14ac:dyDescent="0.35">
      <c r="A250" s="100">
        <v>248</v>
      </c>
      <c r="B250" s="10" t="s">
        <v>241</v>
      </c>
      <c r="C250" s="149" t="s">
        <v>246</v>
      </c>
      <c r="D250" s="10">
        <v>1996</v>
      </c>
      <c r="E250" s="10">
        <v>0</v>
      </c>
      <c r="F250" s="10" t="s">
        <v>243</v>
      </c>
      <c r="G250" s="10" t="s">
        <v>244</v>
      </c>
    </row>
    <row r="251" spans="1:7" x14ac:dyDescent="0.35">
      <c r="A251" s="100">
        <v>249</v>
      </c>
      <c r="B251" s="10" t="s">
        <v>241</v>
      </c>
      <c r="C251" s="149" t="s">
        <v>246</v>
      </c>
      <c r="D251" s="10">
        <v>1997</v>
      </c>
      <c r="E251" s="10">
        <v>0</v>
      </c>
      <c r="F251" s="10" t="s">
        <v>243</v>
      </c>
      <c r="G251" s="10" t="s">
        <v>244</v>
      </c>
    </row>
    <row r="252" spans="1:7" x14ac:dyDescent="0.35">
      <c r="A252" s="100">
        <v>250</v>
      </c>
      <c r="B252" s="10" t="s">
        <v>241</v>
      </c>
      <c r="C252" s="149" t="s">
        <v>246</v>
      </c>
      <c r="D252" s="10">
        <v>1998</v>
      </c>
      <c r="E252" s="10">
        <v>0</v>
      </c>
      <c r="F252" s="10" t="s">
        <v>243</v>
      </c>
      <c r="G252" s="10" t="s">
        <v>244</v>
      </c>
    </row>
    <row r="253" spans="1:7" x14ac:dyDescent="0.35">
      <c r="A253" s="100">
        <v>251</v>
      </c>
      <c r="B253" s="10" t="s">
        <v>241</v>
      </c>
      <c r="C253" s="149" t="s">
        <v>246</v>
      </c>
      <c r="D253" s="10">
        <v>1999</v>
      </c>
      <c r="E253" s="10">
        <v>0</v>
      </c>
      <c r="F253" s="10" t="s">
        <v>243</v>
      </c>
      <c r="G253" s="10" t="s">
        <v>244</v>
      </c>
    </row>
    <row r="254" spans="1:7" x14ac:dyDescent="0.35">
      <c r="A254" s="100">
        <v>252</v>
      </c>
      <c r="B254" s="10" t="s">
        <v>241</v>
      </c>
      <c r="C254" s="149" t="s">
        <v>246</v>
      </c>
      <c r="D254" s="10">
        <v>2000</v>
      </c>
      <c r="E254" s="10">
        <v>0</v>
      </c>
      <c r="F254" s="10" t="s">
        <v>243</v>
      </c>
      <c r="G254" s="10" t="s">
        <v>244</v>
      </c>
    </row>
    <row r="255" spans="1:7" x14ac:dyDescent="0.35">
      <c r="A255" s="100">
        <v>253</v>
      </c>
      <c r="B255" s="10" t="s">
        <v>241</v>
      </c>
      <c r="C255" s="149" t="s">
        <v>246</v>
      </c>
      <c r="D255" s="10">
        <v>2001</v>
      </c>
      <c r="E255" s="10">
        <v>0</v>
      </c>
      <c r="F255" s="10" t="s">
        <v>243</v>
      </c>
      <c r="G255" s="10" t="s">
        <v>244</v>
      </c>
    </row>
    <row r="256" spans="1:7" x14ac:dyDescent="0.35">
      <c r="A256" s="100">
        <v>254</v>
      </c>
      <c r="B256" s="10" t="s">
        <v>241</v>
      </c>
      <c r="C256" s="149" t="s">
        <v>246</v>
      </c>
      <c r="D256" s="10">
        <v>2002</v>
      </c>
      <c r="E256" s="10">
        <v>0</v>
      </c>
      <c r="F256" s="10" t="s">
        <v>243</v>
      </c>
      <c r="G256" s="10" t="s">
        <v>244</v>
      </c>
    </row>
    <row r="257" spans="1:7" x14ac:dyDescent="0.35">
      <c r="A257" s="100">
        <v>255</v>
      </c>
      <c r="B257" s="10" t="s">
        <v>241</v>
      </c>
      <c r="C257" s="149" t="s">
        <v>246</v>
      </c>
      <c r="D257" s="10">
        <v>2003</v>
      </c>
      <c r="E257" s="10">
        <v>0</v>
      </c>
      <c r="F257" s="10" t="s">
        <v>243</v>
      </c>
      <c r="G257" s="10" t="s">
        <v>244</v>
      </c>
    </row>
    <row r="258" spans="1:7" x14ac:dyDescent="0.35">
      <c r="A258" s="100">
        <v>256</v>
      </c>
      <c r="B258" s="10" t="s">
        <v>241</v>
      </c>
      <c r="C258" s="149" t="s">
        <v>246</v>
      </c>
      <c r="D258" s="10">
        <v>2004</v>
      </c>
      <c r="E258" s="10">
        <v>0</v>
      </c>
      <c r="F258" s="10" t="s">
        <v>243</v>
      </c>
      <c r="G258" s="10" t="s">
        <v>244</v>
      </c>
    </row>
    <row r="259" spans="1:7" x14ac:dyDescent="0.35">
      <c r="A259" s="100">
        <v>257</v>
      </c>
      <c r="B259" s="10" t="s">
        <v>241</v>
      </c>
      <c r="C259" s="149" t="s">
        <v>246</v>
      </c>
      <c r="D259" s="10">
        <v>2005</v>
      </c>
      <c r="E259" s="10">
        <v>0</v>
      </c>
      <c r="F259" s="10" t="s">
        <v>243</v>
      </c>
      <c r="G259" s="10" t="s">
        <v>244</v>
      </c>
    </row>
    <row r="260" spans="1:7" x14ac:dyDescent="0.35">
      <c r="A260" s="100">
        <v>258</v>
      </c>
      <c r="B260" s="10" t="s">
        <v>241</v>
      </c>
      <c r="C260" s="149" t="s">
        <v>246</v>
      </c>
      <c r="D260" s="10">
        <v>2006</v>
      </c>
      <c r="E260" s="10">
        <v>0</v>
      </c>
      <c r="F260" s="10" t="s">
        <v>243</v>
      </c>
      <c r="G260" s="10" t="s">
        <v>244</v>
      </c>
    </row>
    <row r="261" spans="1:7" x14ac:dyDescent="0.35">
      <c r="A261" s="100">
        <v>259</v>
      </c>
      <c r="B261" s="10" t="s">
        <v>241</v>
      </c>
      <c r="C261" s="149" t="s">
        <v>246</v>
      </c>
      <c r="D261" s="10">
        <v>2007</v>
      </c>
      <c r="E261" s="10">
        <v>0</v>
      </c>
      <c r="F261" s="10" t="s">
        <v>243</v>
      </c>
      <c r="G261" s="10" t="s">
        <v>244</v>
      </c>
    </row>
    <row r="262" spans="1:7" x14ac:dyDescent="0.35">
      <c r="A262" s="100">
        <v>260</v>
      </c>
      <c r="B262" s="10" t="s">
        <v>241</v>
      </c>
      <c r="C262" s="149" t="s">
        <v>246</v>
      </c>
      <c r="D262" s="10">
        <v>2008</v>
      </c>
      <c r="E262" s="10">
        <v>0</v>
      </c>
      <c r="F262" s="10" t="s">
        <v>243</v>
      </c>
      <c r="G262" s="10" t="s">
        <v>244</v>
      </c>
    </row>
    <row r="263" spans="1:7" x14ac:dyDescent="0.35">
      <c r="A263" s="100">
        <v>261</v>
      </c>
      <c r="B263" s="10" t="s">
        <v>241</v>
      </c>
      <c r="C263" s="149" t="s">
        <v>246</v>
      </c>
      <c r="D263" s="10">
        <v>2009</v>
      </c>
      <c r="E263" s="10">
        <v>0</v>
      </c>
      <c r="F263" s="10" t="s">
        <v>243</v>
      </c>
      <c r="G263" s="10" t="s">
        <v>244</v>
      </c>
    </row>
    <row r="264" spans="1:7" x14ac:dyDescent="0.35">
      <c r="A264" s="100">
        <v>262</v>
      </c>
      <c r="B264" s="10" t="s">
        <v>241</v>
      </c>
      <c r="C264" s="149" t="s">
        <v>246</v>
      </c>
      <c r="D264" s="10">
        <v>2010</v>
      </c>
      <c r="E264" s="10">
        <v>0</v>
      </c>
      <c r="F264" s="10" t="s">
        <v>243</v>
      </c>
      <c r="G264" s="10" t="s">
        <v>244</v>
      </c>
    </row>
    <row r="265" spans="1:7" x14ac:dyDescent="0.35">
      <c r="A265" s="100">
        <v>263</v>
      </c>
      <c r="B265" s="10" t="s">
        <v>241</v>
      </c>
      <c r="C265" s="149" t="s">
        <v>246</v>
      </c>
      <c r="D265" s="10">
        <v>2011</v>
      </c>
      <c r="E265" s="10">
        <v>0</v>
      </c>
      <c r="F265" s="10" t="s">
        <v>243</v>
      </c>
      <c r="G265" s="10" t="s">
        <v>244</v>
      </c>
    </row>
    <row r="266" spans="1:7" x14ac:dyDescent="0.35">
      <c r="A266" s="100">
        <v>264</v>
      </c>
      <c r="B266" s="10" t="s">
        <v>241</v>
      </c>
      <c r="C266" s="149" t="s">
        <v>246</v>
      </c>
      <c r="D266" s="10">
        <v>2012</v>
      </c>
      <c r="E266" s="10">
        <v>0</v>
      </c>
      <c r="F266" s="10" t="s">
        <v>243</v>
      </c>
      <c r="G266" s="10" t="s">
        <v>244</v>
      </c>
    </row>
    <row r="267" spans="1:7" x14ac:dyDescent="0.35">
      <c r="A267" s="100">
        <v>265</v>
      </c>
      <c r="B267" s="10" t="s">
        <v>241</v>
      </c>
      <c r="C267" s="149" t="s">
        <v>246</v>
      </c>
      <c r="D267" s="10">
        <v>2013</v>
      </c>
      <c r="E267" s="10">
        <v>0</v>
      </c>
      <c r="F267" s="10" t="s">
        <v>243</v>
      </c>
      <c r="G267" s="10" t="s">
        <v>244</v>
      </c>
    </row>
    <row r="268" spans="1:7" x14ac:dyDescent="0.35">
      <c r="A268" s="100">
        <v>266</v>
      </c>
      <c r="B268" s="10" t="s">
        <v>241</v>
      </c>
      <c r="C268" s="149" t="s">
        <v>246</v>
      </c>
      <c r="D268" s="10">
        <v>2014</v>
      </c>
      <c r="E268" s="10">
        <v>0</v>
      </c>
      <c r="F268" s="10" t="s">
        <v>243</v>
      </c>
      <c r="G268" s="10" t="s">
        <v>244</v>
      </c>
    </row>
    <row r="269" spans="1:7" x14ac:dyDescent="0.35">
      <c r="A269" s="100">
        <v>267</v>
      </c>
      <c r="B269" s="10" t="s">
        <v>241</v>
      </c>
      <c r="C269" s="149" t="s">
        <v>246</v>
      </c>
      <c r="D269" s="10">
        <v>2015</v>
      </c>
      <c r="E269" s="10">
        <v>0</v>
      </c>
      <c r="F269" s="10" t="s">
        <v>243</v>
      </c>
      <c r="G269" s="10" t="s">
        <v>244</v>
      </c>
    </row>
    <row r="270" spans="1:7" x14ac:dyDescent="0.35">
      <c r="A270" s="100">
        <v>268</v>
      </c>
      <c r="B270" s="10" t="s">
        <v>241</v>
      </c>
      <c r="C270" s="149" t="s">
        <v>246</v>
      </c>
      <c r="D270" s="10">
        <v>2016</v>
      </c>
      <c r="E270" s="10">
        <v>5.7132969430995217E-4</v>
      </c>
      <c r="F270" s="10" t="s">
        <v>243</v>
      </c>
      <c r="G270" s="10" t="s">
        <v>244</v>
      </c>
    </row>
    <row r="271" spans="1:7" x14ac:dyDescent="0.35">
      <c r="A271" s="100">
        <v>269</v>
      </c>
      <c r="B271" s="10" t="s">
        <v>241</v>
      </c>
      <c r="C271" s="149" t="s">
        <v>246</v>
      </c>
      <c r="D271" s="10">
        <v>2017</v>
      </c>
      <c r="E271" s="10">
        <v>3.196763757330245E-3</v>
      </c>
      <c r="F271" s="10" t="s">
        <v>243</v>
      </c>
      <c r="G271" s="10" t="s">
        <v>244</v>
      </c>
    </row>
    <row r="272" spans="1:7" x14ac:dyDescent="0.35">
      <c r="A272" s="100">
        <v>270</v>
      </c>
      <c r="B272" s="10" t="s">
        <v>241</v>
      </c>
      <c r="C272" s="149" t="s">
        <v>246</v>
      </c>
      <c r="D272" s="10">
        <v>2018</v>
      </c>
      <c r="E272" s="10">
        <v>6.0184187138929701E-3</v>
      </c>
      <c r="F272" s="10" t="s">
        <v>243</v>
      </c>
      <c r="G272" s="10" t="s">
        <v>244</v>
      </c>
    </row>
    <row r="273" spans="1:7" x14ac:dyDescent="0.35">
      <c r="A273" s="100">
        <v>271</v>
      </c>
      <c r="B273" s="10" t="s">
        <v>241</v>
      </c>
      <c r="C273" s="149" t="s">
        <v>246</v>
      </c>
      <c r="D273" s="10">
        <v>2019</v>
      </c>
      <c r="E273" s="10">
        <v>9.0362945639981263E-3</v>
      </c>
      <c r="F273" s="10" t="s">
        <v>243</v>
      </c>
      <c r="G273" s="10" t="s">
        <v>244</v>
      </c>
    </row>
    <row r="274" spans="1:7" x14ac:dyDescent="0.35">
      <c r="A274" s="100">
        <v>272</v>
      </c>
      <c r="B274" s="10" t="s">
        <v>241</v>
      </c>
      <c r="C274" s="149" t="s">
        <v>246</v>
      </c>
      <c r="D274" s="10">
        <v>2020</v>
      </c>
      <c r="E274" s="10">
        <v>1.225039130764571E-2</v>
      </c>
      <c r="F274" s="10" t="s">
        <v>243</v>
      </c>
      <c r="G274" s="10" t="s">
        <v>244</v>
      </c>
    </row>
    <row r="275" spans="1:7" x14ac:dyDescent="0.35">
      <c r="A275" s="100">
        <v>273</v>
      </c>
      <c r="B275" s="10" t="s">
        <v>241</v>
      </c>
      <c r="C275" s="149" t="s">
        <v>246</v>
      </c>
      <c r="D275" s="10">
        <v>2021</v>
      </c>
      <c r="E275" s="10">
        <v>1.5660708944778889E-2</v>
      </c>
      <c r="F275" s="10" t="s">
        <v>243</v>
      </c>
      <c r="G275" s="10" t="s">
        <v>244</v>
      </c>
    </row>
    <row r="276" spans="1:7" x14ac:dyDescent="0.35">
      <c r="A276" s="100">
        <v>274</v>
      </c>
      <c r="B276" s="10" t="s">
        <v>241</v>
      </c>
      <c r="C276" s="149" t="s">
        <v>246</v>
      </c>
      <c r="D276" s="10">
        <v>2022</v>
      </c>
      <c r="E276" s="10">
        <v>1.926724747556818E-2</v>
      </c>
      <c r="F276" s="10" t="s">
        <v>243</v>
      </c>
      <c r="G276" s="10" t="s">
        <v>244</v>
      </c>
    </row>
    <row r="277" spans="1:7" x14ac:dyDescent="0.35">
      <c r="A277" s="100">
        <v>275</v>
      </c>
      <c r="B277" s="10" t="s">
        <v>241</v>
      </c>
      <c r="C277" s="149" t="s">
        <v>246</v>
      </c>
      <c r="D277" s="10">
        <v>2023</v>
      </c>
      <c r="E277" s="10">
        <v>2.3070006899843069E-2</v>
      </c>
      <c r="F277" s="10" t="s">
        <v>243</v>
      </c>
      <c r="G277" s="10" t="s">
        <v>244</v>
      </c>
    </row>
    <row r="278" spans="1:7" x14ac:dyDescent="0.35">
      <c r="A278" s="100">
        <v>276</v>
      </c>
      <c r="B278" s="10" t="s">
        <v>241</v>
      </c>
      <c r="C278" s="149" t="s">
        <v>246</v>
      </c>
      <c r="D278" s="10">
        <v>2024</v>
      </c>
      <c r="E278" s="10">
        <v>2.7068987217717218E-2</v>
      </c>
      <c r="F278" s="10" t="s">
        <v>243</v>
      </c>
      <c r="G278" s="10" t="s">
        <v>244</v>
      </c>
    </row>
    <row r="279" spans="1:7" x14ac:dyDescent="0.35">
      <c r="A279" s="100">
        <v>277</v>
      </c>
      <c r="B279" s="10" t="s">
        <v>241</v>
      </c>
      <c r="C279" s="149" t="s">
        <v>246</v>
      </c>
      <c r="D279" s="10">
        <v>2025</v>
      </c>
      <c r="E279" s="10">
        <v>3.1264188429076967E-2</v>
      </c>
      <c r="F279" s="10" t="s">
        <v>243</v>
      </c>
      <c r="G279" s="10" t="s">
        <v>244</v>
      </c>
    </row>
    <row r="280" spans="1:7" x14ac:dyDescent="0.35">
      <c r="A280" s="100">
        <v>278</v>
      </c>
      <c r="B280" s="10" t="s">
        <v>241</v>
      </c>
      <c r="C280" s="149" t="s">
        <v>246</v>
      </c>
      <c r="D280" s="10">
        <v>2026</v>
      </c>
      <c r="E280" s="10">
        <v>3.5655610534035993E-2</v>
      </c>
      <c r="F280" s="10" t="s">
        <v>243</v>
      </c>
      <c r="G280" s="10" t="s">
        <v>244</v>
      </c>
    </row>
    <row r="281" spans="1:7" x14ac:dyDescent="0.35">
      <c r="A281" s="100">
        <v>279</v>
      </c>
      <c r="B281" s="10" t="s">
        <v>241</v>
      </c>
      <c r="C281" s="149" t="s">
        <v>246</v>
      </c>
      <c r="D281" s="10">
        <v>2027</v>
      </c>
      <c r="E281" s="10">
        <v>4.0243253532480587E-2</v>
      </c>
      <c r="F281" s="10" t="s">
        <v>243</v>
      </c>
      <c r="G281" s="10" t="s">
        <v>244</v>
      </c>
    </row>
    <row r="282" spans="1:7" x14ac:dyDescent="0.35">
      <c r="A282" s="100">
        <v>280</v>
      </c>
      <c r="B282" s="10" t="s">
        <v>241</v>
      </c>
      <c r="C282" s="149" t="s">
        <v>246</v>
      </c>
      <c r="D282" s="10">
        <v>2028</v>
      </c>
      <c r="E282" s="10">
        <v>4.5027117424524483E-2</v>
      </c>
      <c r="F282" s="10" t="s">
        <v>243</v>
      </c>
      <c r="G282" s="10" t="s">
        <v>244</v>
      </c>
    </row>
    <row r="283" spans="1:7" x14ac:dyDescent="0.35">
      <c r="A283" s="100">
        <v>281</v>
      </c>
      <c r="B283" s="10" t="s">
        <v>241</v>
      </c>
      <c r="C283" s="149" t="s">
        <v>246</v>
      </c>
      <c r="D283" s="10">
        <v>2029</v>
      </c>
      <c r="E283" s="10">
        <v>5.000720221011079E-2</v>
      </c>
      <c r="F283" s="10" t="s">
        <v>243</v>
      </c>
      <c r="G283" s="10" t="s">
        <v>244</v>
      </c>
    </row>
    <row r="284" spans="1:7" x14ac:dyDescent="0.35">
      <c r="A284" s="100">
        <v>282</v>
      </c>
      <c r="B284" s="10" t="s">
        <v>241</v>
      </c>
      <c r="C284" s="149" t="s">
        <v>246</v>
      </c>
      <c r="D284" s="10">
        <v>2030</v>
      </c>
      <c r="E284" s="10">
        <v>5.5183507889296379E-2</v>
      </c>
      <c r="F284" s="10" t="s">
        <v>243</v>
      </c>
      <c r="G284" s="10" t="s">
        <v>244</v>
      </c>
    </row>
    <row r="285" spans="1:7" x14ac:dyDescent="0.35">
      <c r="A285" s="100">
        <v>283</v>
      </c>
      <c r="B285" s="10" t="s">
        <v>241</v>
      </c>
      <c r="C285" s="149" t="s">
        <v>246</v>
      </c>
      <c r="D285" s="10">
        <v>2031</v>
      </c>
      <c r="E285" s="10">
        <v>6.0556034461967563E-2</v>
      </c>
      <c r="F285" s="10" t="s">
        <v>243</v>
      </c>
      <c r="G285" s="10" t="s">
        <v>244</v>
      </c>
    </row>
    <row r="286" spans="1:7" x14ac:dyDescent="0.35">
      <c r="A286" s="100">
        <v>284</v>
      </c>
      <c r="B286" s="10" t="s">
        <v>241</v>
      </c>
      <c r="C286" s="149" t="s">
        <v>246</v>
      </c>
      <c r="D286" s="10">
        <v>2032</v>
      </c>
      <c r="E286" s="10">
        <v>6.6124781928238008E-2</v>
      </c>
      <c r="F286" s="10" t="s">
        <v>243</v>
      </c>
      <c r="G286" s="10" t="s">
        <v>244</v>
      </c>
    </row>
    <row r="287" spans="1:7" x14ac:dyDescent="0.35">
      <c r="A287" s="100">
        <v>285</v>
      </c>
      <c r="B287" s="10" t="s">
        <v>241</v>
      </c>
      <c r="C287" s="149" t="s">
        <v>246</v>
      </c>
      <c r="D287" s="10">
        <v>2033</v>
      </c>
      <c r="E287" s="10">
        <v>7.1889750287994048E-2</v>
      </c>
      <c r="F287" s="10" t="s">
        <v>243</v>
      </c>
      <c r="G287" s="10" t="s">
        <v>244</v>
      </c>
    </row>
    <row r="288" spans="1:7" x14ac:dyDescent="0.35">
      <c r="A288" s="100">
        <v>286</v>
      </c>
      <c r="B288" s="10" t="s">
        <v>241</v>
      </c>
      <c r="C288" s="149" t="s">
        <v>246</v>
      </c>
      <c r="D288" s="10">
        <v>2034</v>
      </c>
      <c r="E288" s="10">
        <v>7.7850939541292519E-2</v>
      </c>
      <c r="F288" s="10" t="s">
        <v>243</v>
      </c>
      <c r="G288" s="10" t="s">
        <v>244</v>
      </c>
    </row>
    <row r="289" spans="1:7" x14ac:dyDescent="0.35">
      <c r="A289" s="100">
        <v>287</v>
      </c>
      <c r="B289" s="10" t="s">
        <v>241</v>
      </c>
      <c r="C289" s="149" t="s">
        <v>246</v>
      </c>
      <c r="D289" s="10">
        <v>2035</v>
      </c>
      <c r="E289" s="10">
        <v>8.4008349688190265E-2</v>
      </c>
      <c r="F289" s="10" t="s">
        <v>243</v>
      </c>
      <c r="G289" s="10" t="s">
        <v>244</v>
      </c>
    </row>
    <row r="290" spans="1:7" x14ac:dyDescent="0.35">
      <c r="A290" s="100">
        <v>288</v>
      </c>
      <c r="B290" s="10" t="s">
        <v>241</v>
      </c>
      <c r="C290" s="149" t="s">
        <v>246</v>
      </c>
      <c r="D290" s="10">
        <v>2036</v>
      </c>
      <c r="E290" s="10">
        <v>9.0361980728630442E-2</v>
      </c>
      <c r="F290" s="10" t="s">
        <v>243</v>
      </c>
      <c r="G290" s="10" t="s">
        <v>244</v>
      </c>
    </row>
    <row r="291" spans="1:7" x14ac:dyDescent="0.35">
      <c r="A291" s="100">
        <v>289</v>
      </c>
      <c r="B291" s="10" t="s">
        <v>241</v>
      </c>
      <c r="C291" s="149" t="s">
        <v>246</v>
      </c>
      <c r="D291" s="10">
        <v>2037</v>
      </c>
      <c r="E291" s="10">
        <v>9.6911832662669894E-2</v>
      </c>
      <c r="F291" s="10" t="s">
        <v>243</v>
      </c>
      <c r="G291" s="10" t="s">
        <v>244</v>
      </c>
    </row>
    <row r="292" spans="1:7" x14ac:dyDescent="0.35">
      <c r="A292" s="100">
        <v>290</v>
      </c>
      <c r="B292" s="10" t="s">
        <v>241</v>
      </c>
      <c r="C292" s="149" t="s">
        <v>246</v>
      </c>
      <c r="D292" s="10">
        <v>2038</v>
      </c>
      <c r="E292" s="10">
        <v>0.10365790549019489</v>
      </c>
      <c r="F292" s="10" t="s">
        <v>243</v>
      </c>
      <c r="G292" s="10" t="s">
        <v>244</v>
      </c>
    </row>
    <row r="293" spans="1:7" x14ac:dyDescent="0.35">
      <c r="A293" s="100">
        <v>291</v>
      </c>
      <c r="B293" s="10" t="s">
        <v>241</v>
      </c>
      <c r="C293" s="149" t="s">
        <v>246</v>
      </c>
      <c r="D293" s="10">
        <v>2039</v>
      </c>
      <c r="E293" s="10">
        <v>0.1106001992112056</v>
      </c>
      <c r="F293" s="10" t="s">
        <v>243</v>
      </c>
      <c r="G293" s="10" t="s">
        <v>244</v>
      </c>
    </row>
    <row r="294" spans="1:7" x14ac:dyDescent="0.35">
      <c r="A294" s="100">
        <v>292</v>
      </c>
      <c r="B294" s="10" t="s">
        <v>241</v>
      </c>
      <c r="C294" s="149" t="s">
        <v>246</v>
      </c>
      <c r="D294" s="10">
        <v>2040</v>
      </c>
      <c r="E294" s="10">
        <v>0.1177387138258723</v>
      </c>
      <c r="F294" s="10" t="s">
        <v>243</v>
      </c>
      <c r="G294" s="10" t="s">
        <v>244</v>
      </c>
    </row>
    <row r="295" spans="1:7" x14ac:dyDescent="0.35">
      <c r="A295" s="100">
        <v>293</v>
      </c>
      <c r="B295" s="10" t="s">
        <v>241</v>
      </c>
      <c r="C295" s="149" t="s">
        <v>246</v>
      </c>
      <c r="D295" s="10">
        <v>2041</v>
      </c>
      <c r="E295" s="10">
        <v>0.12507344933408149</v>
      </c>
      <c r="F295" s="10" t="s">
        <v>243</v>
      </c>
      <c r="G295" s="10" t="s">
        <v>244</v>
      </c>
    </row>
    <row r="296" spans="1:7" x14ac:dyDescent="0.35">
      <c r="A296" s="100">
        <v>294</v>
      </c>
      <c r="B296" s="10" t="s">
        <v>241</v>
      </c>
      <c r="C296" s="149" t="s">
        <v>246</v>
      </c>
      <c r="D296" s="10">
        <v>2042</v>
      </c>
      <c r="E296" s="10">
        <v>0.13260440573577631</v>
      </c>
      <c r="F296" s="10" t="s">
        <v>243</v>
      </c>
      <c r="G296" s="10" t="s">
        <v>244</v>
      </c>
    </row>
    <row r="297" spans="1:7" x14ac:dyDescent="0.35">
      <c r="A297" s="100">
        <v>295</v>
      </c>
      <c r="B297" s="10" t="s">
        <v>241</v>
      </c>
      <c r="C297" s="149" t="s">
        <v>246</v>
      </c>
      <c r="D297" s="10">
        <v>2043</v>
      </c>
      <c r="E297" s="10">
        <v>0.14033158303107029</v>
      </c>
      <c r="F297" s="10" t="s">
        <v>243</v>
      </c>
      <c r="G297" s="10" t="s">
        <v>244</v>
      </c>
    </row>
    <row r="298" spans="1:7" x14ac:dyDescent="0.35">
      <c r="A298" s="100">
        <v>296</v>
      </c>
      <c r="B298" s="10" t="s">
        <v>241</v>
      </c>
      <c r="C298" s="149" t="s">
        <v>246</v>
      </c>
      <c r="D298" s="10">
        <v>2044</v>
      </c>
      <c r="E298" s="10">
        <v>0.1482549812199068</v>
      </c>
      <c r="F298" s="10" t="s">
        <v>243</v>
      </c>
      <c r="G298" s="10" t="s">
        <v>244</v>
      </c>
    </row>
    <row r="299" spans="1:7" x14ac:dyDescent="0.35">
      <c r="A299" s="100">
        <v>297</v>
      </c>
      <c r="B299" s="10" t="s">
        <v>241</v>
      </c>
      <c r="C299" s="149" t="s">
        <v>246</v>
      </c>
      <c r="D299" s="10">
        <v>2045</v>
      </c>
      <c r="E299" s="10">
        <v>0.1563746003022857</v>
      </c>
      <c r="F299" s="10" t="s">
        <v>243</v>
      </c>
      <c r="G299" s="10" t="s">
        <v>244</v>
      </c>
    </row>
    <row r="300" spans="1:7" x14ac:dyDescent="0.35">
      <c r="A300" s="100">
        <v>298</v>
      </c>
      <c r="B300" s="10" t="s">
        <v>241</v>
      </c>
      <c r="C300" s="149" t="s">
        <v>246</v>
      </c>
      <c r="D300" s="10">
        <v>2046</v>
      </c>
      <c r="E300" s="10">
        <v>0.16469044027820701</v>
      </c>
      <c r="F300" s="10" t="s">
        <v>243</v>
      </c>
      <c r="G300" s="10" t="s">
        <v>244</v>
      </c>
    </row>
    <row r="301" spans="1:7" x14ac:dyDescent="0.35">
      <c r="A301" s="100">
        <v>299</v>
      </c>
      <c r="B301" s="10" t="s">
        <v>241</v>
      </c>
      <c r="C301" s="149" t="s">
        <v>246</v>
      </c>
      <c r="D301" s="10">
        <v>2047</v>
      </c>
      <c r="E301" s="10">
        <v>0.1732025011476708</v>
      </c>
      <c r="F301" s="10" t="s">
        <v>243</v>
      </c>
      <c r="G301" s="10" t="s">
        <v>244</v>
      </c>
    </row>
    <row r="302" spans="1:7" x14ac:dyDescent="0.35">
      <c r="A302" s="100">
        <v>300</v>
      </c>
      <c r="B302" s="10" t="s">
        <v>241</v>
      </c>
      <c r="C302" s="149" t="s">
        <v>246</v>
      </c>
      <c r="D302" s="10">
        <v>2048</v>
      </c>
      <c r="E302" s="10">
        <v>0.18191078291073379</v>
      </c>
      <c r="F302" s="10" t="s">
        <v>243</v>
      </c>
      <c r="G302" s="10" t="s">
        <v>244</v>
      </c>
    </row>
    <row r="303" spans="1:7" x14ac:dyDescent="0.35">
      <c r="A303" s="100">
        <v>301</v>
      </c>
      <c r="B303" s="10" t="s">
        <v>241</v>
      </c>
      <c r="C303" s="149" t="s">
        <v>246</v>
      </c>
      <c r="D303" s="10">
        <v>2049</v>
      </c>
      <c r="E303" s="10">
        <v>0.19081528556733929</v>
      </c>
      <c r="F303" s="10" t="s">
        <v>243</v>
      </c>
      <c r="G303" s="10" t="s">
        <v>244</v>
      </c>
    </row>
    <row r="304" spans="1:7" x14ac:dyDescent="0.35">
      <c r="A304" s="100">
        <v>302</v>
      </c>
      <c r="B304" s="10" t="s">
        <v>241</v>
      </c>
      <c r="C304" s="149" t="s">
        <v>246</v>
      </c>
      <c r="D304" s="10">
        <v>2050</v>
      </c>
      <c r="E304" s="10">
        <v>0.19991600911743029</v>
      </c>
      <c r="F304" s="10" t="s">
        <v>243</v>
      </c>
      <c r="G304" s="10" t="s">
        <v>244</v>
      </c>
    </row>
    <row r="305" spans="1:7" x14ac:dyDescent="0.35">
      <c r="A305" s="100">
        <v>303</v>
      </c>
      <c r="B305" s="10" t="s">
        <v>241</v>
      </c>
      <c r="C305" s="10" t="s">
        <v>247</v>
      </c>
      <c r="D305" s="10">
        <v>1950</v>
      </c>
      <c r="E305" s="10">
        <v>0</v>
      </c>
      <c r="F305" s="10" t="s">
        <v>243</v>
      </c>
      <c r="G305" s="10" t="s">
        <v>244</v>
      </c>
    </row>
    <row r="306" spans="1:7" x14ac:dyDescent="0.35">
      <c r="A306" s="100">
        <v>304</v>
      </c>
      <c r="B306" s="10" t="s">
        <v>241</v>
      </c>
      <c r="C306" s="10" t="s">
        <v>247</v>
      </c>
      <c r="D306" s="10">
        <v>1951</v>
      </c>
      <c r="E306" s="10">
        <v>0</v>
      </c>
      <c r="F306" s="10" t="s">
        <v>243</v>
      </c>
      <c r="G306" s="10" t="s">
        <v>244</v>
      </c>
    </row>
    <row r="307" spans="1:7" x14ac:dyDescent="0.35">
      <c r="A307" s="100">
        <v>305</v>
      </c>
      <c r="B307" s="10" t="s">
        <v>241</v>
      </c>
      <c r="C307" s="10" t="s">
        <v>247</v>
      </c>
      <c r="D307" s="10">
        <v>1952</v>
      </c>
      <c r="E307" s="10">
        <v>0</v>
      </c>
      <c r="F307" s="10" t="s">
        <v>243</v>
      </c>
      <c r="G307" s="10" t="s">
        <v>244</v>
      </c>
    </row>
    <row r="308" spans="1:7" x14ac:dyDescent="0.35">
      <c r="A308" s="100">
        <v>306</v>
      </c>
      <c r="B308" s="10" t="s">
        <v>241</v>
      </c>
      <c r="C308" s="10" t="s">
        <v>247</v>
      </c>
      <c r="D308" s="10">
        <v>1953</v>
      </c>
      <c r="E308" s="10">
        <v>0</v>
      </c>
      <c r="F308" s="10" t="s">
        <v>243</v>
      </c>
      <c r="G308" s="10" t="s">
        <v>244</v>
      </c>
    </row>
    <row r="309" spans="1:7" x14ac:dyDescent="0.35">
      <c r="A309" s="100">
        <v>307</v>
      </c>
      <c r="B309" s="10" t="s">
        <v>241</v>
      </c>
      <c r="C309" s="10" t="s">
        <v>247</v>
      </c>
      <c r="D309" s="10">
        <v>1954</v>
      </c>
      <c r="E309" s="10">
        <v>0</v>
      </c>
      <c r="F309" s="10" t="s">
        <v>243</v>
      </c>
      <c r="G309" s="10" t="s">
        <v>244</v>
      </c>
    </row>
    <row r="310" spans="1:7" x14ac:dyDescent="0.35">
      <c r="A310" s="100">
        <v>308</v>
      </c>
      <c r="B310" s="10" t="s">
        <v>241</v>
      </c>
      <c r="C310" s="10" t="s">
        <v>247</v>
      </c>
      <c r="D310" s="10">
        <v>1955</v>
      </c>
      <c r="E310" s="10">
        <v>0</v>
      </c>
      <c r="F310" s="10" t="s">
        <v>243</v>
      </c>
      <c r="G310" s="10" t="s">
        <v>244</v>
      </c>
    </row>
    <row r="311" spans="1:7" x14ac:dyDescent="0.35">
      <c r="A311" s="100">
        <v>309</v>
      </c>
      <c r="B311" s="10" t="s">
        <v>241</v>
      </c>
      <c r="C311" s="10" t="s">
        <v>247</v>
      </c>
      <c r="D311" s="10">
        <v>1956</v>
      </c>
      <c r="E311" s="10">
        <v>0</v>
      </c>
      <c r="F311" s="10" t="s">
        <v>243</v>
      </c>
      <c r="G311" s="10" t="s">
        <v>244</v>
      </c>
    </row>
    <row r="312" spans="1:7" x14ac:dyDescent="0.35">
      <c r="A312" s="100">
        <v>310</v>
      </c>
      <c r="B312" s="10" t="s">
        <v>241</v>
      </c>
      <c r="C312" s="10" t="s">
        <v>247</v>
      </c>
      <c r="D312" s="10">
        <v>1957</v>
      </c>
      <c r="E312" s="10">
        <v>0</v>
      </c>
      <c r="F312" s="10" t="s">
        <v>243</v>
      </c>
      <c r="G312" s="10" t="s">
        <v>244</v>
      </c>
    </row>
    <row r="313" spans="1:7" x14ac:dyDescent="0.35">
      <c r="A313" s="100">
        <v>311</v>
      </c>
      <c r="B313" s="10" t="s">
        <v>241</v>
      </c>
      <c r="C313" s="10" t="s">
        <v>247</v>
      </c>
      <c r="D313" s="10">
        <v>1958</v>
      </c>
      <c r="E313" s="10">
        <v>0</v>
      </c>
      <c r="F313" s="10" t="s">
        <v>243</v>
      </c>
      <c r="G313" s="10" t="s">
        <v>244</v>
      </c>
    </row>
    <row r="314" spans="1:7" x14ac:dyDescent="0.35">
      <c r="A314" s="100">
        <v>312</v>
      </c>
      <c r="B314" s="10" t="s">
        <v>241</v>
      </c>
      <c r="C314" s="10" t="s">
        <v>247</v>
      </c>
      <c r="D314" s="10">
        <v>1959</v>
      </c>
      <c r="E314" s="10">
        <v>0</v>
      </c>
      <c r="F314" s="10" t="s">
        <v>243</v>
      </c>
      <c r="G314" s="10" t="s">
        <v>244</v>
      </c>
    </row>
    <row r="315" spans="1:7" x14ac:dyDescent="0.35">
      <c r="A315" s="100">
        <v>313</v>
      </c>
      <c r="B315" s="10" t="s">
        <v>241</v>
      </c>
      <c r="C315" s="10" t="s">
        <v>247</v>
      </c>
      <c r="D315" s="10">
        <v>1960</v>
      </c>
      <c r="E315" s="10">
        <v>0</v>
      </c>
      <c r="F315" s="10" t="s">
        <v>243</v>
      </c>
      <c r="G315" s="10" t="s">
        <v>244</v>
      </c>
    </row>
    <row r="316" spans="1:7" x14ac:dyDescent="0.35">
      <c r="A316" s="100">
        <v>314</v>
      </c>
      <c r="B316" s="10" t="s">
        <v>241</v>
      </c>
      <c r="C316" s="10" t="s">
        <v>247</v>
      </c>
      <c r="D316" s="10">
        <v>1961</v>
      </c>
      <c r="E316" s="10">
        <v>0</v>
      </c>
      <c r="F316" s="10" t="s">
        <v>243</v>
      </c>
      <c r="G316" s="10" t="s">
        <v>244</v>
      </c>
    </row>
    <row r="317" spans="1:7" x14ac:dyDescent="0.35">
      <c r="A317" s="100">
        <v>315</v>
      </c>
      <c r="B317" s="10" t="s">
        <v>241</v>
      </c>
      <c r="C317" s="10" t="s">
        <v>247</v>
      </c>
      <c r="D317" s="10">
        <v>1962</v>
      </c>
      <c r="E317" s="10">
        <v>0</v>
      </c>
      <c r="F317" s="10" t="s">
        <v>243</v>
      </c>
      <c r="G317" s="10" t="s">
        <v>244</v>
      </c>
    </row>
    <row r="318" spans="1:7" x14ac:dyDescent="0.35">
      <c r="A318" s="100">
        <v>316</v>
      </c>
      <c r="B318" s="10" t="s">
        <v>241</v>
      </c>
      <c r="C318" s="10" t="s">
        <v>247</v>
      </c>
      <c r="D318" s="10">
        <v>1963</v>
      </c>
      <c r="E318" s="10">
        <v>0</v>
      </c>
      <c r="F318" s="10" t="s">
        <v>243</v>
      </c>
      <c r="G318" s="10" t="s">
        <v>244</v>
      </c>
    </row>
    <row r="319" spans="1:7" x14ac:dyDescent="0.35">
      <c r="A319" s="100">
        <v>317</v>
      </c>
      <c r="B319" s="10" t="s">
        <v>241</v>
      </c>
      <c r="C319" s="10" t="s">
        <v>247</v>
      </c>
      <c r="D319" s="10">
        <v>1964</v>
      </c>
      <c r="E319" s="10">
        <v>0</v>
      </c>
      <c r="F319" s="10" t="s">
        <v>243</v>
      </c>
      <c r="G319" s="10" t="s">
        <v>244</v>
      </c>
    </row>
    <row r="320" spans="1:7" x14ac:dyDescent="0.35">
      <c r="A320" s="100">
        <v>318</v>
      </c>
      <c r="B320" s="10" t="s">
        <v>241</v>
      </c>
      <c r="C320" s="10" t="s">
        <v>247</v>
      </c>
      <c r="D320" s="10">
        <v>1965</v>
      </c>
      <c r="E320" s="10">
        <v>0</v>
      </c>
      <c r="F320" s="10" t="s">
        <v>243</v>
      </c>
      <c r="G320" s="10" t="s">
        <v>244</v>
      </c>
    </row>
    <row r="321" spans="1:7" x14ac:dyDescent="0.35">
      <c r="A321" s="100">
        <v>319</v>
      </c>
      <c r="B321" s="10" t="s">
        <v>241</v>
      </c>
      <c r="C321" s="10" t="s">
        <v>247</v>
      </c>
      <c r="D321" s="10">
        <v>1966</v>
      </c>
      <c r="E321" s="10">
        <v>0</v>
      </c>
      <c r="F321" s="10" t="s">
        <v>243</v>
      </c>
      <c r="G321" s="10" t="s">
        <v>244</v>
      </c>
    </row>
    <row r="322" spans="1:7" x14ac:dyDescent="0.35">
      <c r="A322" s="100">
        <v>320</v>
      </c>
      <c r="B322" s="10" t="s">
        <v>241</v>
      </c>
      <c r="C322" s="10" t="s">
        <v>247</v>
      </c>
      <c r="D322" s="10">
        <v>1967</v>
      </c>
      <c r="E322" s="10">
        <v>0</v>
      </c>
      <c r="F322" s="10" t="s">
        <v>243</v>
      </c>
      <c r="G322" s="10" t="s">
        <v>244</v>
      </c>
    </row>
    <row r="323" spans="1:7" x14ac:dyDescent="0.35">
      <c r="A323" s="100">
        <v>321</v>
      </c>
      <c r="B323" s="10" t="s">
        <v>241</v>
      </c>
      <c r="C323" s="10" t="s">
        <v>247</v>
      </c>
      <c r="D323" s="10">
        <v>1968</v>
      </c>
      <c r="E323" s="10">
        <v>0</v>
      </c>
      <c r="F323" s="10" t="s">
        <v>243</v>
      </c>
      <c r="G323" s="10" t="s">
        <v>244</v>
      </c>
    </row>
    <row r="324" spans="1:7" x14ac:dyDescent="0.35">
      <c r="A324" s="100">
        <v>322</v>
      </c>
      <c r="B324" s="10" t="s">
        <v>241</v>
      </c>
      <c r="C324" s="10" t="s">
        <v>247</v>
      </c>
      <c r="D324" s="10">
        <v>1969</v>
      </c>
      <c r="E324" s="10">
        <v>0</v>
      </c>
      <c r="F324" s="10" t="s">
        <v>243</v>
      </c>
      <c r="G324" s="10" t="s">
        <v>244</v>
      </c>
    </row>
    <row r="325" spans="1:7" x14ac:dyDescent="0.35">
      <c r="A325" s="100">
        <v>323</v>
      </c>
      <c r="B325" s="10" t="s">
        <v>241</v>
      </c>
      <c r="C325" s="10" t="s">
        <v>247</v>
      </c>
      <c r="D325" s="10">
        <v>1970</v>
      </c>
      <c r="E325" s="10">
        <v>0</v>
      </c>
      <c r="F325" s="10" t="s">
        <v>243</v>
      </c>
      <c r="G325" s="10" t="s">
        <v>244</v>
      </c>
    </row>
    <row r="326" spans="1:7" x14ac:dyDescent="0.35">
      <c r="A326" s="100">
        <v>324</v>
      </c>
      <c r="B326" s="10" t="s">
        <v>241</v>
      </c>
      <c r="C326" s="10" t="s">
        <v>247</v>
      </c>
      <c r="D326" s="10">
        <v>1971</v>
      </c>
      <c r="E326" s="10">
        <v>0</v>
      </c>
      <c r="F326" s="10" t="s">
        <v>243</v>
      </c>
      <c r="G326" s="10" t="s">
        <v>244</v>
      </c>
    </row>
    <row r="327" spans="1:7" x14ac:dyDescent="0.35">
      <c r="A327" s="100">
        <v>325</v>
      </c>
      <c r="B327" s="10" t="s">
        <v>241</v>
      </c>
      <c r="C327" s="10" t="s">
        <v>247</v>
      </c>
      <c r="D327" s="10">
        <v>1972</v>
      </c>
      <c r="E327" s="10">
        <v>0</v>
      </c>
      <c r="F327" s="10" t="s">
        <v>243</v>
      </c>
      <c r="G327" s="10" t="s">
        <v>244</v>
      </c>
    </row>
    <row r="328" spans="1:7" x14ac:dyDescent="0.35">
      <c r="A328" s="100">
        <v>326</v>
      </c>
      <c r="B328" s="10" t="s">
        <v>241</v>
      </c>
      <c r="C328" s="10" t="s">
        <v>247</v>
      </c>
      <c r="D328" s="10">
        <v>1973</v>
      </c>
      <c r="E328" s="10">
        <v>0</v>
      </c>
      <c r="F328" s="10" t="s">
        <v>243</v>
      </c>
      <c r="G328" s="10" t="s">
        <v>244</v>
      </c>
    </row>
    <row r="329" spans="1:7" x14ac:dyDescent="0.35">
      <c r="A329" s="100">
        <v>327</v>
      </c>
      <c r="B329" s="10" t="s">
        <v>241</v>
      </c>
      <c r="C329" s="10" t="s">
        <v>247</v>
      </c>
      <c r="D329" s="10">
        <v>1974</v>
      </c>
      <c r="E329" s="10">
        <v>0</v>
      </c>
      <c r="F329" s="10" t="s">
        <v>243</v>
      </c>
      <c r="G329" s="10" t="s">
        <v>244</v>
      </c>
    </row>
    <row r="330" spans="1:7" x14ac:dyDescent="0.35">
      <c r="A330" s="100">
        <v>328</v>
      </c>
      <c r="B330" s="10" t="s">
        <v>241</v>
      </c>
      <c r="C330" s="10" t="s">
        <v>247</v>
      </c>
      <c r="D330" s="10">
        <v>1975</v>
      </c>
      <c r="E330" s="10">
        <v>0</v>
      </c>
      <c r="F330" s="10" t="s">
        <v>243</v>
      </c>
      <c r="G330" s="10" t="s">
        <v>244</v>
      </c>
    </row>
    <row r="331" spans="1:7" x14ac:dyDescent="0.35">
      <c r="A331" s="100">
        <v>329</v>
      </c>
      <c r="B331" s="10" t="s">
        <v>241</v>
      </c>
      <c r="C331" s="10" t="s">
        <v>247</v>
      </c>
      <c r="D331" s="10">
        <v>1976</v>
      </c>
      <c r="E331" s="10">
        <v>0</v>
      </c>
      <c r="F331" s="10" t="s">
        <v>243</v>
      </c>
      <c r="G331" s="10" t="s">
        <v>244</v>
      </c>
    </row>
    <row r="332" spans="1:7" x14ac:dyDescent="0.35">
      <c r="A332" s="100">
        <v>330</v>
      </c>
      <c r="B332" s="10" t="s">
        <v>241</v>
      </c>
      <c r="C332" s="10" t="s">
        <v>247</v>
      </c>
      <c r="D332" s="10">
        <v>1977</v>
      </c>
      <c r="E332" s="10">
        <v>0</v>
      </c>
      <c r="F332" s="10" t="s">
        <v>243</v>
      </c>
      <c r="G332" s="10" t="s">
        <v>244</v>
      </c>
    </row>
    <row r="333" spans="1:7" x14ac:dyDescent="0.35">
      <c r="A333" s="100">
        <v>331</v>
      </c>
      <c r="B333" s="10" t="s">
        <v>241</v>
      </c>
      <c r="C333" s="10" t="s">
        <v>247</v>
      </c>
      <c r="D333" s="10">
        <v>1978</v>
      </c>
      <c r="E333" s="10">
        <v>0</v>
      </c>
      <c r="F333" s="10" t="s">
        <v>243</v>
      </c>
      <c r="G333" s="10" t="s">
        <v>244</v>
      </c>
    </row>
    <row r="334" spans="1:7" x14ac:dyDescent="0.35">
      <c r="A334" s="100">
        <v>332</v>
      </c>
      <c r="B334" s="10" t="s">
        <v>241</v>
      </c>
      <c r="C334" s="10" t="s">
        <v>247</v>
      </c>
      <c r="D334" s="10">
        <v>1979</v>
      </c>
      <c r="E334" s="10">
        <v>0</v>
      </c>
      <c r="F334" s="10" t="s">
        <v>243</v>
      </c>
      <c r="G334" s="10" t="s">
        <v>244</v>
      </c>
    </row>
    <row r="335" spans="1:7" x14ac:dyDescent="0.35">
      <c r="A335" s="100">
        <v>333</v>
      </c>
      <c r="B335" s="10" t="s">
        <v>241</v>
      </c>
      <c r="C335" s="10" t="s">
        <v>247</v>
      </c>
      <c r="D335" s="10">
        <v>1980</v>
      </c>
      <c r="E335" s="10">
        <v>0</v>
      </c>
      <c r="F335" s="10" t="s">
        <v>243</v>
      </c>
      <c r="G335" s="10" t="s">
        <v>244</v>
      </c>
    </row>
    <row r="336" spans="1:7" x14ac:dyDescent="0.35">
      <c r="A336" s="100">
        <v>334</v>
      </c>
      <c r="B336" s="10" t="s">
        <v>241</v>
      </c>
      <c r="C336" s="10" t="s">
        <v>247</v>
      </c>
      <c r="D336" s="10">
        <v>1981</v>
      </c>
      <c r="E336" s="10">
        <v>0</v>
      </c>
      <c r="F336" s="10" t="s">
        <v>243</v>
      </c>
      <c r="G336" s="10" t="s">
        <v>244</v>
      </c>
    </row>
    <row r="337" spans="1:7" x14ac:dyDescent="0.35">
      <c r="A337" s="100">
        <v>335</v>
      </c>
      <c r="B337" s="10" t="s">
        <v>241</v>
      </c>
      <c r="C337" s="10" t="s">
        <v>247</v>
      </c>
      <c r="D337" s="10">
        <v>1982</v>
      </c>
      <c r="E337" s="10">
        <v>0</v>
      </c>
      <c r="F337" s="10" t="s">
        <v>243</v>
      </c>
      <c r="G337" s="10" t="s">
        <v>244</v>
      </c>
    </row>
    <row r="338" spans="1:7" x14ac:dyDescent="0.35">
      <c r="A338" s="100">
        <v>336</v>
      </c>
      <c r="B338" s="10" t="s">
        <v>241</v>
      </c>
      <c r="C338" s="10" t="s">
        <v>247</v>
      </c>
      <c r="D338" s="10">
        <v>1983</v>
      </c>
      <c r="E338" s="10">
        <v>0</v>
      </c>
      <c r="F338" s="10" t="s">
        <v>243</v>
      </c>
      <c r="G338" s="10" t="s">
        <v>244</v>
      </c>
    </row>
    <row r="339" spans="1:7" x14ac:dyDescent="0.35">
      <c r="A339" s="100">
        <v>337</v>
      </c>
      <c r="B339" s="10" t="s">
        <v>241</v>
      </c>
      <c r="C339" s="10" t="s">
        <v>247</v>
      </c>
      <c r="D339" s="10">
        <v>1984</v>
      </c>
      <c r="E339" s="10">
        <v>0</v>
      </c>
      <c r="F339" s="10" t="s">
        <v>243</v>
      </c>
      <c r="G339" s="10" t="s">
        <v>244</v>
      </c>
    </row>
    <row r="340" spans="1:7" x14ac:dyDescent="0.35">
      <c r="A340" s="100">
        <v>338</v>
      </c>
      <c r="B340" s="10" t="s">
        <v>241</v>
      </c>
      <c r="C340" s="10" t="s">
        <v>247</v>
      </c>
      <c r="D340" s="10">
        <v>1985</v>
      </c>
      <c r="E340" s="10">
        <v>0</v>
      </c>
      <c r="F340" s="10" t="s">
        <v>243</v>
      </c>
      <c r="G340" s="10" t="s">
        <v>244</v>
      </c>
    </row>
    <row r="341" spans="1:7" x14ac:dyDescent="0.35">
      <c r="A341" s="100">
        <v>339</v>
      </c>
      <c r="B341" s="10" t="s">
        <v>241</v>
      </c>
      <c r="C341" s="10" t="s">
        <v>247</v>
      </c>
      <c r="D341" s="10">
        <v>1986</v>
      </c>
      <c r="E341" s="10">
        <v>0</v>
      </c>
      <c r="F341" s="10" t="s">
        <v>243</v>
      </c>
      <c r="G341" s="10" t="s">
        <v>244</v>
      </c>
    </row>
    <row r="342" spans="1:7" x14ac:dyDescent="0.35">
      <c r="A342" s="100">
        <v>340</v>
      </c>
      <c r="B342" s="10" t="s">
        <v>241</v>
      </c>
      <c r="C342" s="10" t="s">
        <v>247</v>
      </c>
      <c r="D342" s="10">
        <v>1987</v>
      </c>
      <c r="E342" s="10">
        <v>0</v>
      </c>
      <c r="F342" s="10" t="s">
        <v>243</v>
      </c>
      <c r="G342" s="10" t="s">
        <v>244</v>
      </c>
    </row>
    <row r="343" spans="1:7" x14ac:dyDescent="0.35">
      <c r="A343" s="100">
        <v>341</v>
      </c>
      <c r="B343" s="10" t="s">
        <v>241</v>
      </c>
      <c r="C343" s="10" t="s">
        <v>247</v>
      </c>
      <c r="D343" s="10">
        <v>1988</v>
      </c>
      <c r="E343" s="10">
        <v>0</v>
      </c>
      <c r="F343" s="10" t="s">
        <v>243</v>
      </c>
      <c r="G343" s="10" t="s">
        <v>244</v>
      </c>
    </row>
    <row r="344" spans="1:7" x14ac:dyDescent="0.35">
      <c r="A344" s="100">
        <v>342</v>
      </c>
      <c r="B344" s="10" t="s">
        <v>241</v>
      </c>
      <c r="C344" s="10" t="s">
        <v>247</v>
      </c>
      <c r="D344" s="10">
        <v>1989</v>
      </c>
      <c r="E344" s="10">
        <v>0</v>
      </c>
      <c r="F344" s="10" t="s">
        <v>243</v>
      </c>
      <c r="G344" s="10" t="s">
        <v>244</v>
      </c>
    </row>
    <row r="345" spans="1:7" x14ac:dyDescent="0.35">
      <c r="A345" s="100">
        <v>343</v>
      </c>
      <c r="B345" s="10" t="s">
        <v>241</v>
      </c>
      <c r="C345" s="10" t="s">
        <v>247</v>
      </c>
      <c r="D345" s="10">
        <v>1990</v>
      </c>
      <c r="E345" s="10">
        <v>0</v>
      </c>
      <c r="F345" s="10" t="s">
        <v>243</v>
      </c>
      <c r="G345" s="10" t="s">
        <v>244</v>
      </c>
    </row>
    <row r="346" spans="1:7" x14ac:dyDescent="0.35">
      <c r="A346" s="100">
        <v>344</v>
      </c>
      <c r="B346" s="10" t="s">
        <v>241</v>
      </c>
      <c r="C346" s="10" t="s">
        <v>247</v>
      </c>
      <c r="D346" s="10">
        <v>1991</v>
      </c>
      <c r="E346" s="10">
        <v>0</v>
      </c>
      <c r="F346" s="10" t="s">
        <v>243</v>
      </c>
      <c r="G346" s="10" t="s">
        <v>244</v>
      </c>
    </row>
    <row r="347" spans="1:7" x14ac:dyDescent="0.35">
      <c r="A347" s="100">
        <v>345</v>
      </c>
      <c r="B347" s="10" t="s">
        <v>241</v>
      </c>
      <c r="C347" s="10" t="s">
        <v>247</v>
      </c>
      <c r="D347" s="10">
        <v>1992</v>
      </c>
      <c r="E347" s="10">
        <v>0</v>
      </c>
      <c r="F347" s="10" t="s">
        <v>243</v>
      </c>
      <c r="G347" s="10" t="s">
        <v>244</v>
      </c>
    </row>
    <row r="348" spans="1:7" x14ac:dyDescent="0.35">
      <c r="A348" s="100">
        <v>346</v>
      </c>
      <c r="B348" s="10" t="s">
        <v>241</v>
      </c>
      <c r="C348" s="10" t="s">
        <v>247</v>
      </c>
      <c r="D348" s="10">
        <v>1993</v>
      </c>
      <c r="E348" s="10">
        <v>0</v>
      </c>
      <c r="F348" s="10" t="s">
        <v>243</v>
      </c>
      <c r="G348" s="10" t="s">
        <v>244</v>
      </c>
    </row>
    <row r="349" spans="1:7" x14ac:dyDescent="0.35">
      <c r="A349" s="100">
        <v>347</v>
      </c>
      <c r="B349" s="10" t="s">
        <v>241</v>
      </c>
      <c r="C349" s="10" t="s">
        <v>247</v>
      </c>
      <c r="D349" s="10">
        <v>1994</v>
      </c>
      <c r="E349" s="10">
        <v>0</v>
      </c>
      <c r="F349" s="10" t="s">
        <v>243</v>
      </c>
      <c r="G349" s="10" t="s">
        <v>244</v>
      </c>
    </row>
    <row r="350" spans="1:7" x14ac:dyDescent="0.35">
      <c r="A350" s="100">
        <v>348</v>
      </c>
      <c r="B350" s="10" t="s">
        <v>241</v>
      </c>
      <c r="C350" s="10" t="s">
        <v>247</v>
      </c>
      <c r="D350" s="10">
        <v>1995</v>
      </c>
      <c r="E350" s="10">
        <v>0</v>
      </c>
      <c r="F350" s="10" t="s">
        <v>243</v>
      </c>
      <c r="G350" s="10" t="s">
        <v>244</v>
      </c>
    </row>
    <row r="351" spans="1:7" x14ac:dyDescent="0.35">
      <c r="A351" s="100">
        <v>349</v>
      </c>
      <c r="B351" s="10" t="s">
        <v>241</v>
      </c>
      <c r="C351" s="10" t="s">
        <v>247</v>
      </c>
      <c r="D351" s="10">
        <v>1996</v>
      </c>
      <c r="E351" s="10">
        <v>0</v>
      </c>
      <c r="F351" s="10" t="s">
        <v>243</v>
      </c>
      <c r="G351" s="10" t="s">
        <v>244</v>
      </c>
    </row>
    <row r="352" spans="1:7" x14ac:dyDescent="0.35">
      <c r="A352" s="100">
        <v>350</v>
      </c>
      <c r="B352" s="10" t="s">
        <v>241</v>
      </c>
      <c r="C352" s="10" t="s">
        <v>247</v>
      </c>
      <c r="D352" s="10">
        <v>1997</v>
      </c>
      <c r="E352" s="10">
        <v>0</v>
      </c>
      <c r="F352" s="10" t="s">
        <v>243</v>
      </c>
      <c r="G352" s="10" t="s">
        <v>244</v>
      </c>
    </row>
    <row r="353" spans="1:7" x14ac:dyDescent="0.35">
      <c r="A353" s="100">
        <v>351</v>
      </c>
      <c r="B353" s="10" t="s">
        <v>241</v>
      </c>
      <c r="C353" s="10" t="s">
        <v>247</v>
      </c>
      <c r="D353" s="10">
        <v>1998</v>
      </c>
      <c r="E353" s="10">
        <v>0</v>
      </c>
      <c r="F353" s="10" t="s">
        <v>243</v>
      </c>
      <c r="G353" s="10" t="s">
        <v>244</v>
      </c>
    </row>
    <row r="354" spans="1:7" x14ac:dyDescent="0.35">
      <c r="A354" s="100">
        <v>352</v>
      </c>
      <c r="B354" s="10" t="s">
        <v>241</v>
      </c>
      <c r="C354" s="10" t="s">
        <v>247</v>
      </c>
      <c r="D354" s="10">
        <v>1999</v>
      </c>
      <c r="E354" s="10">
        <v>0</v>
      </c>
      <c r="F354" s="10" t="s">
        <v>243</v>
      </c>
      <c r="G354" s="10" t="s">
        <v>244</v>
      </c>
    </row>
    <row r="355" spans="1:7" x14ac:dyDescent="0.35">
      <c r="A355" s="100">
        <v>353</v>
      </c>
      <c r="B355" s="10" t="s">
        <v>241</v>
      </c>
      <c r="C355" s="10" t="s">
        <v>247</v>
      </c>
      <c r="D355" s="10">
        <v>2000</v>
      </c>
      <c r="E355" s="10">
        <v>0</v>
      </c>
      <c r="F355" s="10" t="s">
        <v>243</v>
      </c>
      <c r="G355" s="10" t="s">
        <v>244</v>
      </c>
    </row>
    <row r="356" spans="1:7" x14ac:dyDescent="0.35">
      <c r="A356" s="100">
        <v>354</v>
      </c>
      <c r="B356" s="10" t="s">
        <v>241</v>
      </c>
      <c r="C356" s="10" t="s">
        <v>247</v>
      </c>
      <c r="D356" s="10">
        <v>2001</v>
      </c>
      <c r="E356" s="10">
        <v>0</v>
      </c>
      <c r="F356" s="10" t="s">
        <v>243</v>
      </c>
      <c r="G356" s="10" t="s">
        <v>244</v>
      </c>
    </row>
    <row r="357" spans="1:7" x14ac:dyDescent="0.35">
      <c r="A357" s="100">
        <v>355</v>
      </c>
      <c r="B357" s="10" t="s">
        <v>241</v>
      </c>
      <c r="C357" s="10" t="s">
        <v>247</v>
      </c>
      <c r="D357" s="10">
        <v>2002</v>
      </c>
      <c r="E357" s="10">
        <v>0</v>
      </c>
      <c r="F357" s="10" t="s">
        <v>243</v>
      </c>
      <c r="G357" s="10" t="s">
        <v>244</v>
      </c>
    </row>
    <row r="358" spans="1:7" x14ac:dyDescent="0.35">
      <c r="A358" s="100">
        <v>356</v>
      </c>
      <c r="B358" s="10" t="s">
        <v>241</v>
      </c>
      <c r="C358" s="10" t="s">
        <v>247</v>
      </c>
      <c r="D358" s="10">
        <v>2003</v>
      </c>
      <c r="E358" s="10">
        <v>0</v>
      </c>
      <c r="F358" s="10" t="s">
        <v>243</v>
      </c>
      <c r="G358" s="10" t="s">
        <v>244</v>
      </c>
    </row>
    <row r="359" spans="1:7" x14ac:dyDescent="0.35">
      <c r="A359" s="100">
        <v>357</v>
      </c>
      <c r="B359" s="10" t="s">
        <v>241</v>
      </c>
      <c r="C359" s="10" t="s">
        <v>247</v>
      </c>
      <c r="D359" s="10">
        <v>2004</v>
      </c>
      <c r="E359" s="10">
        <v>0</v>
      </c>
      <c r="F359" s="10" t="s">
        <v>243</v>
      </c>
      <c r="G359" s="10" t="s">
        <v>244</v>
      </c>
    </row>
    <row r="360" spans="1:7" x14ac:dyDescent="0.35">
      <c r="A360" s="100">
        <v>358</v>
      </c>
      <c r="B360" s="10" t="s">
        <v>241</v>
      </c>
      <c r="C360" s="10" t="s">
        <v>247</v>
      </c>
      <c r="D360" s="10">
        <v>2005</v>
      </c>
      <c r="E360" s="10">
        <v>0</v>
      </c>
      <c r="F360" s="10" t="s">
        <v>243</v>
      </c>
      <c r="G360" s="10" t="s">
        <v>244</v>
      </c>
    </row>
    <row r="361" spans="1:7" x14ac:dyDescent="0.35">
      <c r="A361" s="100">
        <v>359</v>
      </c>
      <c r="B361" s="10" t="s">
        <v>241</v>
      </c>
      <c r="C361" s="10" t="s">
        <v>247</v>
      </c>
      <c r="D361" s="10">
        <v>2006</v>
      </c>
      <c r="E361" s="10">
        <v>0</v>
      </c>
      <c r="F361" s="10" t="s">
        <v>243</v>
      </c>
      <c r="G361" s="10" t="s">
        <v>244</v>
      </c>
    </row>
    <row r="362" spans="1:7" x14ac:dyDescent="0.35">
      <c r="A362" s="100">
        <v>360</v>
      </c>
      <c r="B362" s="10" t="s">
        <v>241</v>
      </c>
      <c r="C362" s="10" t="s">
        <v>247</v>
      </c>
      <c r="D362" s="10">
        <v>2007</v>
      </c>
      <c r="E362" s="10">
        <v>0</v>
      </c>
      <c r="F362" s="10" t="s">
        <v>243</v>
      </c>
      <c r="G362" s="10" t="s">
        <v>244</v>
      </c>
    </row>
    <row r="363" spans="1:7" x14ac:dyDescent="0.35">
      <c r="A363" s="100">
        <v>361</v>
      </c>
      <c r="B363" s="10" t="s">
        <v>241</v>
      </c>
      <c r="C363" s="10" t="s">
        <v>247</v>
      </c>
      <c r="D363" s="10">
        <v>2008</v>
      </c>
      <c r="E363" s="10">
        <v>0</v>
      </c>
      <c r="F363" s="10" t="s">
        <v>243</v>
      </c>
      <c r="G363" s="10" t="s">
        <v>244</v>
      </c>
    </row>
    <row r="364" spans="1:7" x14ac:dyDescent="0.35">
      <c r="A364" s="100">
        <v>362</v>
      </c>
      <c r="B364" s="10" t="s">
        <v>241</v>
      </c>
      <c r="C364" s="10" t="s">
        <v>247</v>
      </c>
      <c r="D364" s="10">
        <v>2009</v>
      </c>
      <c r="E364" s="10">
        <v>0</v>
      </c>
      <c r="F364" s="10" t="s">
        <v>243</v>
      </c>
      <c r="G364" s="10" t="s">
        <v>244</v>
      </c>
    </row>
    <row r="365" spans="1:7" x14ac:dyDescent="0.35">
      <c r="A365" s="100">
        <v>363</v>
      </c>
      <c r="B365" s="10" t="s">
        <v>241</v>
      </c>
      <c r="C365" s="10" t="s">
        <v>247</v>
      </c>
      <c r="D365" s="10">
        <v>2010</v>
      </c>
      <c r="E365" s="10">
        <v>0</v>
      </c>
      <c r="F365" s="10" t="s">
        <v>243</v>
      </c>
      <c r="G365" s="10" t="s">
        <v>244</v>
      </c>
    </row>
    <row r="366" spans="1:7" x14ac:dyDescent="0.35">
      <c r="A366" s="100">
        <v>364</v>
      </c>
      <c r="B366" s="10" t="s">
        <v>241</v>
      </c>
      <c r="C366" s="10" t="s">
        <v>247</v>
      </c>
      <c r="D366" s="10">
        <v>2011</v>
      </c>
      <c r="E366" s="10">
        <v>0</v>
      </c>
      <c r="F366" s="10" t="s">
        <v>243</v>
      </c>
      <c r="G366" s="10" t="s">
        <v>244</v>
      </c>
    </row>
    <row r="367" spans="1:7" x14ac:dyDescent="0.35">
      <c r="A367" s="100">
        <v>365</v>
      </c>
      <c r="B367" s="10" t="s">
        <v>241</v>
      </c>
      <c r="C367" s="10" t="s">
        <v>247</v>
      </c>
      <c r="D367" s="10">
        <v>2012</v>
      </c>
      <c r="E367" s="10">
        <v>0</v>
      </c>
      <c r="F367" s="10" t="s">
        <v>243</v>
      </c>
      <c r="G367" s="10" t="s">
        <v>244</v>
      </c>
    </row>
    <row r="368" spans="1:7" x14ac:dyDescent="0.35">
      <c r="A368" s="100">
        <v>366</v>
      </c>
      <c r="B368" s="10" t="s">
        <v>241</v>
      </c>
      <c r="C368" s="10" t="s">
        <v>247</v>
      </c>
      <c r="D368" s="10">
        <v>2013</v>
      </c>
      <c r="E368" s="10">
        <v>0</v>
      </c>
      <c r="F368" s="10" t="s">
        <v>243</v>
      </c>
      <c r="G368" s="10" t="s">
        <v>244</v>
      </c>
    </row>
    <row r="369" spans="1:7" x14ac:dyDescent="0.35">
      <c r="A369" s="100">
        <v>367</v>
      </c>
      <c r="B369" s="10" t="s">
        <v>241</v>
      </c>
      <c r="C369" s="10" t="s">
        <v>247</v>
      </c>
      <c r="D369" s="10">
        <v>2014</v>
      </c>
      <c r="E369" s="10">
        <v>0</v>
      </c>
      <c r="F369" s="10" t="s">
        <v>243</v>
      </c>
      <c r="G369" s="10" t="s">
        <v>244</v>
      </c>
    </row>
    <row r="370" spans="1:7" x14ac:dyDescent="0.35">
      <c r="A370" s="100">
        <v>368</v>
      </c>
      <c r="B370" s="10" t="s">
        <v>241</v>
      </c>
      <c r="C370" s="10" t="s">
        <v>247</v>
      </c>
      <c r="D370" s="10">
        <v>2015</v>
      </c>
      <c r="E370" s="10">
        <v>0</v>
      </c>
      <c r="F370" s="10" t="s">
        <v>243</v>
      </c>
      <c r="G370" s="10" t="s">
        <v>244</v>
      </c>
    </row>
    <row r="371" spans="1:7" x14ac:dyDescent="0.35">
      <c r="A371" s="100">
        <v>369</v>
      </c>
      <c r="B371" s="10" t="s">
        <v>241</v>
      </c>
      <c r="C371" s="10" t="s">
        <v>247</v>
      </c>
      <c r="D371" s="10">
        <v>2016</v>
      </c>
      <c r="E371" s="10">
        <v>0</v>
      </c>
      <c r="F371" s="10" t="s">
        <v>243</v>
      </c>
      <c r="G371" s="10" t="s">
        <v>244</v>
      </c>
    </row>
    <row r="372" spans="1:7" x14ac:dyDescent="0.35">
      <c r="A372" s="100">
        <v>370</v>
      </c>
      <c r="B372" s="10" t="s">
        <v>241</v>
      </c>
      <c r="C372" s="10" t="s">
        <v>247</v>
      </c>
      <c r="D372" s="10">
        <v>2017</v>
      </c>
      <c r="E372" s="10">
        <v>0</v>
      </c>
      <c r="F372" s="10" t="s">
        <v>243</v>
      </c>
      <c r="G372" s="10" t="s">
        <v>244</v>
      </c>
    </row>
    <row r="373" spans="1:7" x14ac:dyDescent="0.35">
      <c r="A373" s="100">
        <v>371</v>
      </c>
      <c r="B373" s="10" t="s">
        <v>241</v>
      </c>
      <c r="C373" s="10" t="s">
        <v>247</v>
      </c>
      <c r="D373" s="10">
        <v>2018</v>
      </c>
      <c r="E373" s="10">
        <v>0</v>
      </c>
      <c r="F373" s="10" t="s">
        <v>243</v>
      </c>
      <c r="G373" s="10" t="s">
        <v>244</v>
      </c>
    </row>
    <row r="374" spans="1:7" x14ac:dyDescent="0.35">
      <c r="A374" s="100">
        <v>372</v>
      </c>
      <c r="B374" s="10" t="s">
        <v>241</v>
      </c>
      <c r="C374" s="10" t="s">
        <v>247</v>
      </c>
      <c r="D374" s="10">
        <v>2019</v>
      </c>
      <c r="E374" s="10">
        <v>0</v>
      </c>
      <c r="F374" s="10" t="s">
        <v>243</v>
      </c>
      <c r="G374" s="10" t="s">
        <v>244</v>
      </c>
    </row>
    <row r="375" spans="1:7" x14ac:dyDescent="0.35">
      <c r="A375" s="100">
        <v>373</v>
      </c>
      <c r="B375" s="10" t="s">
        <v>241</v>
      </c>
      <c r="C375" s="10" t="s">
        <v>247</v>
      </c>
      <c r="D375" s="10">
        <v>2020</v>
      </c>
      <c r="E375" s="10">
        <v>0</v>
      </c>
      <c r="F375" s="10" t="s">
        <v>243</v>
      </c>
      <c r="G375" s="10" t="s">
        <v>244</v>
      </c>
    </row>
    <row r="376" spans="1:7" x14ac:dyDescent="0.35">
      <c r="A376" s="100">
        <v>374</v>
      </c>
      <c r="B376" s="10" t="s">
        <v>241</v>
      </c>
      <c r="C376" s="10" t="s">
        <v>247</v>
      </c>
      <c r="D376" s="10">
        <v>2021</v>
      </c>
      <c r="E376" s="10">
        <v>0</v>
      </c>
      <c r="F376" s="10" t="s">
        <v>243</v>
      </c>
      <c r="G376" s="10" t="s">
        <v>244</v>
      </c>
    </row>
    <row r="377" spans="1:7" x14ac:dyDescent="0.35">
      <c r="A377" s="100">
        <v>375</v>
      </c>
      <c r="B377" s="10" t="s">
        <v>241</v>
      </c>
      <c r="C377" s="10" t="s">
        <v>247</v>
      </c>
      <c r="D377" s="10">
        <v>2022</v>
      </c>
      <c r="E377" s="10">
        <v>0</v>
      </c>
      <c r="F377" s="10" t="s">
        <v>243</v>
      </c>
      <c r="G377" s="10" t="s">
        <v>244</v>
      </c>
    </row>
    <row r="378" spans="1:7" x14ac:dyDescent="0.35">
      <c r="A378" s="100">
        <v>376</v>
      </c>
      <c r="B378" s="10" t="s">
        <v>241</v>
      </c>
      <c r="C378" s="10" t="s">
        <v>247</v>
      </c>
      <c r="D378" s="10">
        <v>2023</v>
      </c>
      <c r="E378" s="10">
        <v>0</v>
      </c>
      <c r="F378" s="10" t="s">
        <v>243</v>
      </c>
      <c r="G378" s="10" t="s">
        <v>244</v>
      </c>
    </row>
    <row r="379" spans="1:7" x14ac:dyDescent="0.35">
      <c r="A379" s="100">
        <v>377</v>
      </c>
      <c r="B379" s="10" t="s">
        <v>241</v>
      </c>
      <c r="C379" s="10" t="s">
        <v>247</v>
      </c>
      <c r="D379" s="10">
        <v>2024</v>
      </c>
      <c r="E379" s="10">
        <v>0</v>
      </c>
      <c r="F379" s="10" t="s">
        <v>243</v>
      </c>
      <c r="G379" s="10" t="s">
        <v>244</v>
      </c>
    </row>
    <row r="380" spans="1:7" x14ac:dyDescent="0.35">
      <c r="A380" s="100">
        <v>378</v>
      </c>
      <c r="B380" s="10" t="s">
        <v>241</v>
      </c>
      <c r="C380" s="10" t="s">
        <v>247</v>
      </c>
      <c r="D380" s="10">
        <v>2025</v>
      </c>
      <c r="E380" s="10">
        <v>0</v>
      </c>
      <c r="F380" s="10" t="s">
        <v>243</v>
      </c>
      <c r="G380" s="10" t="s">
        <v>244</v>
      </c>
    </row>
    <row r="381" spans="1:7" x14ac:dyDescent="0.35">
      <c r="A381" s="100">
        <v>379</v>
      </c>
      <c r="B381" s="10" t="s">
        <v>241</v>
      </c>
      <c r="C381" s="10" t="s">
        <v>247</v>
      </c>
      <c r="D381" s="10">
        <v>2026</v>
      </c>
      <c r="E381" s="10">
        <v>0</v>
      </c>
      <c r="F381" s="10" t="s">
        <v>243</v>
      </c>
      <c r="G381" s="10" t="s">
        <v>244</v>
      </c>
    </row>
    <row r="382" spans="1:7" x14ac:dyDescent="0.35">
      <c r="A382" s="100">
        <v>380</v>
      </c>
      <c r="B382" s="10" t="s">
        <v>241</v>
      </c>
      <c r="C382" s="10" t="s">
        <v>247</v>
      </c>
      <c r="D382" s="10">
        <v>2027</v>
      </c>
      <c r="E382" s="10">
        <v>0</v>
      </c>
      <c r="F382" s="10" t="s">
        <v>243</v>
      </c>
      <c r="G382" s="10" t="s">
        <v>244</v>
      </c>
    </row>
    <row r="383" spans="1:7" x14ac:dyDescent="0.35">
      <c r="A383" s="100">
        <v>381</v>
      </c>
      <c r="B383" s="10" t="s">
        <v>241</v>
      </c>
      <c r="C383" s="10" t="s">
        <v>247</v>
      </c>
      <c r="D383" s="10">
        <v>2028</v>
      </c>
      <c r="E383" s="10">
        <v>0</v>
      </c>
      <c r="F383" s="10" t="s">
        <v>243</v>
      </c>
      <c r="G383" s="10" t="s">
        <v>244</v>
      </c>
    </row>
    <row r="384" spans="1:7" x14ac:dyDescent="0.35">
      <c r="A384" s="100">
        <v>382</v>
      </c>
      <c r="B384" s="10" t="s">
        <v>241</v>
      </c>
      <c r="C384" s="10" t="s">
        <v>247</v>
      </c>
      <c r="D384" s="10">
        <v>2029</v>
      </c>
      <c r="E384" s="10">
        <v>0</v>
      </c>
      <c r="F384" s="10" t="s">
        <v>243</v>
      </c>
      <c r="G384" s="10" t="s">
        <v>244</v>
      </c>
    </row>
    <row r="385" spans="1:7" x14ac:dyDescent="0.35">
      <c r="A385" s="100">
        <v>383</v>
      </c>
      <c r="B385" s="10" t="s">
        <v>241</v>
      </c>
      <c r="C385" s="10" t="s">
        <v>247</v>
      </c>
      <c r="D385" s="10">
        <v>2030</v>
      </c>
      <c r="E385" s="10">
        <v>0</v>
      </c>
      <c r="F385" s="10" t="s">
        <v>243</v>
      </c>
      <c r="G385" s="10" t="s">
        <v>244</v>
      </c>
    </row>
    <row r="386" spans="1:7" x14ac:dyDescent="0.35">
      <c r="A386" s="100">
        <v>384</v>
      </c>
      <c r="B386" s="10" t="s">
        <v>241</v>
      </c>
      <c r="C386" s="10" t="s">
        <v>247</v>
      </c>
      <c r="D386" s="10">
        <v>2031</v>
      </c>
      <c r="E386" s="10">
        <v>0</v>
      </c>
      <c r="F386" s="10" t="s">
        <v>243</v>
      </c>
      <c r="G386" s="10" t="s">
        <v>244</v>
      </c>
    </row>
    <row r="387" spans="1:7" x14ac:dyDescent="0.35">
      <c r="A387" s="100">
        <v>385</v>
      </c>
      <c r="B387" s="10" t="s">
        <v>241</v>
      </c>
      <c r="C387" s="10" t="s">
        <v>247</v>
      </c>
      <c r="D387" s="10">
        <v>2032</v>
      </c>
      <c r="E387" s="10">
        <v>0</v>
      </c>
      <c r="F387" s="10" t="s">
        <v>243</v>
      </c>
      <c r="G387" s="10" t="s">
        <v>244</v>
      </c>
    </row>
    <row r="388" spans="1:7" x14ac:dyDescent="0.35">
      <c r="A388" s="100">
        <v>386</v>
      </c>
      <c r="B388" s="10" t="s">
        <v>241</v>
      </c>
      <c r="C388" s="10" t="s">
        <v>247</v>
      </c>
      <c r="D388" s="10">
        <v>2033</v>
      </c>
      <c r="E388" s="10">
        <v>0</v>
      </c>
      <c r="F388" s="10" t="s">
        <v>243</v>
      </c>
      <c r="G388" s="10" t="s">
        <v>244</v>
      </c>
    </row>
    <row r="389" spans="1:7" x14ac:dyDescent="0.35">
      <c r="A389" s="100">
        <v>387</v>
      </c>
      <c r="B389" s="10" t="s">
        <v>241</v>
      </c>
      <c r="C389" s="10" t="s">
        <v>247</v>
      </c>
      <c r="D389" s="10">
        <v>2034</v>
      </c>
      <c r="E389" s="10">
        <v>0</v>
      </c>
      <c r="F389" s="10" t="s">
        <v>243</v>
      </c>
      <c r="G389" s="10" t="s">
        <v>244</v>
      </c>
    </row>
    <row r="390" spans="1:7" x14ac:dyDescent="0.35">
      <c r="A390" s="100">
        <v>388</v>
      </c>
      <c r="B390" s="10" t="s">
        <v>241</v>
      </c>
      <c r="C390" s="10" t="s">
        <v>247</v>
      </c>
      <c r="D390" s="10">
        <v>2035</v>
      </c>
      <c r="E390" s="10">
        <v>0</v>
      </c>
      <c r="F390" s="10" t="s">
        <v>243</v>
      </c>
      <c r="G390" s="10" t="s">
        <v>244</v>
      </c>
    </row>
    <row r="391" spans="1:7" x14ac:dyDescent="0.35">
      <c r="A391" s="100">
        <v>389</v>
      </c>
      <c r="B391" s="10" t="s">
        <v>241</v>
      </c>
      <c r="C391" s="10" t="s">
        <v>247</v>
      </c>
      <c r="D391" s="10">
        <v>2036</v>
      </c>
      <c r="E391" s="10">
        <v>0</v>
      </c>
      <c r="F391" s="10" t="s">
        <v>243</v>
      </c>
      <c r="G391" s="10" t="s">
        <v>244</v>
      </c>
    </row>
    <row r="392" spans="1:7" x14ac:dyDescent="0.35">
      <c r="A392" s="100">
        <v>390</v>
      </c>
      <c r="B392" s="10" t="s">
        <v>241</v>
      </c>
      <c r="C392" s="10" t="s">
        <v>247</v>
      </c>
      <c r="D392" s="10">
        <v>2037</v>
      </c>
      <c r="E392" s="10">
        <v>0</v>
      </c>
      <c r="F392" s="10" t="s">
        <v>243</v>
      </c>
      <c r="G392" s="10" t="s">
        <v>244</v>
      </c>
    </row>
    <row r="393" spans="1:7" x14ac:dyDescent="0.35">
      <c r="A393" s="100">
        <v>391</v>
      </c>
      <c r="B393" s="10" t="s">
        <v>241</v>
      </c>
      <c r="C393" s="10" t="s">
        <v>247</v>
      </c>
      <c r="D393" s="10">
        <v>2038</v>
      </c>
      <c r="E393" s="10">
        <v>0</v>
      </c>
      <c r="F393" s="10" t="s">
        <v>243</v>
      </c>
      <c r="G393" s="10" t="s">
        <v>244</v>
      </c>
    </row>
    <row r="394" spans="1:7" x14ac:dyDescent="0.35">
      <c r="A394" s="100">
        <v>392</v>
      </c>
      <c r="B394" s="10" t="s">
        <v>241</v>
      </c>
      <c r="C394" s="10" t="s">
        <v>247</v>
      </c>
      <c r="D394" s="10">
        <v>2039</v>
      </c>
      <c r="E394" s="10">
        <v>0</v>
      </c>
      <c r="F394" s="10" t="s">
        <v>243</v>
      </c>
      <c r="G394" s="10" t="s">
        <v>244</v>
      </c>
    </row>
    <row r="395" spans="1:7" x14ac:dyDescent="0.35">
      <c r="A395" s="100">
        <v>393</v>
      </c>
      <c r="B395" s="10" t="s">
        <v>241</v>
      </c>
      <c r="C395" s="10" t="s">
        <v>247</v>
      </c>
      <c r="D395" s="10">
        <v>2040</v>
      </c>
      <c r="E395" s="10">
        <v>0</v>
      </c>
      <c r="F395" s="10" t="s">
        <v>243</v>
      </c>
      <c r="G395" s="10" t="s">
        <v>244</v>
      </c>
    </row>
    <row r="396" spans="1:7" x14ac:dyDescent="0.35">
      <c r="A396" s="100">
        <v>394</v>
      </c>
      <c r="B396" s="10" t="s">
        <v>241</v>
      </c>
      <c r="C396" s="10" t="s">
        <v>247</v>
      </c>
      <c r="D396" s="10">
        <v>2041</v>
      </c>
      <c r="E396" s="10">
        <v>0</v>
      </c>
      <c r="F396" s="10" t="s">
        <v>243</v>
      </c>
      <c r="G396" s="10" t="s">
        <v>244</v>
      </c>
    </row>
    <row r="397" spans="1:7" x14ac:dyDescent="0.35">
      <c r="A397" s="100">
        <v>395</v>
      </c>
      <c r="B397" s="10" t="s">
        <v>241</v>
      </c>
      <c r="C397" s="10" t="s">
        <v>247</v>
      </c>
      <c r="D397" s="10">
        <v>2042</v>
      </c>
      <c r="E397" s="10">
        <v>0</v>
      </c>
      <c r="F397" s="10" t="s">
        <v>243</v>
      </c>
      <c r="G397" s="10" t="s">
        <v>244</v>
      </c>
    </row>
    <row r="398" spans="1:7" x14ac:dyDescent="0.35">
      <c r="A398" s="100">
        <v>396</v>
      </c>
      <c r="B398" s="10" t="s">
        <v>241</v>
      </c>
      <c r="C398" s="10" t="s">
        <v>247</v>
      </c>
      <c r="D398" s="10">
        <v>2043</v>
      </c>
      <c r="E398" s="10">
        <v>0</v>
      </c>
      <c r="F398" s="10" t="s">
        <v>243</v>
      </c>
      <c r="G398" s="10" t="s">
        <v>244</v>
      </c>
    </row>
    <row r="399" spans="1:7" x14ac:dyDescent="0.35">
      <c r="A399" s="100">
        <v>397</v>
      </c>
      <c r="B399" s="10" t="s">
        <v>241</v>
      </c>
      <c r="C399" s="10" t="s">
        <v>247</v>
      </c>
      <c r="D399" s="10">
        <v>2044</v>
      </c>
      <c r="E399" s="10">
        <v>0</v>
      </c>
      <c r="F399" s="10" t="s">
        <v>243</v>
      </c>
      <c r="G399" s="10" t="s">
        <v>244</v>
      </c>
    </row>
    <row r="400" spans="1:7" x14ac:dyDescent="0.35">
      <c r="A400" s="100">
        <v>398</v>
      </c>
      <c r="B400" s="10" t="s">
        <v>241</v>
      </c>
      <c r="C400" s="10" t="s">
        <v>247</v>
      </c>
      <c r="D400" s="10">
        <v>2045</v>
      </c>
      <c r="E400" s="10">
        <v>0</v>
      </c>
      <c r="F400" s="10" t="s">
        <v>243</v>
      </c>
      <c r="G400" s="10" t="s">
        <v>244</v>
      </c>
    </row>
    <row r="401" spans="1:7" x14ac:dyDescent="0.35">
      <c r="A401" s="100">
        <v>399</v>
      </c>
      <c r="B401" s="10" t="s">
        <v>241</v>
      </c>
      <c r="C401" s="10" t="s">
        <v>247</v>
      </c>
      <c r="D401" s="10">
        <v>2046</v>
      </c>
      <c r="E401" s="10">
        <v>0</v>
      </c>
      <c r="F401" s="10" t="s">
        <v>243</v>
      </c>
      <c r="G401" s="10" t="s">
        <v>244</v>
      </c>
    </row>
    <row r="402" spans="1:7" x14ac:dyDescent="0.35">
      <c r="A402" s="100">
        <v>400</v>
      </c>
      <c r="B402" s="10" t="s">
        <v>241</v>
      </c>
      <c r="C402" s="10" t="s">
        <v>247</v>
      </c>
      <c r="D402" s="10">
        <v>2047</v>
      </c>
      <c r="E402" s="10">
        <v>0</v>
      </c>
      <c r="F402" s="10" t="s">
        <v>243</v>
      </c>
      <c r="G402" s="10" t="s">
        <v>244</v>
      </c>
    </row>
    <row r="403" spans="1:7" x14ac:dyDescent="0.35">
      <c r="A403" s="100">
        <v>401</v>
      </c>
      <c r="B403" s="10" t="s">
        <v>241</v>
      </c>
      <c r="C403" s="10" t="s">
        <v>247</v>
      </c>
      <c r="D403" s="10">
        <v>2048</v>
      </c>
      <c r="E403" s="10">
        <v>0</v>
      </c>
      <c r="F403" s="10" t="s">
        <v>243</v>
      </c>
      <c r="G403" s="10" t="s">
        <v>244</v>
      </c>
    </row>
    <row r="404" spans="1:7" x14ac:dyDescent="0.35">
      <c r="A404" s="100">
        <v>402</v>
      </c>
      <c r="B404" s="10" t="s">
        <v>241</v>
      </c>
      <c r="C404" s="10" t="s">
        <v>247</v>
      </c>
      <c r="D404" s="10">
        <v>2049</v>
      </c>
      <c r="E404" s="10">
        <v>0</v>
      </c>
      <c r="F404" s="10" t="s">
        <v>243</v>
      </c>
      <c r="G404" s="10" t="s">
        <v>244</v>
      </c>
    </row>
    <row r="405" spans="1:7" x14ac:dyDescent="0.35">
      <c r="A405" s="100">
        <v>403</v>
      </c>
      <c r="B405" s="10" t="s">
        <v>241</v>
      </c>
      <c r="C405" s="10" t="s">
        <v>247</v>
      </c>
      <c r="D405" s="10">
        <v>2050</v>
      </c>
      <c r="E405" s="10">
        <v>0</v>
      </c>
      <c r="F405" s="10" t="s">
        <v>243</v>
      </c>
      <c r="G405" s="10" t="s">
        <v>244</v>
      </c>
    </row>
    <row r="406" spans="1:7" x14ac:dyDescent="0.35">
      <c r="A406" s="100">
        <v>404</v>
      </c>
      <c r="B406" s="10" t="s">
        <v>248</v>
      </c>
      <c r="C406" s="10" t="s">
        <v>242</v>
      </c>
      <c r="D406" s="10">
        <v>1950</v>
      </c>
      <c r="E406" s="10">
        <v>1</v>
      </c>
      <c r="F406" s="10" t="s">
        <v>243</v>
      </c>
      <c r="G406" s="10" t="s">
        <v>244</v>
      </c>
    </row>
    <row r="407" spans="1:7" x14ac:dyDescent="0.35">
      <c r="A407" s="100">
        <v>405</v>
      </c>
      <c r="B407" s="10" t="s">
        <v>248</v>
      </c>
      <c r="C407" s="10" t="s">
        <v>242</v>
      </c>
      <c r="D407" s="10">
        <v>1951</v>
      </c>
      <c r="E407" s="10">
        <v>1</v>
      </c>
      <c r="F407" s="10" t="s">
        <v>243</v>
      </c>
      <c r="G407" s="10" t="s">
        <v>244</v>
      </c>
    </row>
    <row r="408" spans="1:7" x14ac:dyDescent="0.35">
      <c r="A408" s="100">
        <v>406</v>
      </c>
      <c r="B408" s="10" t="s">
        <v>248</v>
      </c>
      <c r="C408" s="10" t="s">
        <v>242</v>
      </c>
      <c r="D408" s="10">
        <v>1952</v>
      </c>
      <c r="E408" s="10">
        <v>1</v>
      </c>
      <c r="F408" s="10" t="s">
        <v>243</v>
      </c>
      <c r="G408" s="10" t="s">
        <v>244</v>
      </c>
    </row>
    <row r="409" spans="1:7" x14ac:dyDescent="0.35">
      <c r="A409" s="100">
        <v>407</v>
      </c>
      <c r="B409" s="10" t="s">
        <v>248</v>
      </c>
      <c r="C409" s="10" t="s">
        <v>242</v>
      </c>
      <c r="D409" s="10">
        <v>1953</v>
      </c>
      <c r="E409" s="10">
        <v>1</v>
      </c>
      <c r="F409" s="10" t="s">
        <v>243</v>
      </c>
      <c r="G409" s="10" t="s">
        <v>244</v>
      </c>
    </row>
    <row r="410" spans="1:7" x14ac:dyDescent="0.35">
      <c r="A410" s="100">
        <v>408</v>
      </c>
      <c r="B410" s="10" t="s">
        <v>248</v>
      </c>
      <c r="C410" s="10" t="s">
        <v>242</v>
      </c>
      <c r="D410" s="10">
        <v>1954</v>
      </c>
      <c r="E410" s="10">
        <v>1</v>
      </c>
      <c r="F410" s="10" t="s">
        <v>243</v>
      </c>
      <c r="G410" s="10" t="s">
        <v>244</v>
      </c>
    </row>
    <row r="411" spans="1:7" x14ac:dyDescent="0.35">
      <c r="A411" s="100">
        <v>409</v>
      </c>
      <c r="B411" s="10" t="s">
        <v>248</v>
      </c>
      <c r="C411" s="10" t="s">
        <v>242</v>
      </c>
      <c r="D411" s="10">
        <v>1955</v>
      </c>
      <c r="E411" s="10">
        <v>1</v>
      </c>
      <c r="F411" s="10" t="s">
        <v>243</v>
      </c>
      <c r="G411" s="10" t="s">
        <v>244</v>
      </c>
    </row>
    <row r="412" spans="1:7" x14ac:dyDescent="0.35">
      <c r="A412" s="100">
        <v>410</v>
      </c>
      <c r="B412" s="10" t="s">
        <v>248</v>
      </c>
      <c r="C412" s="10" t="s">
        <v>242</v>
      </c>
      <c r="D412" s="10">
        <v>1956</v>
      </c>
      <c r="E412" s="10">
        <v>1</v>
      </c>
      <c r="F412" s="10" t="s">
        <v>243</v>
      </c>
      <c r="G412" s="10" t="s">
        <v>244</v>
      </c>
    </row>
    <row r="413" spans="1:7" x14ac:dyDescent="0.35">
      <c r="A413" s="100">
        <v>411</v>
      </c>
      <c r="B413" s="10" t="s">
        <v>248</v>
      </c>
      <c r="C413" s="10" t="s">
        <v>242</v>
      </c>
      <c r="D413" s="10">
        <v>1957</v>
      </c>
      <c r="E413" s="10">
        <v>1</v>
      </c>
      <c r="F413" s="10" t="s">
        <v>243</v>
      </c>
      <c r="G413" s="10" t="s">
        <v>244</v>
      </c>
    </row>
    <row r="414" spans="1:7" x14ac:dyDescent="0.35">
      <c r="A414" s="100">
        <v>412</v>
      </c>
      <c r="B414" s="10" t="s">
        <v>248</v>
      </c>
      <c r="C414" s="10" t="s">
        <v>242</v>
      </c>
      <c r="D414" s="10">
        <v>1958</v>
      </c>
      <c r="E414" s="10">
        <v>1</v>
      </c>
      <c r="F414" s="10" t="s">
        <v>243</v>
      </c>
      <c r="G414" s="10" t="s">
        <v>244</v>
      </c>
    </row>
    <row r="415" spans="1:7" x14ac:dyDescent="0.35">
      <c r="A415" s="100">
        <v>413</v>
      </c>
      <c r="B415" s="10" t="s">
        <v>248</v>
      </c>
      <c r="C415" s="10" t="s">
        <v>242</v>
      </c>
      <c r="D415" s="10">
        <v>1959</v>
      </c>
      <c r="E415" s="10">
        <v>1</v>
      </c>
      <c r="F415" s="10" t="s">
        <v>243</v>
      </c>
      <c r="G415" s="10" t="s">
        <v>244</v>
      </c>
    </row>
    <row r="416" spans="1:7" x14ac:dyDescent="0.35">
      <c r="A416" s="100">
        <v>414</v>
      </c>
      <c r="B416" s="10" t="s">
        <v>248</v>
      </c>
      <c r="C416" s="10" t="s">
        <v>242</v>
      </c>
      <c r="D416" s="10">
        <v>1960</v>
      </c>
      <c r="E416" s="10">
        <v>1</v>
      </c>
      <c r="F416" s="10" t="s">
        <v>243</v>
      </c>
      <c r="G416" s="10" t="s">
        <v>244</v>
      </c>
    </row>
    <row r="417" spans="1:7" x14ac:dyDescent="0.35">
      <c r="A417" s="100">
        <v>415</v>
      </c>
      <c r="B417" s="10" t="s">
        <v>248</v>
      </c>
      <c r="C417" s="10" t="s">
        <v>242</v>
      </c>
      <c r="D417" s="10">
        <v>1961</v>
      </c>
      <c r="E417" s="10">
        <v>1</v>
      </c>
      <c r="F417" s="10" t="s">
        <v>243</v>
      </c>
      <c r="G417" s="10" t="s">
        <v>244</v>
      </c>
    </row>
    <row r="418" spans="1:7" x14ac:dyDescent="0.35">
      <c r="A418" s="100">
        <v>416</v>
      </c>
      <c r="B418" s="10" t="s">
        <v>248</v>
      </c>
      <c r="C418" s="10" t="s">
        <v>242</v>
      </c>
      <c r="D418" s="10">
        <v>1962</v>
      </c>
      <c r="E418" s="10">
        <v>1</v>
      </c>
      <c r="F418" s="10" t="s">
        <v>243</v>
      </c>
      <c r="G418" s="10" t="s">
        <v>244</v>
      </c>
    </row>
    <row r="419" spans="1:7" x14ac:dyDescent="0.35">
      <c r="A419" s="100">
        <v>417</v>
      </c>
      <c r="B419" s="10" t="s">
        <v>248</v>
      </c>
      <c r="C419" s="10" t="s">
        <v>242</v>
      </c>
      <c r="D419" s="10">
        <v>1963</v>
      </c>
      <c r="E419" s="10">
        <v>1</v>
      </c>
      <c r="F419" s="10" t="s">
        <v>243</v>
      </c>
      <c r="G419" s="10" t="s">
        <v>244</v>
      </c>
    </row>
    <row r="420" spans="1:7" x14ac:dyDescent="0.35">
      <c r="A420" s="100">
        <v>418</v>
      </c>
      <c r="B420" s="10" t="s">
        <v>248</v>
      </c>
      <c r="C420" s="10" t="s">
        <v>242</v>
      </c>
      <c r="D420" s="10">
        <v>1964</v>
      </c>
      <c r="E420" s="10">
        <v>1</v>
      </c>
      <c r="F420" s="10" t="s">
        <v>243</v>
      </c>
      <c r="G420" s="10" t="s">
        <v>244</v>
      </c>
    </row>
    <row r="421" spans="1:7" x14ac:dyDescent="0.35">
      <c r="A421" s="100">
        <v>419</v>
      </c>
      <c r="B421" s="10" t="s">
        <v>248</v>
      </c>
      <c r="C421" s="10" t="s">
        <v>242</v>
      </c>
      <c r="D421" s="10">
        <v>1965</v>
      </c>
      <c r="E421" s="10">
        <v>1</v>
      </c>
      <c r="F421" s="10" t="s">
        <v>243</v>
      </c>
      <c r="G421" s="10" t="s">
        <v>244</v>
      </c>
    </row>
    <row r="422" spans="1:7" x14ac:dyDescent="0.35">
      <c r="A422" s="100">
        <v>420</v>
      </c>
      <c r="B422" s="10" t="s">
        <v>248</v>
      </c>
      <c r="C422" s="10" t="s">
        <v>242</v>
      </c>
      <c r="D422" s="10">
        <v>1966</v>
      </c>
      <c r="E422" s="10">
        <v>1</v>
      </c>
      <c r="F422" s="10" t="s">
        <v>243</v>
      </c>
      <c r="G422" s="10" t="s">
        <v>244</v>
      </c>
    </row>
    <row r="423" spans="1:7" x14ac:dyDescent="0.35">
      <c r="A423" s="100">
        <v>421</v>
      </c>
      <c r="B423" s="10" t="s">
        <v>248</v>
      </c>
      <c r="C423" s="10" t="s">
        <v>242</v>
      </c>
      <c r="D423" s="10">
        <v>1967</v>
      </c>
      <c r="E423" s="10">
        <v>1</v>
      </c>
      <c r="F423" s="10" t="s">
        <v>243</v>
      </c>
      <c r="G423" s="10" t="s">
        <v>244</v>
      </c>
    </row>
    <row r="424" spans="1:7" x14ac:dyDescent="0.35">
      <c r="A424" s="100">
        <v>422</v>
      </c>
      <c r="B424" s="10" t="s">
        <v>248</v>
      </c>
      <c r="C424" s="10" t="s">
        <v>242</v>
      </c>
      <c r="D424" s="10">
        <v>1968</v>
      </c>
      <c r="E424" s="10">
        <v>1</v>
      </c>
      <c r="F424" s="10" t="s">
        <v>243</v>
      </c>
      <c r="G424" s="10" t="s">
        <v>244</v>
      </c>
    </row>
    <row r="425" spans="1:7" x14ac:dyDescent="0.35">
      <c r="A425" s="100">
        <v>423</v>
      </c>
      <c r="B425" s="10" t="s">
        <v>248</v>
      </c>
      <c r="C425" s="10" t="s">
        <v>242</v>
      </c>
      <c r="D425" s="10">
        <v>1969</v>
      </c>
      <c r="E425" s="10">
        <v>1</v>
      </c>
      <c r="F425" s="10" t="s">
        <v>243</v>
      </c>
      <c r="G425" s="10" t="s">
        <v>244</v>
      </c>
    </row>
    <row r="426" spans="1:7" x14ac:dyDescent="0.35">
      <c r="A426" s="100">
        <v>424</v>
      </c>
      <c r="B426" s="10" t="s">
        <v>248</v>
      </c>
      <c r="C426" s="10" t="s">
        <v>242</v>
      </c>
      <c r="D426" s="10">
        <v>1970</v>
      </c>
      <c r="E426" s="10">
        <v>1</v>
      </c>
      <c r="F426" s="10" t="s">
        <v>243</v>
      </c>
      <c r="G426" s="10" t="s">
        <v>244</v>
      </c>
    </row>
    <row r="427" spans="1:7" x14ac:dyDescent="0.35">
      <c r="A427" s="100">
        <v>425</v>
      </c>
      <c r="B427" s="10" t="s">
        <v>248</v>
      </c>
      <c r="C427" s="10" t="s">
        <v>242</v>
      </c>
      <c r="D427" s="10">
        <v>1971</v>
      </c>
      <c r="E427" s="10">
        <v>1</v>
      </c>
      <c r="F427" s="10" t="s">
        <v>243</v>
      </c>
      <c r="G427" s="10" t="s">
        <v>244</v>
      </c>
    </row>
    <row r="428" spans="1:7" x14ac:dyDescent="0.35">
      <c r="A428" s="100">
        <v>426</v>
      </c>
      <c r="B428" s="10" t="s">
        <v>248</v>
      </c>
      <c r="C428" s="10" t="s">
        <v>242</v>
      </c>
      <c r="D428" s="10">
        <v>1972</v>
      </c>
      <c r="E428" s="10">
        <v>1</v>
      </c>
      <c r="F428" s="10" t="s">
        <v>243</v>
      </c>
      <c r="G428" s="10" t="s">
        <v>244</v>
      </c>
    </row>
    <row r="429" spans="1:7" x14ac:dyDescent="0.35">
      <c r="A429" s="100">
        <v>427</v>
      </c>
      <c r="B429" s="10" t="s">
        <v>248</v>
      </c>
      <c r="C429" s="10" t="s">
        <v>242</v>
      </c>
      <c r="D429" s="10">
        <v>1973</v>
      </c>
      <c r="E429" s="10">
        <v>1</v>
      </c>
      <c r="F429" s="10" t="s">
        <v>243</v>
      </c>
      <c r="G429" s="10" t="s">
        <v>244</v>
      </c>
    </row>
    <row r="430" spans="1:7" x14ac:dyDescent="0.35">
      <c r="A430" s="100">
        <v>428</v>
      </c>
      <c r="B430" s="10" t="s">
        <v>248</v>
      </c>
      <c r="C430" s="10" t="s">
        <v>242</v>
      </c>
      <c r="D430" s="10">
        <v>1974</v>
      </c>
      <c r="E430" s="10">
        <v>1</v>
      </c>
      <c r="F430" s="10" t="s">
        <v>243</v>
      </c>
      <c r="G430" s="10" t="s">
        <v>244</v>
      </c>
    </row>
    <row r="431" spans="1:7" x14ac:dyDescent="0.35">
      <c r="A431" s="100">
        <v>429</v>
      </c>
      <c r="B431" s="10" t="s">
        <v>248</v>
      </c>
      <c r="C431" s="10" t="s">
        <v>242</v>
      </c>
      <c r="D431" s="10">
        <v>1975</v>
      </c>
      <c r="E431" s="10">
        <v>1</v>
      </c>
      <c r="F431" s="10" t="s">
        <v>243</v>
      </c>
      <c r="G431" s="10" t="s">
        <v>244</v>
      </c>
    </row>
    <row r="432" spans="1:7" x14ac:dyDescent="0.35">
      <c r="A432" s="100">
        <v>430</v>
      </c>
      <c r="B432" s="10" t="s">
        <v>248</v>
      </c>
      <c r="C432" s="10" t="s">
        <v>242</v>
      </c>
      <c r="D432" s="10">
        <v>1976</v>
      </c>
      <c r="E432" s="10">
        <v>1</v>
      </c>
      <c r="F432" s="10" t="s">
        <v>243</v>
      </c>
      <c r="G432" s="10" t="s">
        <v>244</v>
      </c>
    </row>
    <row r="433" spans="1:7" x14ac:dyDescent="0.35">
      <c r="A433" s="100">
        <v>431</v>
      </c>
      <c r="B433" s="10" t="s">
        <v>248</v>
      </c>
      <c r="C433" s="10" t="s">
        <v>242</v>
      </c>
      <c r="D433" s="10">
        <v>1977</v>
      </c>
      <c r="E433" s="10">
        <v>1</v>
      </c>
      <c r="F433" s="10" t="s">
        <v>243</v>
      </c>
      <c r="G433" s="10" t="s">
        <v>244</v>
      </c>
    </row>
    <row r="434" spans="1:7" x14ac:dyDescent="0.35">
      <c r="A434" s="100">
        <v>432</v>
      </c>
      <c r="B434" s="10" t="s">
        <v>248</v>
      </c>
      <c r="C434" s="10" t="s">
        <v>242</v>
      </c>
      <c r="D434" s="10">
        <v>1978</v>
      </c>
      <c r="E434" s="10">
        <v>1</v>
      </c>
      <c r="F434" s="10" t="s">
        <v>243</v>
      </c>
      <c r="G434" s="10" t="s">
        <v>244</v>
      </c>
    </row>
    <row r="435" spans="1:7" x14ac:dyDescent="0.35">
      <c r="A435" s="100">
        <v>433</v>
      </c>
      <c r="B435" s="10" t="s">
        <v>248</v>
      </c>
      <c r="C435" s="10" t="s">
        <v>242</v>
      </c>
      <c r="D435" s="10">
        <v>1979</v>
      </c>
      <c r="E435" s="10">
        <v>1</v>
      </c>
      <c r="F435" s="10" t="s">
        <v>243</v>
      </c>
      <c r="G435" s="10" t="s">
        <v>244</v>
      </c>
    </row>
    <row r="436" spans="1:7" x14ac:dyDescent="0.35">
      <c r="A436" s="100">
        <v>434</v>
      </c>
      <c r="B436" s="10" t="s">
        <v>248</v>
      </c>
      <c r="C436" s="10" t="s">
        <v>242</v>
      </c>
      <c r="D436" s="10">
        <v>1980</v>
      </c>
      <c r="E436" s="10">
        <v>1</v>
      </c>
      <c r="F436" s="10" t="s">
        <v>243</v>
      </c>
      <c r="G436" s="10" t="s">
        <v>244</v>
      </c>
    </row>
    <row r="437" spans="1:7" x14ac:dyDescent="0.35">
      <c r="A437" s="100">
        <v>435</v>
      </c>
      <c r="B437" s="10" t="s">
        <v>248</v>
      </c>
      <c r="C437" s="10" t="s">
        <v>242</v>
      </c>
      <c r="D437" s="10">
        <v>1981</v>
      </c>
      <c r="E437" s="10">
        <v>1</v>
      </c>
      <c r="F437" s="10" t="s">
        <v>243</v>
      </c>
      <c r="G437" s="10" t="s">
        <v>244</v>
      </c>
    </row>
    <row r="438" spans="1:7" x14ac:dyDescent="0.35">
      <c r="A438" s="100">
        <v>436</v>
      </c>
      <c r="B438" s="10" t="s">
        <v>248</v>
      </c>
      <c r="C438" s="10" t="s">
        <v>242</v>
      </c>
      <c r="D438" s="10">
        <v>1982</v>
      </c>
      <c r="E438" s="10">
        <v>1</v>
      </c>
      <c r="F438" s="10" t="s">
        <v>243</v>
      </c>
      <c r="G438" s="10" t="s">
        <v>244</v>
      </c>
    </row>
    <row r="439" spans="1:7" x14ac:dyDescent="0.35">
      <c r="A439" s="100">
        <v>437</v>
      </c>
      <c r="B439" s="10" t="s">
        <v>248</v>
      </c>
      <c r="C439" s="10" t="s">
        <v>242</v>
      </c>
      <c r="D439" s="10">
        <v>1983</v>
      </c>
      <c r="E439" s="10">
        <v>1</v>
      </c>
      <c r="F439" s="10" t="s">
        <v>243</v>
      </c>
      <c r="G439" s="10" t="s">
        <v>244</v>
      </c>
    </row>
    <row r="440" spans="1:7" x14ac:dyDescent="0.35">
      <c r="A440" s="100">
        <v>438</v>
      </c>
      <c r="B440" s="10" t="s">
        <v>248</v>
      </c>
      <c r="C440" s="10" t="s">
        <v>242</v>
      </c>
      <c r="D440" s="10">
        <v>1984</v>
      </c>
      <c r="E440" s="10">
        <v>1</v>
      </c>
      <c r="F440" s="10" t="s">
        <v>243</v>
      </c>
      <c r="G440" s="10" t="s">
        <v>244</v>
      </c>
    </row>
    <row r="441" spans="1:7" x14ac:dyDescent="0.35">
      <c r="A441" s="100">
        <v>439</v>
      </c>
      <c r="B441" s="10" t="s">
        <v>248</v>
      </c>
      <c r="C441" s="10" t="s">
        <v>242</v>
      </c>
      <c r="D441" s="10">
        <v>1985</v>
      </c>
      <c r="E441" s="10">
        <v>1</v>
      </c>
      <c r="F441" s="10" t="s">
        <v>243</v>
      </c>
      <c r="G441" s="10" t="s">
        <v>244</v>
      </c>
    </row>
    <row r="442" spans="1:7" x14ac:dyDescent="0.35">
      <c r="A442" s="100">
        <v>440</v>
      </c>
      <c r="B442" s="10" t="s">
        <v>248</v>
      </c>
      <c r="C442" s="10" t="s">
        <v>242</v>
      </c>
      <c r="D442" s="10">
        <v>1986</v>
      </c>
      <c r="E442" s="10">
        <v>1</v>
      </c>
      <c r="F442" s="10" t="s">
        <v>243</v>
      </c>
      <c r="G442" s="10" t="s">
        <v>244</v>
      </c>
    </row>
    <row r="443" spans="1:7" x14ac:dyDescent="0.35">
      <c r="A443" s="100">
        <v>441</v>
      </c>
      <c r="B443" s="10" t="s">
        <v>248</v>
      </c>
      <c r="C443" s="10" t="s">
        <v>242</v>
      </c>
      <c r="D443" s="10">
        <v>1987</v>
      </c>
      <c r="E443" s="10">
        <v>1</v>
      </c>
      <c r="F443" s="10" t="s">
        <v>243</v>
      </c>
      <c r="G443" s="10" t="s">
        <v>244</v>
      </c>
    </row>
    <row r="444" spans="1:7" x14ac:dyDescent="0.35">
      <c r="A444" s="100">
        <v>442</v>
      </c>
      <c r="B444" s="10" t="s">
        <v>248</v>
      </c>
      <c r="C444" s="10" t="s">
        <v>242</v>
      </c>
      <c r="D444" s="10">
        <v>1988</v>
      </c>
      <c r="E444" s="10">
        <v>1</v>
      </c>
      <c r="F444" s="10" t="s">
        <v>243</v>
      </c>
      <c r="G444" s="10" t="s">
        <v>244</v>
      </c>
    </row>
    <row r="445" spans="1:7" x14ac:dyDescent="0.35">
      <c r="A445" s="100">
        <v>443</v>
      </c>
      <c r="B445" s="10" t="s">
        <v>248</v>
      </c>
      <c r="C445" s="10" t="s">
        <v>242</v>
      </c>
      <c r="D445" s="10">
        <v>1989</v>
      </c>
      <c r="E445" s="10">
        <v>1</v>
      </c>
      <c r="F445" s="10" t="s">
        <v>243</v>
      </c>
      <c r="G445" s="10" t="s">
        <v>244</v>
      </c>
    </row>
    <row r="446" spans="1:7" x14ac:dyDescent="0.35">
      <c r="A446" s="100">
        <v>444</v>
      </c>
      <c r="B446" s="10" t="s">
        <v>248</v>
      </c>
      <c r="C446" s="10" t="s">
        <v>242</v>
      </c>
      <c r="D446" s="10">
        <v>1990</v>
      </c>
      <c r="E446" s="10">
        <v>1</v>
      </c>
      <c r="F446" s="10" t="s">
        <v>243</v>
      </c>
      <c r="G446" s="10" t="s">
        <v>244</v>
      </c>
    </row>
    <row r="447" spans="1:7" x14ac:dyDescent="0.35">
      <c r="A447" s="100">
        <v>445</v>
      </c>
      <c r="B447" s="10" t="s">
        <v>248</v>
      </c>
      <c r="C447" s="10" t="s">
        <v>242</v>
      </c>
      <c r="D447" s="10">
        <v>1991</v>
      </c>
      <c r="E447" s="10">
        <v>1</v>
      </c>
      <c r="F447" s="10" t="s">
        <v>243</v>
      </c>
      <c r="G447" s="10" t="s">
        <v>244</v>
      </c>
    </row>
    <row r="448" spans="1:7" x14ac:dyDescent="0.35">
      <c r="A448" s="100">
        <v>446</v>
      </c>
      <c r="B448" s="10" t="s">
        <v>248</v>
      </c>
      <c r="C448" s="10" t="s">
        <v>242</v>
      </c>
      <c r="D448" s="10">
        <v>1992</v>
      </c>
      <c r="E448" s="10">
        <v>1</v>
      </c>
      <c r="F448" s="10" t="s">
        <v>243</v>
      </c>
      <c r="G448" s="10" t="s">
        <v>244</v>
      </c>
    </row>
    <row r="449" spans="1:7" x14ac:dyDescent="0.35">
      <c r="A449" s="100">
        <v>447</v>
      </c>
      <c r="B449" s="10" t="s">
        <v>248</v>
      </c>
      <c r="C449" s="10" t="s">
        <v>242</v>
      </c>
      <c r="D449" s="10">
        <v>1993</v>
      </c>
      <c r="E449" s="10">
        <v>1</v>
      </c>
      <c r="F449" s="10" t="s">
        <v>243</v>
      </c>
      <c r="G449" s="10" t="s">
        <v>244</v>
      </c>
    </row>
    <row r="450" spans="1:7" x14ac:dyDescent="0.35">
      <c r="A450" s="100">
        <v>448</v>
      </c>
      <c r="B450" s="10" t="s">
        <v>248</v>
      </c>
      <c r="C450" s="10" t="s">
        <v>242</v>
      </c>
      <c r="D450" s="10">
        <v>1994</v>
      </c>
      <c r="E450" s="10">
        <v>1</v>
      </c>
      <c r="F450" s="10" t="s">
        <v>243</v>
      </c>
      <c r="G450" s="10" t="s">
        <v>244</v>
      </c>
    </row>
    <row r="451" spans="1:7" x14ac:dyDescent="0.35">
      <c r="A451" s="100">
        <v>449</v>
      </c>
      <c r="B451" s="10" t="s">
        <v>248</v>
      </c>
      <c r="C451" s="10" t="s">
        <v>242</v>
      </c>
      <c r="D451" s="10">
        <v>1995</v>
      </c>
      <c r="E451" s="10">
        <v>1</v>
      </c>
      <c r="F451" s="10" t="s">
        <v>243</v>
      </c>
      <c r="G451" s="10" t="s">
        <v>244</v>
      </c>
    </row>
    <row r="452" spans="1:7" x14ac:dyDescent="0.35">
      <c r="A452" s="100">
        <v>450</v>
      </c>
      <c r="B452" s="10" t="s">
        <v>248</v>
      </c>
      <c r="C452" s="10" t="s">
        <v>242</v>
      </c>
      <c r="D452" s="10">
        <v>1996</v>
      </c>
      <c r="E452" s="10">
        <v>1</v>
      </c>
      <c r="F452" s="10" t="s">
        <v>243</v>
      </c>
      <c r="G452" s="10" t="s">
        <v>244</v>
      </c>
    </row>
    <row r="453" spans="1:7" x14ac:dyDescent="0.35">
      <c r="A453" s="100">
        <v>451</v>
      </c>
      <c r="B453" s="10" t="s">
        <v>248</v>
      </c>
      <c r="C453" s="10" t="s">
        <v>242</v>
      </c>
      <c r="D453" s="10">
        <v>1997</v>
      </c>
      <c r="E453" s="10">
        <v>1</v>
      </c>
      <c r="F453" s="10" t="s">
        <v>243</v>
      </c>
      <c r="G453" s="10" t="s">
        <v>244</v>
      </c>
    </row>
    <row r="454" spans="1:7" x14ac:dyDescent="0.35">
      <c r="A454" s="100">
        <v>452</v>
      </c>
      <c r="B454" s="10" t="s">
        <v>248</v>
      </c>
      <c r="C454" s="10" t="s">
        <v>242</v>
      </c>
      <c r="D454" s="10">
        <v>1998</v>
      </c>
      <c r="E454" s="10">
        <v>1</v>
      </c>
      <c r="F454" s="10" t="s">
        <v>243</v>
      </c>
      <c r="G454" s="10" t="s">
        <v>244</v>
      </c>
    </row>
    <row r="455" spans="1:7" x14ac:dyDescent="0.35">
      <c r="A455" s="100">
        <v>453</v>
      </c>
      <c r="B455" s="10" t="s">
        <v>248</v>
      </c>
      <c r="C455" s="10" t="s">
        <v>242</v>
      </c>
      <c r="D455" s="10">
        <v>1999</v>
      </c>
      <c r="E455" s="10">
        <v>1</v>
      </c>
      <c r="F455" s="10" t="s">
        <v>243</v>
      </c>
      <c r="G455" s="10" t="s">
        <v>244</v>
      </c>
    </row>
    <row r="456" spans="1:7" x14ac:dyDescent="0.35">
      <c r="A456" s="100">
        <v>454</v>
      </c>
      <c r="B456" s="10" t="s">
        <v>248</v>
      </c>
      <c r="C456" s="10" t="s">
        <v>242</v>
      </c>
      <c r="D456" s="10">
        <v>2000</v>
      </c>
      <c r="E456" s="10">
        <v>1</v>
      </c>
      <c r="F456" s="10" t="s">
        <v>243</v>
      </c>
      <c r="G456" s="10" t="s">
        <v>244</v>
      </c>
    </row>
    <row r="457" spans="1:7" x14ac:dyDescent="0.35">
      <c r="A457" s="100">
        <v>455</v>
      </c>
      <c r="B457" s="10" t="s">
        <v>248</v>
      </c>
      <c r="C457" s="10" t="s">
        <v>242</v>
      </c>
      <c r="D457" s="10">
        <v>2001</v>
      </c>
      <c r="E457" s="10">
        <v>1</v>
      </c>
      <c r="F457" s="10" t="s">
        <v>243</v>
      </c>
      <c r="G457" s="10" t="s">
        <v>244</v>
      </c>
    </row>
    <row r="458" spans="1:7" x14ac:dyDescent="0.35">
      <c r="A458" s="100">
        <v>456</v>
      </c>
      <c r="B458" s="10" t="s">
        <v>248</v>
      </c>
      <c r="C458" s="10" t="s">
        <v>242</v>
      </c>
      <c r="D458" s="10">
        <v>2002</v>
      </c>
      <c r="E458" s="10">
        <v>1</v>
      </c>
      <c r="F458" s="10" t="s">
        <v>243</v>
      </c>
      <c r="G458" s="10" t="s">
        <v>244</v>
      </c>
    </row>
    <row r="459" spans="1:7" x14ac:dyDescent="0.35">
      <c r="A459" s="100">
        <v>457</v>
      </c>
      <c r="B459" s="10" t="s">
        <v>248</v>
      </c>
      <c r="C459" s="10" t="s">
        <v>242</v>
      </c>
      <c r="D459" s="10">
        <v>2003</v>
      </c>
      <c r="E459" s="10">
        <v>1</v>
      </c>
      <c r="F459" s="10" t="s">
        <v>243</v>
      </c>
      <c r="G459" s="10" t="s">
        <v>244</v>
      </c>
    </row>
    <row r="460" spans="1:7" x14ac:dyDescent="0.35">
      <c r="A460" s="100">
        <v>458</v>
      </c>
      <c r="B460" s="10" t="s">
        <v>248</v>
      </c>
      <c r="C460" s="10" t="s">
        <v>242</v>
      </c>
      <c r="D460" s="10">
        <v>2004</v>
      </c>
      <c r="E460" s="10">
        <v>1</v>
      </c>
      <c r="F460" s="10" t="s">
        <v>243</v>
      </c>
      <c r="G460" s="10" t="s">
        <v>244</v>
      </c>
    </row>
    <row r="461" spans="1:7" x14ac:dyDescent="0.35">
      <c r="A461" s="100">
        <v>459</v>
      </c>
      <c r="B461" s="10" t="s">
        <v>248</v>
      </c>
      <c r="C461" s="10" t="s">
        <v>242</v>
      </c>
      <c r="D461" s="10">
        <v>2005</v>
      </c>
      <c r="E461" s="10">
        <v>1</v>
      </c>
      <c r="F461" s="10" t="s">
        <v>243</v>
      </c>
      <c r="G461" s="10" t="s">
        <v>244</v>
      </c>
    </row>
    <row r="462" spans="1:7" x14ac:dyDescent="0.35">
      <c r="A462" s="100">
        <v>460</v>
      </c>
      <c r="B462" s="10" t="s">
        <v>248</v>
      </c>
      <c r="C462" s="10" t="s">
        <v>242</v>
      </c>
      <c r="D462" s="10">
        <v>2006</v>
      </c>
      <c r="E462" s="10">
        <v>1</v>
      </c>
      <c r="F462" s="10" t="s">
        <v>243</v>
      </c>
      <c r="G462" s="10" t="s">
        <v>244</v>
      </c>
    </row>
    <row r="463" spans="1:7" x14ac:dyDescent="0.35">
      <c r="A463" s="100">
        <v>461</v>
      </c>
      <c r="B463" s="10" t="s">
        <v>248</v>
      </c>
      <c r="C463" s="10" t="s">
        <v>242</v>
      </c>
      <c r="D463" s="10">
        <v>2007</v>
      </c>
      <c r="E463" s="10">
        <v>1</v>
      </c>
      <c r="F463" s="10" t="s">
        <v>243</v>
      </c>
      <c r="G463" s="10" t="s">
        <v>244</v>
      </c>
    </row>
    <row r="464" spans="1:7" x14ac:dyDescent="0.35">
      <c r="A464" s="100">
        <v>462</v>
      </c>
      <c r="B464" s="10" t="s">
        <v>248</v>
      </c>
      <c r="C464" s="10" t="s">
        <v>242</v>
      </c>
      <c r="D464" s="10">
        <v>2008</v>
      </c>
      <c r="E464" s="10">
        <v>1</v>
      </c>
      <c r="F464" s="10" t="s">
        <v>243</v>
      </c>
      <c r="G464" s="10" t="s">
        <v>244</v>
      </c>
    </row>
    <row r="465" spans="1:7" x14ac:dyDescent="0.35">
      <c r="A465" s="100">
        <v>463</v>
      </c>
      <c r="B465" s="10" t="s">
        <v>248</v>
      </c>
      <c r="C465" s="10" t="s">
        <v>242</v>
      </c>
      <c r="D465" s="10">
        <v>2009</v>
      </c>
      <c r="E465" s="10">
        <v>1</v>
      </c>
      <c r="F465" s="10" t="s">
        <v>243</v>
      </c>
      <c r="G465" s="10" t="s">
        <v>244</v>
      </c>
    </row>
    <row r="466" spans="1:7" x14ac:dyDescent="0.35">
      <c r="A466" s="100">
        <v>464</v>
      </c>
      <c r="B466" s="10" t="s">
        <v>248</v>
      </c>
      <c r="C466" s="10" t="s">
        <v>242</v>
      </c>
      <c r="D466" s="10">
        <v>2010</v>
      </c>
      <c r="E466" s="10">
        <v>1</v>
      </c>
      <c r="F466" s="10" t="s">
        <v>243</v>
      </c>
      <c r="G466" s="10" t="s">
        <v>244</v>
      </c>
    </row>
    <row r="467" spans="1:7" x14ac:dyDescent="0.35">
      <c r="A467" s="100">
        <v>465</v>
      </c>
      <c r="B467" s="10" t="s">
        <v>248</v>
      </c>
      <c r="C467" s="10" t="s">
        <v>242</v>
      </c>
      <c r="D467" s="10">
        <v>2011</v>
      </c>
      <c r="E467" s="10">
        <v>1</v>
      </c>
      <c r="F467" s="10" t="s">
        <v>243</v>
      </c>
      <c r="G467" s="10" t="s">
        <v>244</v>
      </c>
    </row>
    <row r="468" spans="1:7" x14ac:dyDescent="0.35">
      <c r="A468" s="100">
        <v>466</v>
      </c>
      <c r="B468" s="10" t="s">
        <v>248</v>
      </c>
      <c r="C468" s="10" t="s">
        <v>242</v>
      </c>
      <c r="D468" s="10">
        <v>2012</v>
      </c>
      <c r="E468" s="10">
        <v>1</v>
      </c>
      <c r="F468" s="10" t="s">
        <v>243</v>
      </c>
      <c r="G468" s="10" t="s">
        <v>244</v>
      </c>
    </row>
    <row r="469" spans="1:7" x14ac:dyDescent="0.35">
      <c r="A469" s="100">
        <v>467</v>
      </c>
      <c r="B469" s="10" t="s">
        <v>248</v>
      </c>
      <c r="C469" s="10" t="s">
        <v>242</v>
      </c>
      <c r="D469" s="10">
        <v>2013</v>
      </c>
      <c r="E469" s="10">
        <v>1</v>
      </c>
      <c r="F469" s="10" t="s">
        <v>243</v>
      </c>
      <c r="G469" s="10" t="s">
        <v>244</v>
      </c>
    </row>
    <row r="470" spans="1:7" x14ac:dyDescent="0.35">
      <c r="A470" s="100">
        <v>468</v>
      </c>
      <c r="B470" s="10" t="s">
        <v>248</v>
      </c>
      <c r="C470" s="10" t="s">
        <v>242</v>
      </c>
      <c r="D470" s="10">
        <v>2014</v>
      </c>
      <c r="E470" s="10">
        <v>0.99767573727023884</v>
      </c>
      <c r="F470" s="10" t="s">
        <v>243</v>
      </c>
      <c r="G470" s="10" t="s">
        <v>244</v>
      </c>
    </row>
    <row r="471" spans="1:7" x14ac:dyDescent="0.35">
      <c r="A471" s="100">
        <v>469</v>
      </c>
      <c r="B471" s="10" t="s">
        <v>248</v>
      </c>
      <c r="C471" s="10" t="s">
        <v>242</v>
      </c>
      <c r="D471" s="10">
        <v>2015</v>
      </c>
      <c r="E471" s="10">
        <v>0.99481289709470733</v>
      </c>
      <c r="F471" s="10" t="s">
        <v>243</v>
      </c>
      <c r="G471" s="10" t="s">
        <v>244</v>
      </c>
    </row>
    <row r="472" spans="1:7" x14ac:dyDescent="0.35">
      <c r="A472" s="100">
        <v>470</v>
      </c>
      <c r="B472" s="10" t="s">
        <v>248</v>
      </c>
      <c r="C472" s="10" t="s">
        <v>242</v>
      </c>
      <c r="D472" s="10">
        <v>2016</v>
      </c>
      <c r="E472" s="10">
        <v>0.99129388630372139</v>
      </c>
      <c r="F472" s="10" t="s">
        <v>243</v>
      </c>
      <c r="G472" s="10" t="s">
        <v>244</v>
      </c>
    </row>
    <row r="473" spans="1:7" x14ac:dyDescent="0.35">
      <c r="A473" s="100">
        <v>471</v>
      </c>
      <c r="B473" s="10" t="s">
        <v>248</v>
      </c>
      <c r="C473" s="10" t="s">
        <v>242</v>
      </c>
      <c r="D473" s="10">
        <v>2017</v>
      </c>
      <c r="E473" s="10">
        <v>0.98697916907599026</v>
      </c>
      <c r="F473" s="10" t="s">
        <v>243</v>
      </c>
      <c r="G473" s="10" t="s">
        <v>244</v>
      </c>
    </row>
    <row r="474" spans="1:7" x14ac:dyDescent="0.35">
      <c r="A474" s="100">
        <v>472</v>
      </c>
      <c r="B474" s="10" t="s">
        <v>248</v>
      </c>
      <c r="C474" s="10" t="s">
        <v>242</v>
      </c>
      <c r="D474" s="10">
        <v>2018</v>
      </c>
      <c r="E474" s="10">
        <v>0.98170509968078212</v>
      </c>
      <c r="F474" s="10" t="s">
        <v>243</v>
      </c>
      <c r="G474" s="10" t="s">
        <v>244</v>
      </c>
    </row>
    <row r="475" spans="1:7" x14ac:dyDescent="0.35">
      <c r="A475" s="100">
        <v>473</v>
      </c>
      <c r="B475" s="10" t="s">
        <v>248</v>
      </c>
      <c r="C475" s="10" t="s">
        <v>242</v>
      </c>
      <c r="D475" s="10">
        <v>2019</v>
      </c>
      <c r="E475" s="10">
        <v>0.96675010545009477</v>
      </c>
      <c r="F475" s="10" t="s">
        <v>243</v>
      </c>
      <c r="G475" s="10" t="s">
        <v>244</v>
      </c>
    </row>
    <row r="476" spans="1:7" x14ac:dyDescent="0.35">
      <c r="A476" s="100">
        <v>474</v>
      </c>
      <c r="B476" s="10" t="s">
        <v>248</v>
      </c>
      <c r="C476" s="10" t="s">
        <v>242</v>
      </c>
      <c r="D476" s="10">
        <v>2020</v>
      </c>
      <c r="E476" s="10">
        <v>0.94977623584432613</v>
      </c>
      <c r="F476" s="10" t="s">
        <v>243</v>
      </c>
      <c r="G476" s="10" t="s">
        <v>244</v>
      </c>
    </row>
    <row r="477" spans="1:7" x14ac:dyDescent="0.35">
      <c r="A477" s="100">
        <v>475</v>
      </c>
      <c r="B477" s="10" t="s">
        <v>248</v>
      </c>
      <c r="C477" s="10" t="s">
        <v>242</v>
      </c>
      <c r="D477" s="10">
        <v>2021</v>
      </c>
      <c r="E477" s="10">
        <v>0.93151112130553049</v>
      </c>
      <c r="F477" s="10" t="s">
        <v>243</v>
      </c>
      <c r="G477" s="10" t="s">
        <v>244</v>
      </c>
    </row>
    <row r="478" spans="1:7" x14ac:dyDescent="0.35">
      <c r="A478" s="100">
        <v>476</v>
      </c>
      <c r="B478" s="10" t="s">
        <v>248</v>
      </c>
      <c r="C478" s="10" t="s">
        <v>242</v>
      </c>
      <c r="D478" s="10">
        <v>2022</v>
      </c>
      <c r="E478" s="10">
        <v>0.91170152278419947</v>
      </c>
      <c r="F478" s="10" t="s">
        <v>243</v>
      </c>
      <c r="G478" s="10" t="s">
        <v>244</v>
      </c>
    </row>
    <row r="479" spans="1:7" x14ac:dyDescent="0.35">
      <c r="A479" s="100">
        <v>477</v>
      </c>
      <c r="B479" s="10" t="s">
        <v>248</v>
      </c>
      <c r="C479" s="10" t="s">
        <v>242</v>
      </c>
      <c r="D479" s="10">
        <v>2023</v>
      </c>
      <c r="E479" s="10">
        <v>0.89008892601862777</v>
      </c>
      <c r="F479" s="10" t="s">
        <v>243</v>
      </c>
      <c r="G479" s="10" t="s">
        <v>244</v>
      </c>
    </row>
    <row r="480" spans="1:7" x14ac:dyDescent="0.35">
      <c r="A480" s="100">
        <v>478</v>
      </c>
      <c r="B480" s="10" t="s">
        <v>248</v>
      </c>
      <c r="C480" s="10" t="s">
        <v>242</v>
      </c>
      <c r="D480" s="10">
        <v>2024</v>
      </c>
      <c r="E480" s="10">
        <v>0.86642661289082035</v>
      </c>
      <c r="F480" s="10" t="s">
        <v>243</v>
      </c>
      <c r="G480" s="10" t="s">
        <v>244</v>
      </c>
    </row>
    <row r="481" spans="1:7" x14ac:dyDescent="0.35">
      <c r="A481" s="100">
        <v>479</v>
      </c>
      <c r="B481" s="10" t="s">
        <v>248</v>
      </c>
      <c r="C481" s="10" t="s">
        <v>242</v>
      </c>
      <c r="D481" s="10">
        <v>2025</v>
      </c>
      <c r="E481" s="10">
        <v>0.84050336242400581</v>
      </c>
      <c r="F481" s="10" t="s">
        <v>243</v>
      </c>
      <c r="G481" s="10" t="s">
        <v>244</v>
      </c>
    </row>
    <row r="482" spans="1:7" x14ac:dyDescent="0.35">
      <c r="A482" s="100">
        <v>480</v>
      </c>
      <c r="B482" s="10" t="s">
        <v>248</v>
      </c>
      <c r="C482" s="10" t="s">
        <v>242</v>
      </c>
      <c r="D482" s="10">
        <v>2026</v>
      </c>
      <c r="E482" s="10">
        <v>0.81217331121211855</v>
      </c>
      <c r="F482" s="10" t="s">
        <v>243</v>
      </c>
      <c r="G482" s="10" t="s">
        <v>244</v>
      </c>
    </row>
    <row r="483" spans="1:7" x14ac:dyDescent="0.35">
      <c r="A483" s="100">
        <v>481</v>
      </c>
      <c r="B483" s="10" t="s">
        <v>248</v>
      </c>
      <c r="C483" s="10" t="s">
        <v>242</v>
      </c>
      <c r="D483" s="10">
        <v>2027</v>
      </c>
      <c r="E483" s="10">
        <v>0.78138973985918425</v>
      </c>
      <c r="F483" s="10" t="s">
        <v>243</v>
      </c>
      <c r="G483" s="10" t="s">
        <v>244</v>
      </c>
    </row>
    <row r="484" spans="1:7" x14ac:dyDescent="0.35">
      <c r="A484" s="100">
        <v>482</v>
      </c>
      <c r="B484" s="10" t="s">
        <v>248</v>
      </c>
      <c r="C484" s="10" t="s">
        <v>242</v>
      </c>
      <c r="D484" s="10">
        <v>2028</v>
      </c>
      <c r="E484" s="10">
        <v>0.74823830791602786</v>
      </c>
      <c r="F484" s="10" t="s">
        <v>243</v>
      </c>
      <c r="G484" s="10" t="s">
        <v>244</v>
      </c>
    </row>
    <row r="485" spans="1:7" x14ac:dyDescent="0.35">
      <c r="A485" s="100">
        <v>483</v>
      </c>
      <c r="B485" s="10" t="s">
        <v>248</v>
      </c>
      <c r="C485" s="10" t="s">
        <v>242</v>
      </c>
      <c r="D485" s="10">
        <v>2029</v>
      </c>
      <c r="E485" s="10">
        <v>0.71296310849350486</v>
      </c>
      <c r="F485" s="10" t="s">
        <v>243</v>
      </c>
      <c r="G485" s="10" t="s">
        <v>244</v>
      </c>
    </row>
    <row r="486" spans="1:7" x14ac:dyDescent="0.35">
      <c r="A486" s="100">
        <v>484</v>
      </c>
      <c r="B486" s="10" t="s">
        <v>248</v>
      </c>
      <c r="C486" s="10" t="s">
        <v>242</v>
      </c>
      <c r="D486" s="10">
        <v>2030</v>
      </c>
      <c r="E486" s="10">
        <v>0.67597782337499002</v>
      </c>
      <c r="F486" s="10" t="s">
        <v>243</v>
      </c>
      <c r="G486" s="10" t="s">
        <v>244</v>
      </c>
    </row>
    <row r="487" spans="1:7" x14ac:dyDescent="0.35">
      <c r="A487" s="100">
        <v>485</v>
      </c>
      <c r="B487" s="10" t="s">
        <v>248</v>
      </c>
      <c r="C487" s="10" t="s">
        <v>242</v>
      </c>
      <c r="D487" s="10">
        <v>2031</v>
      </c>
      <c r="E487" s="10">
        <v>0.63785529948646214</v>
      </c>
      <c r="F487" s="10" t="s">
        <v>243</v>
      </c>
      <c r="G487" s="10" t="s">
        <v>244</v>
      </c>
    </row>
    <row r="488" spans="1:7" x14ac:dyDescent="0.35">
      <c r="A488" s="100">
        <v>486</v>
      </c>
      <c r="B488" s="10" t="s">
        <v>248</v>
      </c>
      <c r="C488" s="10" t="s">
        <v>242</v>
      </c>
      <c r="D488" s="10">
        <v>2032</v>
      </c>
      <c r="E488" s="10">
        <v>0.5992926040683737</v>
      </c>
      <c r="F488" s="10" t="s">
        <v>243</v>
      </c>
      <c r="G488" s="10" t="s">
        <v>244</v>
      </c>
    </row>
    <row r="489" spans="1:7" x14ac:dyDescent="0.35">
      <c r="A489" s="100">
        <v>487</v>
      </c>
      <c r="B489" s="10" t="s">
        <v>248</v>
      </c>
      <c r="C489" s="10" t="s">
        <v>242</v>
      </c>
      <c r="D489" s="10">
        <v>2033</v>
      </c>
      <c r="E489" s="10">
        <v>0.56105447089263916</v>
      </c>
      <c r="F489" s="10" t="s">
        <v>243</v>
      </c>
      <c r="G489" s="10" t="s">
        <v>244</v>
      </c>
    </row>
    <row r="490" spans="1:7" x14ac:dyDescent="0.35">
      <c r="A490" s="100">
        <v>488</v>
      </c>
      <c r="B490" s="10" t="s">
        <v>248</v>
      </c>
      <c r="C490" s="10" t="s">
        <v>242</v>
      </c>
      <c r="D490" s="10">
        <v>2034</v>
      </c>
      <c r="E490" s="10">
        <v>0.5239041469899498</v>
      </c>
      <c r="F490" s="10" t="s">
        <v>243</v>
      </c>
      <c r="G490" s="10" t="s">
        <v>244</v>
      </c>
    </row>
    <row r="491" spans="1:7" x14ac:dyDescent="0.35">
      <c r="A491" s="100">
        <v>489</v>
      </c>
      <c r="B491" s="10" t="s">
        <v>248</v>
      </c>
      <c r="C491" s="10" t="s">
        <v>242</v>
      </c>
      <c r="D491" s="10">
        <v>2035</v>
      </c>
      <c r="E491" s="10">
        <v>0.48853452220304772</v>
      </c>
      <c r="F491" s="10" t="s">
        <v>243</v>
      </c>
      <c r="G491" s="10" t="s">
        <v>244</v>
      </c>
    </row>
    <row r="492" spans="1:7" x14ac:dyDescent="0.35">
      <c r="A492" s="100">
        <v>490</v>
      </c>
      <c r="B492" s="10" t="s">
        <v>248</v>
      </c>
      <c r="C492" s="10" t="s">
        <v>242</v>
      </c>
      <c r="D492" s="10">
        <v>2036</v>
      </c>
      <c r="E492" s="10">
        <v>0.45551233464769769</v>
      </c>
      <c r="F492" s="10" t="s">
        <v>243</v>
      </c>
      <c r="G492" s="10" t="s">
        <v>244</v>
      </c>
    </row>
    <row r="493" spans="1:7" x14ac:dyDescent="0.35">
      <c r="A493" s="100">
        <v>491</v>
      </c>
      <c r="B493" s="10" t="s">
        <v>248</v>
      </c>
      <c r="C493" s="10" t="s">
        <v>242</v>
      </c>
      <c r="D493" s="10">
        <v>2037</v>
      </c>
      <c r="E493" s="10">
        <v>0.42524423512588511</v>
      </c>
      <c r="F493" s="10" t="s">
        <v>243</v>
      </c>
      <c r="G493" s="10" t="s">
        <v>244</v>
      </c>
    </row>
    <row r="494" spans="1:7" x14ac:dyDescent="0.35">
      <c r="A494" s="100">
        <v>492</v>
      </c>
      <c r="B494" s="10" t="s">
        <v>248</v>
      </c>
      <c r="C494" s="10" t="s">
        <v>242</v>
      </c>
      <c r="D494" s="10">
        <v>2038</v>
      </c>
      <c r="E494" s="10">
        <v>0.39796735719652321</v>
      </c>
      <c r="F494" s="10" t="s">
        <v>243</v>
      </c>
      <c r="G494" s="10" t="s">
        <v>244</v>
      </c>
    </row>
    <row r="495" spans="1:7" x14ac:dyDescent="0.35">
      <c r="A495" s="100">
        <v>493</v>
      </c>
      <c r="B495" s="10" t="s">
        <v>248</v>
      </c>
      <c r="C495" s="10" t="s">
        <v>242</v>
      </c>
      <c r="D495" s="10">
        <v>2039</v>
      </c>
      <c r="E495" s="10">
        <v>0.37376124334000882</v>
      </c>
      <c r="F495" s="10" t="s">
        <v>243</v>
      </c>
      <c r="G495" s="10" t="s">
        <v>244</v>
      </c>
    </row>
    <row r="496" spans="1:7" x14ac:dyDescent="0.35">
      <c r="A496" s="100">
        <v>494</v>
      </c>
      <c r="B496" s="10" t="s">
        <v>248</v>
      </c>
      <c r="C496" s="10" t="s">
        <v>242</v>
      </c>
      <c r="D496" s="10">
        <v>2040</v>
      </c>
      <c r="E496" s="10">
        <v>0.35257435158515921</v>
      </c>
      <c r="F496" s="10" t="s">
        <v>243</v>
      </c>
      <c r="G496" s="10" t="s">
        <v>244</v>
      </c>
    </row>
    <row r="497" spans="1:7" x14ac:dyDescent="0.35">
      <c r="A497" s="100">
        <v>495</v>
      </c>
      <c r="B497" s="10" t="s">
        <v>248</v>
      </c>
      <c r="C497" s="10" t="s">
        <v>242</v>
      </c>
      <c r="D497" s="10">
        <v>2041</v>
      </c>
      <c r="E497" s="10">
        <v>0.33425743303134953</v>
      </c>
      <c r="F497" s="10" t="s">
        <v>243</v>
      </c>
      <c r="G497" s="10" t="s">
        <v>244</v>
      </c>
    </row>
    <row r="498" spans="1:7" x14ac:dyDescent="0.35">
      <c r="A498" s="100">
        <v>496</v>
      </c>
      <c r="B498" s="10" t="s">
        <v>248</v>
      </c>
      <c r="C498" s="10" t="s">
        <v>242</v>
      </c>
      <c r="D498" s="10">
        <v>2042</v>
      </c>
      <c r="E498" s="10">
        <v>0.31859722767263748</v>
      </c>
      <c r="F498" s="10" t="s">
        <v>243</v>
      </c>
      <c r="G498" s="10" t="s">
        <v>244</v>
      </c>
    </row>
    <row r="499" spans="1:7" x14ac:dyDescent="0.35">
      <c r="A499" s="100">
        <v>497</v>
      </c>
      <c r="B499" s="10" t="s">
        <v>248</v>
      </c>
      <c r="C499" s="10" t="s">
        <v>242</v>
      </c>
      <c r="D499" s="10">
        <v>2043</v>
      </c>
      <c r="E499" s="10">
        <v>0.30534609822948477</v>
      </c>
      <c r="F499" s="10" t="s">
        <v>243</v>
      </c>
      <c r="G499" s="10" t="s">
        <v>244</v>
      </c>
    </row>
    <row r="500" spans="1:7" x14ac:dyDescent="0.35">
      <c r="A500" s="100">
        <v>498</v>
      </c>
      <c r="B500" s="10" t="s">
        <v>248</v>
      </c>
      <c r="C500" s="10" t="s">
        <v>242</v>
      </c>
      <c r="D500" s="10">
        <v>2044</v>
      </c>
      <c r="E500" s="10">
        <v>0.29424545414136261</v>
      </c>
      <c r="F500" s="10" t="s">
        <v>243</v>
      </c>
      <c r="G500" s="10" t="s">
        <v>244</v>
      </c>
    </row>
    <row r="501" spans="1:7" x14ac:dyDescent="0.35">
      <c r="A501" s="100">
        <v>499</v>
      </c>
      <c r="B501" s="10" t="s">
        <v>248</v>
      </c>
      <c r="C501" s="10" t="s">
        <v>242</v>
      </c>
      <c r="D501" s="10">
        <v>2045</v>
      </c>
      <c r="E501" s="10">
        <v>0.28504255482699431</v>
      </c>
      <c r="F501" s="10" t="s">
        <v>243</v>
      </c>
      <c r="G501" s="10" t="s">
        <v>244</v>
      </c>
    </row>
    <row r="502" spans="1:7" x14ac:dyDescent="0.35">
      <c r="A502" s="100">
        <v>500</v>
      </c>
      <c r="B502" s="10" t="s">
        <v>248</v>
      </c>
      <c r="C502" s="10" t="s">
        <v>242</v>
      </c>
      <c r="D502" s="10">
        <v>2046</v>
      </c>
      <c r="E502" s="10">
        <v>0.27750135789415797</v>
      </c>
      <c r="F502" s="10" t="s">
        <v>243</v>
      </c>
      <c r="G502" s="10" t="s">
        <v>244</v>
      </c>
    </row>
    <row r="503" spans="1:7" x14ac:dyDescent="0.35">
      <c r="A503" s="100">
        <v>501</v>
      </c>
      <c r="B503" s="10" t="s">
        <v>248</v>
      </c>
      <c r="C503" s="10" t="s">
        <v>242</v>
      </c>
      <c r="D503" s="10">
        <v>2047</v>
      </c>
      <c r="E503" s="10">
        <v>0.27140857564587623</v>
      </c>
      <c r="F503" s="10" t="s">
        <v>243</v>
      </c>
      <c r="G503" s="10" t="s">
        <v>244</v>
      </c>
    </row>
    <row r="504" spans="1:7" x14ac:dyDescent="0.35">
      <c r="A504" s="100">
        <v>502</v>
      </c>
      <c r="B504" s="10" t="s">
        <v>248</v>
      </c>
      <c r="C504" s="10" t="s">
        <v>242</v>
      </c>
      <c r="D504" s="10">
        <v>2048</v>
      </c>
      <c r="E504" s="10">
        <v>0.26657619961411028</v>
      </c>
      <c r="F504" s="10" t="s">
        <v>243</v>
      </c>
      <c r="G504" s="10" t="s">
        <v>244</v>
      </c>
    </row>
    <row r="505" spans="1:7" x14ac:dyDescent="0.35">
      <c r="A505" s="100">
        <v>503</v>
      </c>
      <c r="B505" s="10" t="s">
        <v>248</v>
      </c>
      <c r="C505" s="10" t="s">
        <v>242</v>
      </c>
      <c r="D505" s="10">
        <v>2049</v>
      </c>
      <c r="E505" s="10">
        <v>0.26284162384195309</v>
      </c>
      <c r="F505" s="10" t="s">
        <v>243</v>
      </c>
      <c r="G505" s="10" t="s">
        <v>244</v>
      </c>
    </row>
    <row r="506" spans="1:7" x14ac:dyDescent="0.35">
      <c r="A506" s="100">
        <v>504</v>
      </c>
      <c r="B506" s="10" t="s">
        <v>248</v>
      </c>
      <c r="C506" s="10" t="s">
        <v>242</v>
      </c>
      <c r="D506" s="10">
        <v>2050</v>
      </c>
      <c r="E506" s="10">
        <v>0.26006627483544781</v>
      </c>
      <c r="F506" s="10" t="s">
        <v>243</v>
      </c>
      <c r="G506" s="10" t="s">
        <v>244</v>
      </c>
    </row>
    <row r="507" spans="1:7" x14ac:dyDescent="0.35">
      <c r="A507" s="100">
        <v>505</v>
      </c>
      <c r="B507" s="10" t="s">
        <v>248</v>
      </c>
      <c r="C507" s="10" t="s">
        <v>245</v>
      </c>
      <c r="D507" s="10">
        <v>1950</v>
      </c>
      <c r="E507" s="10">
        <v>0</v>
      </c>
      <c r="F507" s="10" t="s">
        <v>243</v>
      </c>
      <c r="G507" s="10" t="s">
        <v>244</v>
      </c>
    </row>
    <row r="508" spans="1:7" x14ac:dyDescent="0.35">
      <c r="A508" s="100">
        <v>506</v>
      </c>
      <c r="B508" s="10" t="s">
        <v>248</v>
      </c>
      <c r="C508" s="10" t="s">
        <v>245</v>
      </c>
      <c r="D508" s="10">
        <v>1951</v>
      </c>
      <c r="E508" s="10">
        <v>0</v>
      </c>
      <c r="F508" s="10" t="s">
        <v>243</v>
      </c>
      <c r="G508" s="10" t="s">
        <v>244</v>
      </c>
    </row>
    <row r="509" spans="1:7" x14ac:dyDescent="0.35">
      <c r="A509" s="100">
        <v>507</v>
      </c>
      <c r="B509" s="10" t="s">
        <v>248</v>
      </c>
      <c r="C509" s="10" t="s">
        <v>245</v>
      </c>
      <c r="D509" s="10">
        <v>1952</v>
      </c>
      <c r="E509" s="10">
        <v>0</v>
      </c>
      <c r="F509" s="10" t="s">
        <v>243</v>
      </c>
      <c r="G509" s="10" t="s">
        <v>244</v>
      </c>
    </row>
    <row r="510" spans="1:7" x14ac:dyDescent="0.35">
      <c r="A510" s="100">
        <v>508</v>
      </c>
      <c r="B510" s="10" t="s">
        <v>248</v>
      </c>
      <c r="C510" s="10" t="s">
        <v>245</v>
      </c>
      <c r="D510" s="10">
        <v>1953</v>
      </c>
      <c r="E510" s="10">
        <v>0</v>
      </c>
      <c r="F510" s="10" t="s">
        <v>243</v>
      </c>
      <c r="G510" s="10" t="s">
        <v>244</v>
      </c>
    </row>
    <row r="511" spans="1:7" x14ac:dyDescent="0.35">
      <c r="A511" s="100">
        <v>509</v>
      </c>
      <c r="B511" s="10" t="s">
        <v>248</v>
      </c>
      <c r="C511" s="10" t="s">
        <v>245</v>
      </c>
      <c r="D511" s="10">
        <v>1954</v>
      </c>
      <c r="E511" s="10">
        <v>0</v>
      </c>
      <c r="F511" s="10" t="s">
        <v>243</v>
      </c>
      <c r="G511" s="10" t="s">
        <v>244</v>
      </c>
    </row>
    <row r="512" spans="1:7" x14ac:dyDescent="0.35">
      <c r="A512" s="100">
        <v>510</v>
      </c>
      <c r="B512" s="10" t="s">
        <v>248</v>
      </c>
      <c r="C512" s="10" t="s">
        <v>245</v>
      </c>
      <c r="D512" s="10">
        <v>1955</v>
      </c>
      <c r="E512" s="10">
        <v>0</v>
      </c>
      <c r="F512" s="10" t="s">
        <v>243</v>
      </c>
      <c r="G512" s="10" t="s">
        <v>244</v>
      </c>
    </row>
    <row r="513" spans="1:7" x14ac:dyDescent="0.35">
      <c r="A513" s="100">
        <v>511</v>
      </c>
      <c r="B513" s="10" t="s">
        <v>248</v>
      </c>
      <c r="C513" s="10" t="s">
        <v>245</v>
      </c>
      <c r="D513" s="10">
        <v>1956</v>
      </c>
      <c r="E513" s="10">
        <v>0</v>
      </c>
      <c r="F513" s="10" t="s">
        <v>243</v>
      </c>
      <c r="G513" s="10" t="s">
        <v>244</v>
      </c>
    </row>
    <row r="514" spans="1:7" x14ac:dyDescent="0.35">
      <c r="A514" s="100">
        <v>512</v>
      </c>
      <c r="B514" s="10" t="s">
        <v>248</v>
      </c>
      <c r="C514" s="10" t="s">
        <v>245</v>
      </c>
      <c r="D514" s="10">
        <v>1957</v>
      </c>
      <c r="E514" s="10">
        <v>0</v>
      </c>
      <c r="F514" s="10" t="s">
        <v>243</v>
      </c>
      <c r="G514" s="10" t="s">
        <v>244</v>
      </c>
    </row>
    <row r="515" spans="1:7" x14ac:dyDescent="0.35">
      <c r="A515" s="100">
        <v>513</v>
      </c>
      <c r="B515" s="10" t="s">
        <v>248</v>
      </c>
      <c r="C515" s="10" t="s">
        <v>245</v>
      </c>
      <c r="D515" s="10">
        <v>1958</v>
      </c>
      <c r="E515" s="10">
        <v>0</v>
      </c>
      <c r="F515" s="10" t="s">
        <v>243</v>
      </c>
      <c r="G515" s="10" t="s">
        <v>244</v>
      </c>
    </row>
    <row r="516" spans="1:7" x14ac:dyDescent="0.35">
      <c r="A516" s="100">
        <v>514</v>
      </c>
      <c r="B516" s="10" t="s">
        <v>248</v>
      </c>
      <c r="C516" s="10" t="s">
        <v>245</v>
      </c>
      <c r="D516" s="10">
        <v>1959</v>
      </c>
      <c r="E516" s="10">
        <v>0</v>
      </c>
      <c r="F516" s="10" t="s">
        <v>243</v>
      </c>
      <c r="G516" s="10" t="s">
        <v>244</v>
      </c>
    </row>
    <row r="517" spans="1:7" x14ac:dyDescent="0.35">
      <c r="A517" s="100">
        <v>515</v>
      </c>
      <c r="B517" s="10" t="s">
        <v>248</v>
      </c>
      <c r="C517" s="10" t="s">
        <v>245</v>
      </c>
      <c r="D517" s="10">
        <v>1960</v>
      </c>
      <c r="E517" s="10">
        <v>0</v>
      </c>
      <c r="F517" s="10" t="s">
        <v>243</v>
      </c>
      <c r="G517" s="10" t="s">
        <v>244</v>
      </c>
    </row>
    <row r="518" spans="1:7" x14ac:dyDescent="0.35">
      <c r="A518" s="100">
        <v>516</v>
      </c>
      <c r="B518" s="10" t="s">
        <v>248</v>
      </c>
      <c r="C518" s="10" t="s">
        <v>245</v>
      </c>
      <c r="D518" s="10">
        <v>1961</v>
      </c>
      <c r="E518" s="10">
        <v>0</v>
      </c>
      <c r="F518" s="10" t="s">
        <v>243</v>
      </c>
      <c r="G518" s="10" t="s">
        <v>244</v>
      </c>
    </row>
    <row r="519" spans="1:7" x14ac:dyDescent="0.35">
      <c r="A519" s="100">
        <v>517</v>
      </c>
      <c r="B519" s="10" t="s">
        <v>248</v>
      </c>
      <c r="C519" s="10" t="s">
        <v>245</v>
      </c>
      <c r="D519" s="10">
        <v>1962</v>
      </c>
      <c r="E519" s="10">
        <v>0</v>
      </c>
      <c r="F519" s="10" t="s">
        <v>243</v>
      </c>
      <c r="G519" s="10" t="s">
        <v>244</v>
      </c>
    </row>
    <row r="520" spans="1:7" x14ac:dyDescent="0.35">
      <c r="A520" s="100">
        <v>518</v>
      </c>
      <c r="B520" s="10" t="s">
        <v>248</v>
      </c>
      <c r="C520" s="10" t="s">
        <v>245</v>
      </c>
      <c r="D520" s="10">
        <v>1963</v>
      </c>
      <c r="E520" s="10">
        <v>0</v>
      </c>
      <c r="F520" s="10" t="s">
        <v>243</v>
      </c>
      <c r="G520" s="10" t="s">
        <v>244</v>
      </c>
    </row>
    <row r="521" spans="1:7" x14ac:dyDescent="0.35">
      <c r="A521" s="100">
        <v>519</v>
      </c>
      <c r="B521" s="10" t="s">
        <v>248</v>
      </c>
      <c r="C521" s="10" t="s">
        <v>245</v>
      </c>
      <c r="D521" s="10">
        <v>1964</v>
      </c>
      <c r="E521" s="10">
        <v>0</v>
      </c>
      <c r="F521" s="10" t="s">
        <v>243</v>
      </c>
      <c r="G521" s="10" t="s">
        <v>244</v>
      </c>
    </row>
    <row r="522" spans="1:7" x14ac:dyDescent="0.35">
      <c r="A522" s="100">
        <v>520</v>
      </c>
      <c r="B522" s="10" t="s">
        <v>248</v>
      </c>
      <c r="C522" s="10" t="s">
        <v>245</v>
      </c>
      <c r="D522" s="10">
        <v>1965</v>
      </c>
      <c r="E522" s="10">
        <v>0</v>
      </c>
      <c r="F522" s="10" t="s">
        <v>243</v>
      </c>
      <c r="G522" s="10" t="s">
        <v>244</v>
      </c>
    </row>
    <row r="523" spans="1:7" x14ac:dyDescent="0.35">
      <c r="A523" s="100">
        <v>521</v>
      </c>
      <c r="B523" s="10" t="s">
        <v>248</v>
      </c>
      <c r="C523" s="10" t="s">
        <v>245</v>
      </c>
      <c r="D523" s="10">
        <v>1966</v>
      </c>
      <c r="E523" s="10">
        <v>0</v>
      </c>
      <c r="F523" s="10" t="s">
        <v>243</v>
      </c>
      <c r="G523" s="10" t="s">
        <v>244</v>
      </c>
    </row>
    <row r="524" spans="1:7" x14ac:dyDescent="0.35">
      <c r="A524" s="100">
        <v>522</v>
      </c>
      <c r="B524" s="10" t="s">
        <v>248</v>
      </c>
      <c r="C524" s="10" t="s">
        <v>245</v>
      </c>
      <c r="D524" s="10">
        <v>1967</v>
      </c>
      <c r="E524" s="10">
        <v>0</v>
      </c>
      <c r="F524" s="10" t="s">
        <v>243</v>
      </c>
      <c r="G524" s="10" t="s">
        <v>244</v>
      </c>
    </row>
    <row r="525" spans="1:7" x14ac:dyDescent="0.35">
      <c r="A525" s="100">
        <v>523</v>
      </c>
      <c r="B525" s="10" t="s">
        <v>248</v>
      </c>
      <c r="C525" s="10" t="s">
        <v>245</v>
      </c>
      <c r="D525" s="10">
        <v>1968</v>
      </c>
      <c r="E525" s="10">
        <v>0</v>
      </c>
      <c r="F525" s="10" t="s">
        <v>243</v>
      </c>
      <c r="G525" s="10" t="s">
        <v>244</v>
      </c>
    </row>
    <row r="526" spans="1:7" x14ac:dyDescent="0.35">
      <c r="A526" s="100">
        <v>524</v>
      </c>
      <c r="B526" s="10" t="s">
        <v>248</v>
      </c>
      <c r="C526" s="10" t="s">
        <v>245</v>
      </c>
      <c r="D526" s="10">
        <v>1969</v>
      </c>
      <c r="E526" s="10">
        <v>0</v>
      </c>
      <c r="F526" s="10" t="s">
        <v>243</v>
      </c>
      <c r="G526" s="10" t="s">
        <v>244</v>
      </c>
    </row>
    <row r="527" spans="1:7" x14ac:dyDescent="0.35">
      <c r="A527" s="100">
        <v>525</v>
      </c>
      <c r="B527" s="10" t="s">
        <v>248</v>
      </c>
      <c r="C527" s="10" t="s">
        <v>245</v>
      </c>
      <c r="D527" s="10">
        <v>1970</v>
      </c>
      <c r="E527" s="10">
        <v>0</v>
      </c>
      <c r="F527" s="10" t="s">
        <v>243</v>
      </c>
      <c r="G527" s="10" t="s">
        <v>244</v>
      </c>
    </row>
    <row r="528" spans="1:7" x14ac:dyDescent="0.35">
      <c r="A528" s="100">
        <v>526</v>
      </c>
      <c r="B528" s="10" t="s">
        <v>248</v>
      </c>
      <c r="C528" s="10" t="s">
        <v>245</v>
      </c>
      <c r="D528" s="10">
        <v>1971</v>
      </c>
      <c r="E528" s="10">
        <v>0</v>
      </c>
      <c r="F528" s="10" t="s">
        <v>243</v>
      </c>
      <c r="G528" s="10" t="s">
        <v>244</v>
      </c>
    </row>
    <row r="529" spans="1:7" x14ac:dyDescent="0.35">
      <c r="A529" s="100">
        <v>527</v>
      </c>
      <c r="B529" s="10" t="s">
        <v>248</v>
      </c>
      <c r="C529" s="10" t="s">
        <v>245</v>
      </c>
      <c r="D529" s="10">
        <v>1972</v>
      </c>
      <c r="E529" s="10">
        <v>0</v>
      </c>
      <c r="F529" s="10" t="s">
        <v>243</v>
      </c>
      <c r="G529" s="10" t="s">
        <v>244</v>
      </c>
    </row>
    <row r="530" spans="1:7" x14ac:dyDescent="0.35">
      <c r="A530" s="100">
        <v>528</v>
      </c>
      <c r="B530" s="10" t="s">
        <v>248</v>
      </c>
      <c r="C530" s="10" t="s">
        <v>245</v>
      </c>
      <c r="D530" s="10">
        <v>1973</v>
      </c>
      <c r="E530" s="10">
        <v>0</v>
      </c>
      <c r="F530" s="10" t="s">
        <v>243</v>
      </c>
      <c r="G530" s="10" t="s">
        <v>244</v>
      </c>
    </row>
    <row r="531" spans="1:7" x14ac:dyDescent="0.35">
      <c r="A531" s="100">
        <v>529</v>
      </c>
      <c r="B531" s="10" t="s">
        <v>248</v>
      </c>
      <c r="C531" s="10" t="s">
        <v>245</v>
      </c>
      <c r="D531" s="10">
        <v>1974</v>
      </c>
      <c r="E531" s="10">
        <v>0</v>
      </c>
      <c r="F531" s="10" t="s">
        <v>243</v>
      </c>
      <c r="G531" s="10" t="s">
        <v>244</v>
      </c>
    </row>
    <row r="532" spans="1:7" x14ac:dyDescent="0.35">
      <c r="A532" s="100">
        <v>530</v>
      </c>
      <c r="B532" s="10" t="s">
        <v>248</v>
      </c>
      <c r="C532" s="10" t="s">
        <v>245</v>
      </c>
      <c r="D532" s="10">
        <v>1975</v>
      </c>
      <c r="E532" s="10">
        <v>0</v>
      </c>
      <c r="F532" s="10" t="s">
        <v>243</v>
      </c>
      <c r="G532" s="10" t="s">
        <v>244</v>
      </c>
    </row>
    <row r="533" spans="1:7" x14ac:dyDescent="0.35">
      <c r="A533" s="100">
        <v>531</v>
      </c>
      <c r="B533" s="10" t="s">
        <v>248</v>
      </c>
      <c r="C533" s="10" t="s">
        <v>245</v>
      </c>
      <c r="D533" s="10">
        <v>1976</v>
      </c>
      <c r="E533" s="10">
        <v>0</v>
      </c>
      <c r="F533" s="10" t="s">
        <v>243</v>
      </c>
      <c r="G533" s="10" t="s">
        <v>244</v>
      </c>
    </row>
    <row r="534" spans="1:7" x14ac:dyDescent="0.35">
      <c r="A534" s="100">
        <v>532</v>
      </c>
      <c r="B534" s="10" t="s">
        <v>248</v>
      </c>
      <c r="C534" s="10" t="s">
        <v>245</v>
      </c>
      <c r="D534" s="10">
        <v>1977</v>
      </c>
      <c r="E534" s="10">
        <v>0</v>
      </c>
      <c r="F534" s="10" t="s">
        <v>243</v>
      </c>
      <c r="G534" s="10" t="s">
        <v>244</v>
      </c>
    </row>
    <row r="535" spans="1:7" x14ac:dyDescent="0.35">
      <c r="A535" s="100">
        <v>533</v>
      </c>
      <c r="B535" s="10" t="s">
        <v>248</v>
      </c>
      <c r="C535" s="10" t="s">
        <v>245</v>
      </c>
      <c r="D535" s="10">
        <v>1978</v>
      </c>
      <c r="E535" s="10">
        <v>0</v>
      </c>
      <c r="F535" s="10" t="s">
        <v>243</v>
      </c>
      <c r="G535" s="10" t="s">
        <v>244</v>
      </c>
    </row>
    <row r="536" spans="1:7" x14ac:dyDescent="0.35">
      <c r="A536" s="100">
        <v>534</v>
      </c>
      <c r="B536" s="10" t="s">
        <v>248</v>
      </c>
      <c r="C536" s="10" t="s">
        <v>245</v>
      </c>
      <c r="D536" s="10">
        <v>1979</v>
      </c>
      <c r="E536" s="10">
        <v>0</v>
      </c>
      <c r="F536" s="10" t="s">
        <v>243</v>
      </c>
      <c r="G536" s="10" t="s">
        <v>244</v>
      </c>
    </row>
    <row r="537" spans="1:7" x14ac:dyDescent="0.35">
      <c r="A537" s="100">
        <v>535</v>
      </c>
      <c r="B537" s="10" t="s">
        <v>248</v>
      </c>
      <c r="C537" s="10" t="s">
        <v>245</v>
      </c>
      <c r="D537" s="10">
        <v>1980</v>
      </c>
      <c r="E537" s="10">
        <v>0</v>
      </c>
      <c r="F537" s="10" t="s">
        <v>243</v>
      </c>
      <c r="G537" s="10" t="s">
        <v>244</v>
      </c>
    </row>
    <row r="538" spans="1:7" x14ac:dyDescent="0.35">
      <c r="A538" s="100">
        <v>536</v>
      </c>
      <c r="B538" s="10" t="s">
        <v>248</v>
      </c>
      <c r="C538" s="10" t="s">
        <v>245</v>
      </c>
      <c r="D538" s="10">
        <v>1981</v>
      </c>
      <c r="E538" s="10">
        <v>0</v>
      </c>
      <c r="F538" s="10" t="s">
        <v>243</v>
      </c>
      <c r="G538" s="10" t="s">
        <v>244</v>
      </c>
    </row>
    <row r="539" spans="1:7" x14ac:dyDescent="0.35">
      <c r="A539" s="100">
        <v>537</v>
      </c>
      <c r="B539" s="10" t="s">
        <v>248</v>
      </c>
      <c r="C539" s="10" t="s">
        <v>245</v>
      </c>
      <c r="D539" s="10">
        <v>1982</v>
      </c>
      <c r="E539" s="10">
        <v>0</v>
      </c>
      <c r="F539" s="10" t="s">
        <v>243</v>
      </c>
      <c r="G539" s="10" t="s">
        <v>244</v>
      </c>
    </row>
    <row r="540" spans="1:7" x14ac:dyDescent="0.35">
      <c r="A540" s="100">
        <v>538</v>
      </c>
      <c r="B540" s="10" t="s">
        <v>248</v>
      </c>
      <c r="C540" s="10" t="s">
        <v>245</v>
      </c>
      <c r="D540" s="10">
        <v>1983</v>
      </c>
      <c r="E540" s="10">
        <v>0</v>
      </c>
      <c r="F540" s="10" t="s">
        <v>243</v>
      </c>
      <c r="G540" s="10" t="s">
        <v>244</v>
      </c>
    </row>
    <row r="541" spans="1:7" x14ac:dyDescent="0.35">
      <c r="A541" s="100">
        <v>539</v>
      </c>
      <c r="B541" s="10" t="s">
        <v>248</v>
      </c>
      <c r="C541" s="10" t="s">
        <v>245</v>
      </c>
      <c r="D541" s="10">
        <v>1984</v>
      </c>
      <c r="E541" s="10">
        <v>0</v>
      </c>
      <c r="F541" s="10" t="s">
        <v>243</v>
      </c>
      <c r="G541" s="10" t="s">
        <v>244</v>
      </c>
    </row>
    <row r="542" spans="1:7" x14ac:dyDescent="0.35">
      <c r="A542" s="100">
        <v>540</v>
      </c>
      <c r="B542" s="10" t="s">
        <v>248</v>
      </c>
      <c r="C542" s="10" t="s">
        <v>245</v>
      </c>
      <c r="D542" s="10">
        <v>1985</v>
      </c>
      <c r="E542" s="10">
        <v>0</v>
      </c>
      <c r="F542" s="10" t="s">
        <v>243</v>
      </c>
      <c r="G542" s="10" t="s">
        <v>244</v>
      </c>
    </row>
    <row r="543" spans="1:7" x14ac:dyDescent="0.35">
      <c r="A543" s="100">
        <v>541</v>
      </c>
      <c r="B543" s="10" t="s">
        <v>248</v>
      </c>
      <c r="C543" s="10" t="s">
        <v>245</v>
      </c>
      <c r="D543" s="10">
        <v>1986</v>
      </c>
      <c r="E543" s="10">
        <v>0</v>
      </c>
      <c r="F543" s="10" t="s">
        <v>243</v>
      </c>
      <c r="G543" s="10" t="s">
        <v>244</v>
      </c>
    </row>
    <row r="544" spans="1:7" x14ac:dyDescent="0.35">
      <c r="A544" s="100">
        <v>542</v>
      </c>
      <c r="B544" s="10" t="s">
        <v>248</v>
      </c>
      <c r="C544" s="10" t="s">
        <v>245</v>
      </c>
      <c r="D544" s="10">
        <v>1987</v>
      </c>
      <c r="E544" s="10">
        <v>0</v>
      </c>
      <c r="F544" s="10" t="s">
        <v>243</v>
      </c>
      <c r="G544" s="10" t="s">
        <v>244</v>
      </c>
    </row>
    <row r="545" spans="1:7" x14ac:dyDescent="0.35">
      <c r="A545" s="100">
        <v>543</v>
      </c>
      <c r="B545" s="10" t="s">
        <v>248</v>
      </c>
      <c r="C545" s="10" t="s">
        <v>245</v>
      </c>
      <c r="D545" s="10">
        <v>1988</v>
      </c>
      <c r="E545" s="10">
        <v>0</v>
      </c>
      <c r="F545" s="10" t="s">
        <v>243</v>
      </c>
      <c r="G545" s="10" t="s">
        <v>244</v>
      </c>
    </row>
    <row r="546" spans="1:7" x14ac:dyDescent="0.35">
      <c r="A546" s="100">
        <v>544</v>
      </c>
      <c r="B546" s="10" t="s">
        <v>248</v>
      </c>
      <c r="C546" s="10" t="s">
        <v>245</v>
      </c>
      <c r="D546" s="10">
        <v>1989</v>
      </c>
      <c r="E546" s="10">
        <v>0</v>
      </c>
      <c r="F546" s="10" t="s">
        <v>243</v>
      </c>
      <c r="G546" s="10" t="s">
        <v>244</v>
      </c>
    </row>
    <row r="547" spans="1:7" x14ac:dyDescent="0.35">
      <c r="A547" s="100">
        <v>545</v>
      </c>
      <c r="B547" s="10" t="s">
        <v>248</v>
      </c>
      <c r="C547" s="10" t="s">
        <v>245</v>
      </c>
      <c r="D547" s="10">
        <v>1990</v>
      </c>
      <c r="E547" s="10">
        <v>0</v>
      </c>
      <c r="F547" s="10" t="s">
        <v>243</v>
      </c>
      <c r="G547" s="10" t="s">
        <v>244</v>
      </c>
    </row>
    <row r="548" spans="1:7" x14ac:dyDescent="0.35">
      <c r="A548" s="100">
        <v>546</v>
      </c>
      <c r="B548" s="10" t="s">
        <v>248</v>
      </c>
      <c r="C548" s="10" t="s">
        <v>245</v>
      </c>
      <c r="D548" s="10">
        <v>1991</v>
      </c>
      <c r="E548" s="10">
        <v>0</v>
      </c>
      <c r="F548" s="10" t="s">
        <v>243</v>
      </c>
      <c r="G548" s="10" t="s">
        <v>244</v>
      </c>
    </row>
    <row r="549" spans="1:7" x14ac:dyDescent="0.35">
      <c r="A549" s="100">
        <v>547</v>
      </c>
      <c r="B549" s="10" t="s">
        <v>248</v>
      </c>
      <c r="C549" s="10" t="s">
        <v>245</v>
      </c>
      <c r="D549" s="10">
        <v>1992</v>
      </c>
      <c r="E549" s="10">
        <v>0</v>
      </c>
      <c r="F549" s="10" t="s">
        <v>243</v>
      </c>
      <c r="G549" s="10" t="s">
        <v>244</v>
      </c>
    </row>
    <row r="550" spans="1:7" x14ac:dyDescent="0.35">
      <c r="A550" s="100">
        <v>548</v>
      </c>
      <c r="B550" s="10" t="s">
        <v>248</v>
      </c>
      <c r="C550" s="10" t="s">
        <v>245</v>
      </c>
      <c r="D550" s="10">
        <v>1993</v>
      </c>
      <c r="E550" s="10">
        <v>0</v>
      </c>
      <c r="F550" s="10" t="s">
        <v>243</v>
      </c>
      <c r="G550" s="10" t="s">
        <v>244</v>
      </c>
    </row>
    <row r="551" spans="1:7" x14ac:dyDescent="0.35">
      <c r="A551" s="100">
        <v>549</v>
      </c>
      <c r="B551" s="10" t="s">
        <v>248</v>
      </c>
      <c r="C551" s="10" t="s">
        <v>245</v>
      </c>
      <c r="D551" s="10">
        <v>1994</v>
      </c>
      <c r="E551" s="10">
        <v>0</v>
      </c>
      <c r="F551" s="10" t="s">
        <v>243</v>
      </c>
      <c r="G551" s="10" t="s">
        <v>244</v>
      </c>
    </row>
    <row r="552" spans="1:7" x14ac:dyDescent="0.35">
      <c r="A552" s="100">
        <v>550</v>
      </c>
      <c r="B552" s="10" t="s">
        <v>248</v>
      </c>
      <c r="C552" s="10" t="s">
        <v>245</v>
      </c>
      <c r="D552" s="10">
        <v>1995</v>
      </c>
      <c r="E552" s="10">
        <v>0</v>
      </c>
      <c r="F552" s="10" t="s">
        <v>243</v>
      </c>
      <c r="G552" s="10" t="s">
        <v>244</v>
      </c>
    </row>
    <row r="553" spans="1:7" x14ac:dyDescent="0.35">
      <c r="A553" s="100">
        <v>551</v>
      </c>
      <c r="B553" s="10" t="s">
        <v>248</v>
      </c>
      <c r="C553" s="10" t="s">
        <v>245</v>
      </c>
      <c r="D553" s="10">
        <v>1996</v>
      </c>
      <c r="E553" s="10">
        <v>0</v>
      </c>
      <c r="F553" s="10" t="s">
        <v>243</v>
      </c>
      <c r="G553" s="10" t="s">
        <v>244</v>
      </c>
    </row>
    <row r="554" spans="1:7" x14ac:dyDescent="0.35">
      <c r="A554" s="100">
        <v>552</v>
      </c>
      <c r="B554" s="10" t="s">
        <v>248</v>
      </c>
      <c r="C554" s="10" t="s">
        <v>245</v>
      </c>
      <c r="D554" s="10">
        <v>1997</v>
      </c>
      <c r="E554" s="10">
        <v>0</v>
      </c>
      <c r="F554" s="10" t="s">
        <v>243</v>
      </c>
      <c r="G554" s="10" t="s">
        <v>244</v>
      </c>
    </row>
    <row r="555" spans="1:7" x14ac:dyDescent="0.35">
      <c r="A555" s="100">
        <v>553</v>
      </c>
      <c r="B555" s="10" t="s">
        <v>248</v>
      </c>
      <c r="C555" s="10" t="s">
        <v>245</v>
      </c>
      <c r="D555" s="10">
        <v>1998</v>
      </c>
      <c r="E555" s="10">
        <v>0</v>
      </c>
      <c r="F555" s="10" t="s">
        <v>243</v>
      </c>
      <c r="G555" s="10" t="s">
        <v>244</v>
      </c>
    </row>
    <row r="556" spans="1:7" x14ac:dyDescent="0.35">
      <c r="A556" s="100">
        <v>554</v>
      </c>
      <c r="B556" s="10" t="s">
        <v>248</v>
      </c>
      <c r="C556" s="10" t="s">
        <v>245</v>
      </c>
      <c r="D556" s="10">
        <v>1999</v>
      </c>
      <c r="E556" s="10">
        <v>0</v>
      </c>
      <c r="F556" s="10" t="s">
        <v>243</v>
      </c>
      <c r="G556" s="10" t="s">
        <v>244</v>
      </c>
    </row>
    <row r="557" spans="1:7" x14ac:dyDescent="0.35">
      <c r="A557" s="100">
        <v>555</v>
      </c>
      <c r="B557" s="10" t="s">
        <v>248</v>
      </c>
      <c r="C557" s="10" t="s">
        <v>245</v>
      </c>
      <c r="D557" s="10">
        <v>2000</v>
      </c>
      <c r="E557" s="10">
        <v>0</v>
      </c>
      <c r="F557" s="10" t="s">
        <v>243</v>
      </c>
      <c r="G557" s="10" t="s">
        <v>244</v>
      </c>
    </row>
    <row r="558" spans="1:7" x14ac:dyDescent="0.35">
      <c r="A558" s="100">
        <v>556</v>
      </c>
      <c r="B558" s="10" t="s">
        <v>248</v>
      </c>
      <c r="C558" s="10" t="s">
        <v>245</v>
      </c>
      <c r="D558" s="10">
        <v>2001</v>
      </c>
      <c r="E558" s="10">
        <v>0</v>
      </c>
      <c r="F558" s="10" t="s">
        <v>243</v>
      </c>
      <c r="G558" s="10" t="s">
        <v>244</v>
      </c>
    </row>
    <row r="559" spans="1:7" x14ac:dyDescent="0.35">
      <c r="A559" s="100">
        <v>557</v>
      </c>
      <c r="B559" s="10" t="s">
        <v>248</v>
      </c>
      <c r="C559" s="10" t="s">
        <v>245</v>
      </c>
      <c r="D559" s="10">
        <v>2002</v>
      </c>
      <c r="E559" s="10">
        <v>0</v>
      </c>
      <c r="F559" s="10" t="s">
        <v>243</v>
      </c>
      <c r="G559" s="10" t="s">
        <v>244</v>
      </c>
    </row>
    <row r="560" spans="1:7" x14ac:dyDescent="0.35">
      <c r="A560" s="100">
        <v>558</v>
      </c>
      <c r="B560" s="10" t="s">
        <v>248</v>
      </c>
      <c r="C560" s="10" t="s">
        <v>245</v>
      </c>
      <c r="D560" s="10">
        <v>2003</v>
      </c>
      <c r="E560" s="10">
        <v>0</v>
      </c>
      <c r="F560" s="10" t="s">
        <v>243</v>
      </c>
      <c r="G560" s="10" t="s">
        <v>244</v>
      </c>
    </row>
    <row r="561" spans="1:7" x14ac:dyDescent="0.35">
      <c r="A561" s="100">
        <v>559</v>
      </c>
      <c r="B561" s="10" t="s">
        <v>248</v>
      </c>
      <c r="C561" s="10" t="s">
        <v>245</v>
      </c>
      <c r="D561" s="10">
        <v>2004</v>
      </c>
      <c r="E561" s="10">
        <v>0</v>
      </c>
      <c r="F561" s="10" t="s">
        <v>243</v>
      </c>
      <c r="G561" s="10" t="s">
        <v>244</v>
      </c>
    </row>
    <row r="562" spans="1:7" x14ac:dyDescent="0.35">
      <c r="A562" s="100">
        <v>560</v>
      </c>
      <c r="B562" s="10" t="s">
        <v>248</v>
      </c>
      <c r="C562" s="10" t="s">
        <v>245</v>
      </c>
      <c r="D562" s="10">
        <v>2005</v>
      </c>
      <c r="E562" s="10">
        <v>0</v>
      </c>
      <c r="F562" s="10" t="s">
        <v>243</v>
      </c>
      <c r="G562" s="10" t="s">
        <v>244</v>
      </c>
    </row>
    <row r="563" spans="1:7" x14ac:dyDescent="0.35">
      <c r="A563" s="100">
        <v>561</v>
      </c>
      <c r="B563" s="10" t="s">
        <v>248</v>
      </c>
      <c r="C563" s="10" t="s">
        <v>245</v>
      </c>
      <c r="D563" s="10">
        <v>2006</v>
      </c>
      <c r="E563" s="10">
        <v>0</v>
      </c>
      <c r="F563" s="10" t="s">
        <v>243</v>
      </c>
      <c r="G563" s="10" t="s">
        <v>244</v>
      </c>
    </row>
    <row r="564" spans="1:7" x14ac:dyDescent="0.35">
      <c r="A564" s="100">
        <v>562</v>
      </c>
      <c r="B564" s="10" t="s">
        <v>248</v>
      </c>
      <c r="C564" s="10" t="s">
        <v>245</v>
      </c>
      <c r="D564" s="10">
        <v>2007</v>
      </c>
      <c r="E564" s="10">
        <v>0</v>
      </c>
      <c r="F564" s="10" t="s">
        <v>243</v>
      </c>
      <c r="G564" s="10" t="s">
        <v>244</v>
      </c>
    </row>
    <row r="565" spans="1:7" x14ac:dyDescent="0.35">
      <c r="A565" s="100">
        <v>563</v>
      </c>
      <c r="B565" s="10" t="s">
        <v>248</v>
      </c>
      <c r="C565" s="10" t="s">
        <v>245</v>
      </c>
      <c r="D565" s="10">
        <v>2008</v>
      </c>
      <c r="E565" s="10">
        <v>0</v>
      </c>
      <c r="F565" s="10" t="s">
        <v>243</v>
      </c>
      <c r="G565" s="10" t="s">
        <v>244</v>
      </c>
    </row>
    <row r="566" spans="1:7" x14ac:dyDescent="0.35">
      <c r="A566" s="100">
        <v>564</v>
      </c>
      <c r="B566" s="10" t="s">
        <v>248</v>
      </c>
      <c r="C566" s="10" t="s">
        <v>245</v>
      </c>
      <c r="D566" s="10">
        <v>2009</v>
      </c>
      <c r="E566" s="10">
        <v>0</v>
      </c>
      <c r="F566" s="10" t="s">
        <v>243</v>
      </c>
      <c r="G566" s="10" t="s">
        <v>244</v>
      </c>
    </row>
    <row r="567" spans="1:7" x14ac:dyDescent="0.35">
      <c r="A567" s="100">
        <v>565</v>
      </c>
      <c r="B567" s="10" t="s">
        <v>248</v>
      </c>
      <c r="C567" s="10" t="s">
        <v>245</v>
      </c>
      <c r="D567" s="10">
        <v>2010</v>
      </c>
      <c r="E567" s="10">
        <v>0</v>
      </c>
      <c r="F567" s="10" t="s">
        <v>243</v>
      </c>
      <c r="G567" s="10" t="s">
        <v>244</v>
      </c>
    </row>
    <row r="568" spans="1:7" x14ac:dyDescent="0.35">
      <c r="A568" s="100">
        <v>566</v>
      </c>
      <c r="B568" s="10" t="s">
        <v>248</v>
      </c>
      <c r="C568" s="10" t="s">
        <v>245</v>
      </c>
      <c r="D568" s="10">
        <v>2011</v>
      </c>
      <c r="E568" s="10">
        <v>0</v>
      </c>
      <c r="F568" s="10" t="s">
        <v>243</v>
      </c>
      <c r="G568" s="10" t="s">
        <v>244</v>
      </c>
    </row>
    <row r="569" spans="1:7" x14ac:dyDescent="0.35">
      <c r="A569" s="100">
        <v>567</v>
      </c>
      <c r="B569" s="10" t="s">
        <v>248</v>
      </c>
      <c r="C569" s="10" t="s">
        <v>245</v>
      </c>
      <c r="D569" s="10">
        <v>2012</v>
      </c>
      <c r="E569" s="10">
        <v>0</v>
      </c>
      <c r="F569" s="10" t="s">
        <v>243</v>
      </c>
      <c r="G569" s="10" t="s">
        <v>244</v>
      </c>
    </row>
    <row r="570" spans="1:7" x14ac:dyDescent="0.35">
      <c r="A570" s="100">
        <v>568</v>
      </c>
      <c r="B570" s="10" t="s">
        <v>248</v>
      </c>
      <c r="C570" s="10" t="s">
        <v>245</v>
      </c>
      <c r="D570" s="10">
        <v>2013</v>
      </c>
      <c r="E570" s="10">
        <v>0</v>
      </c>
      <c r="F570" s="10" t="s">
        <v>243</v>
      </c>
      <c r="G570" s="10" t="s">
        <v>244</v>
      </c>
    </row>
    <row r="571" spans="1:7" x14ac:dyDescent="0.35">
      <c r="A571" s="100">
        <v>569</v>
      </c>
      <c r="B571" s="10" t="s">
        <v>248</v>
      </c>
      <c r="C571" s="10" t="s">
        <v>245</v>
      </c>
      <c r="D571" s="10">
        <v>2014</v>
      </c>
      <c r="E571" s="10">
        <v>2.324262729761196E-3</v>
      </c>
      <c r="F571" s="10" t="s">
        <v>243</v>
      </c>
      <c r="G571" s="10" t="s">
        <v>244</v>
      </c>
    </row>
    <row r="572" spans="1:7" x14ac:dyDescent="0.35">
      <c r="A572" s="100">
        <v>570</v>
      </c>
      <c r="B572" s="10" t="s">
        <v>248</v>
      </c>
      <c r="C572" s="10" t="s">
        <v>245</v>
      </c>
      <c r="D572" s="10">
        <v>2015</v>
      </c>
      <c r="E572" s="10">
        <v>5.1871029052926966E-3</v>
      </c>
      <c r="F572" s="10" t="s">
        <v>243</v>
      </c>
      <c r="G572" s="10" t="s">
        <v>244</v>
      </c>
    </row>
    <row r="573" spans="1:7" x14ac:dyDescent="0.35">
      <c r="A573" s="100">
        <v>571</v>
      </c>
      <c r="B573" s="10" t="s">
        <v>248</v>
      </c>
      <c r="C573" s="10" t="s">
        <v>245</v>
      </c>
      <c r="D573" s="10">
        <v>2016</v>
      </c>
      <c r="E573" s="10">
        <v>8.7061136962785814E-3</v>
      </c>
      <c r="F573" s="10" t="s">
        <v>243</v>
      </c>
      <c r="G573" s="10" t="s">
        <v>244</v>
      </c>
    </row>
    <row r="574" spans="1:7" x14ac:dyDescent="0.35">
      <c r="A574" s="100">
        <v>572</v>
      </c>
      <c r="B574" s="10" t="s">
        <v>248</v>
      </c>
      <c r="C574" s="10" t="s">
        <v>245</v>
      </c>
      <c r="D574" s="10">
        <v>2017</v>
      </c>
      <c r="E574" s="10">
        <v>1.3020830924009741E-2</v>
      </c>
      <c r="F574" s="10" t="s">
        <v>243</v>
      </c>
      <c r="G574" s="10" t="s">
        <v>244</v>
      </c>
    </row>
    <row r="575" spans="1:7" x14ac:dyDescent="0.35">
      <c r="A575" s="100">
        <v>573</v>
      </c>
      <c r="B575" s="10" t="s">
        <v>248</v>
      </c>
      <c r="C575" s="10" t="s">
        <v>245</v>
      </c>
      <c r="D575" s="10">
        <v>2018</v>
      </c>
      <c r="E575" s="10">
        <v>1.8294900319217829E-2</v>
      </c>
      <c r="F575" s="10" t="s">
        <v>243</v>
      </c>
      <c r="G575" s="10" t="s">
        <v>244</v>
      </c>
    </row>
    <row r="576" spans="1:7" x14ac:dyDescent="0.35">
      <c r="A576" s="100">
        <v>574</v>
      </c>
      <c r="B576" s="10" t="s">
        <v>248</v>
      </c>
      <c r="C576" s="10" t="s">
        <v>245</v>
      </c>
      <c r="D576" s="10">
        <v>2019</v>
      </c>
      <c r="E576" s="10">
        <v>2.4717400302116981E-2</v>
      </c>
      <c r="F576" s="10" t="s">
        <v>243</v>
      </c>
      <c r="G576" s="10" t="s">
        <v>244</v>
      </c>
    </row>
    <row r="577" spans="1:7" x14ac:dyDescent="0.35">
      <c r="A577" s="100">
        <v>575</v>
      </c>
      <c r="B577" s="10" t="s">
        <v>248</v>
      </c>
      <c r="C577" s="10" t="s">
        <v>245</v>
      </c>
      <c r="D577" s="10">
        <v>2020</v>
      </c>
      <c r="E577" s="10">
        <v>3.2502638370799947E-2</v>
      </c>
      <c r="F577" s="10" t="s">
        <v>243</v>
      </c>
      <c r="G577" s="10" t="s">
        <v>244</v>
      </c>
    </row>
    <row r="578" spans="1:7" x14ac:dyDescent="0.35">
      <c r="A578" s="100">
        <v>576</v>
      </c>
      <c r="B578" s="10" t="s">
        <v>248</v>
      </c>
      <c r="C578" s="10" t="s">
        <v>245</v>
      </c>
      <c r="D578" s="10">
        <v>2021</v>
      </c>
      <c r="E578" s="10">
        <v>4.1887503224447058E-2</v>
      </c>
      <c r="F578" s="10" t="s">
        <v>243</v>
      </c>
      <c r="G578" s="10" t="s">
        <v>244</v>
      </c>
    </row>
    <row r="579" spans="1:7" x14ac:dyDescent="0.35">
      <c r="A579" s="100">
        <v>577</v>
      </c>
      <c r="B579" s="10" t="s">
        <v>248</v>
      </c>
      <c r="C579" s="10" t="s">
        <v>245</v>
      </c>
      <c r="D579" s="10">
        <v>2022</v>
      </c>
      <c r="E579" s="10">
        <v>5.3125233912566613E-2</v>
      </c>
      <c r="F579" s="10" t="s">
        <v>243</v>
      </c>
      <c r="G579" s="10" t="s">
        <v>244</v>
      </c>
    </row>
    <row r="580" spans="1:7" x14ac:dyDescent="0.35">
      <c r="A580" s="100">
        <v>578</v>
      </c>
      <c r="B580" s="10" t="s">
        <v>248</v>
      </c>
      <c r="C580" s="10" t="s">
        <v>245</v>
      </c>
      <c r="D580" s="10">
        <v>2023</v>
      </c>
      <c r="E580" s="10">
        <v>6.647434469675037E-2</v>
      </c>
      <c r="F580" s="10" t="s">
        <v>243</v>
      </c>
      <c r="G580" s="10" t="s">
        <v>244</v>
      </c>
    </row>
    <row r="581" spans="1:7" x14ac:dyDescent="0.35">
      <c r="A581" s="100">
        <v>579</v>
      </c>
      <c r="B581" s="10" t="s">
        <v>248</v>
      </c>
      <c r="C581" s="10" t="s">
        <v>245</v>
      </c>
      <c r="D581" s="10">
        <v>2024</v>
      </c>
      <c r="E581" s="10">
        <v>8.2181553695107004E-2</v>
      </c>
      <c r="F581" s="10" t="s">
        <v>243</v>
      </c>
      <c r="G581" s="10" t="s">
        <v>244</v>
      </c>
    </row>
    <row r="582" spans="1:7" x14ac:dyDescent="0.35">
      <c r="A582" s="100">
        <v>580</v>
      </c>
      <c r="B582" s="10" t="s">
        <v>248</v>
      </c>
      <c r="C582" s="10" t="s">
        <v>245</v>
      </c>
      <c r="D582" s="10">
        <v>2025</v>
      </c>
      <c r="E582" s="10">
        <v>0.100458081884408</v>
      </c>
      <c r="F582" s="10" t="s">
        <v>243</v>
      </c>
      <c r="G582" s="10" t="s">
        <v>244</v>
      </c>
    </row>
    <row r="583" spans="1:7" x14ac:dyDescent="0.35">
      <c r="A583" s="100">
        <v>581</v>
      </c>
      <c r="B583" s="10" t="s">
        <v>248</v>
      </c>
      <c r="C583" s="10" t="s">
        <v>245</v>
      </c>
      <c r="D583" s="10">
        <v>2026</v>
      </c>
      <c r="E583" s="10">
        <v>0.1214497926706051</v>
      </c>
      <c r="F583" s="10" t="s">
        <v>243</v>
      </c>
      <c r="G583" s="10" t="s">
        <v>244</v>
      </c>
    </row>
    <row r="584" spans="1:7" x14ac:dyDescent="0.35">
      <c r="A584" s="100">
        <v>582</v>
      </c>
      <c r="B584" s="10" t="s">
        <v>248</v>
      </c>
      <c r="C584" s="10" t="s">
        <v>245</v>
      </c>
      <c r="D584" s="10">
        <v>2027</v>
      </c>
      <c r="E584" s="10">
        <v>0.1452034054499001</v>
      </c>
      <c r="F584" s="10" t="s">
        <v>243</v>
      </c>
      <c r="G584" s="10" t="s">
        <v>244</v>
      </c>
    </row>
    <row r="585" spans="1:7" x14ac:dyDescent="0.35">
      <c r="A585" s="100">
        <v>583</v>
      </c>
      <c r="B585" s="10" t="s">
        <v>248</v>
      </c>
      <c r="C585" s="10" t="s">
        <v>245</v>
      </c>
      <c r="D585" s="10">
        <v>2028</v>
      </c>
      <c r="E585" s="10">
        <v>0.17163326067124071</v>
      </c>
      <c r="F585" s="10" t="s">
        <v>243</v>
      </c>
      <c r="G585" s="10" t="s">
        <v>244</v>
      </c>
    </row>
    <row r="586" spans="1:7" x14ac:dyDescent="0.35">
      <c r="A586" s="100">
        <v>584</v>
      </c>
      <c r="B586" s="10" t="s">
        <v>248</v>
      </c>
      <c r="C586" s="10" t="s">
        <v>245</v>
      </c>
      <c r="D586" s="10">
        <v>2029</v>
      </c>
      <c r="E586" s="10">
        <v>0.200495265223885</v>
      </c>
      <c r="F586" s="10" t="s">
        <v>243</v>
      </c>
      <c r="G586" s="10" t="s">
        <v>244</v>
      </c>
    </row>
    <row r="587" spans="1:7" x14ac:dyDescent="0.35">
      <c r="A587" s="100">
        <v>585</v>
      </c>
      <c r="B587" s="10" t="s">
        <v>248</v>
      </c>
      <c r="C587" s="10" t="s">
        <v>245</v>
      </c>
      <c r="D587" s="10">
        <v>2030</v>
      </c>
      <c r="E587" s="10">
        <v>0.23137573732434449</v>
      </c>
      <c r="F587" s="10" t="s">
        <v>243</v>
      </c>
      <c r="G587" s="10" t="s">
        <v>244</v>
      </c>
    </row>
    <row r="588" spans="1:7" x14ac:dyDescent="0.35">
      <c r="A588" s="100">
        <v>586</v>
      </c>
      <c r="B588" s="10" t="s">
        <v>248</v>
      </c>
      <c r="C588" s="10" t="s">
        <v>245</v>
      </c>
      <c r="D588" s="10">
        <v>2031</v>
      </c>
      <c r="E588" s="10">
        <v>0.26370183004686798</v>
      </c>
      <c r="F588" s="10" t="s">
        <v>243</v>
      </c>
      <c r="G588" s="10" t="s">
        <v>244</v>
      </c>
    </row>
    <row r="589" spans="1:7" x14ac:dyDescent="0.35">
      <c r="A589" s="100">
        <v>587</v>
      </c>
      <c r="B589" s="10" t="s">
        <v>248</v>
      </c>
      <c r="C589" s="10" t="s">
        <v>245</v>
      </c>
      <c r="D589" s="10">
        <v>2032</v>
      </c>
      <c r="E589" s="10">
        <v>0.29677647615077568</v>
      </c>
      <c r="F589" s="10" t="s">
        <v>243</v>
      </c>
      <c r="G589" s="10" t="s">
        <v>244</v>
      </c>
    </row>
    <row r="590" spans="1:7" x14ac:dyDescent="0.35">
      <c r="A590" s="100">
        <v>588</v>
      </c>
      <c r="B590" s="10" t="s">
        <v>248</v>
      </c>
      <c r="C590" s="10" t="s">
        <v>245</v>
      </c>
      <c r="D590" s="10">
        <v>2033</v>
      </c>
      <c r="E590" s="10">
        <v>0.32983494186426637</v>
      </c>
      <c r="F590" s="10" t="s">
        <v>243</v>
      </c>
      <c r="G590" s="10" t="s">
        <v>244</v>
      </c>
    </row>
    <row r="591" spans="1:7" x14ac:dyDescent="0.35">
      <c r="A591" s="100">
        <v>589</v>
      </c>
      <c r="B591" s="10" t="s">
        <v>248</v>
      </c>
      <c r="C591" s="10" t="s">
        <v>245</v>
      </c>
      <c r="D591" s="10">
        <v>2034</v>
      </c>
      <c r="E591" s="10">
        <v>0.36211398015653551</v>
      </c>
      <c r="F591" s="10" t="s">
        <v>243</v>
      </c>
      <c r="G591" s="10" t="s">
        <v>244</v>
      </c>
    </row>
    <row r="592" spans="1:7" x14ac:dyDescent="0.35">
      <c r="A592" s="100">
        <v>590</v>
      </c>
      <c r="B592" s="10" t="s">
        <v>248</v>
      </c>
      <c r="C592" s="10" t="s">
        <v>245</v>
      </c>
      <c r="D592" s="10">
        <v>2035</v>
      </c>
      <c r="E592" s="10">
        <v>0.39292070118506822</v>
      </c>
      <c r="F592" s="10" t="s">
        <v>243</v>
      </c>
      <c r="G592" s="10" t="s">
        <v>244</v>
      </c>
    </row>
    <row r="593" spans="1:7" x14ac:dyDescent="0.35">
      <c r="A593" s="100">
        <v>591</v>
      </c>
      <c r="B593" s="10" t="s">
        <v>248</v>
      </c>
      <c r="C593" s="10" t="s">
        <v>245</v>
      </c>
      <c r="D593" s="10">
        <v>2036</v>
      </c>
      <c r="E593" s="10">
        <v>0.42168836683387217</v>
      </c>
      <c r="F593" s="10" t="s">
        <v>243</v>
      </c>
      <c r="G593" s="10" t="s">
        <v>244</v>
      </c>
    </row>
    <row r="594" spans="1:7" x14ac:dyDescent="0.35">
      <c r="A594" s="100">
        <v>592</v>
      </c>
      <c r="B594" s="10" t="s">
        <v>248</v>
      </c>
      <c r="C594" s="10" t="s">
        <v>245</v>
      </c>
      <c r="D594" s="10">
        <v>2037</v>
      </c>
      <c r="E594" s="10">
        <v>0.44801032630107612</v>
      </c>
      <c r="F594" s="10" t="s">
        <v>243</v>
      </c>
      <c r="G594" s="10" t="s">
        <v>244</v>
      </c>
    </row>
    <row r="595" spans="1:7" x14ac:dyDescent="0.35">
      <c r="A595" s="100">
        <v>593</v>
      </c>
      <c r="B595" s="10" t="s">
        <v>248</v>
      </c>
      <c r="C595" s="10" t="s">
        <v>245</v>
      </c>
      <c r="D595" s="10">
        <v>2038</v>
      </c>
      <c r="E595" s="10">
        <v>0.47164944602776621</v>
      </c>
      <c r="F595" s="10" t="s">
        <v>243</v>
      </c>
      <c r="G595" s="10" t="s">
        <v>244</v>
      </c>
    </row>
    <row r="596" spans="1:7" x14ac:dyDescent="0.35">
      <c r="A596" s="100">
        <v>594</v>
      </c>
      <c r="B596" s="10" t="s">
        <v>248</v>
      </c>
      <c r="C596" s="10" t="s">
        <v>245</v>
      </c>
      <c r="D596" s="10">
        <v>2039</v>
      </c>
      <c r="E596" s="10">
        <v>0.49252618353343253</v>
      </c>
      <c r="F596" s="10" t="s">
        <v>243</v>
      </c>
      <c r="G596" s="10" t="s">
        <v>244</v>
      </c>
    </row>
    <row r="597" spans="1:7" x14ac:dyDescent="0.35">
      <c r="A597" s="100">
        <v>595</v>
      </c>
      <c r="B597" s="10" t="s">
        <v>248</v>
      </c>
      <c r="C597" s="10" t="s">
        <v>245</v>
      </c>
      <c r="D597" s="10">
        <v>2040</v>
      </c>
      <c r="E597" s="10">
        <v>0.51069208078937112</v>
      </c>
      <c r="F597" s="10" t="s">
        <v>243</v>
      </c>
      <c r="G597" s="10" t="s">
        <v>244</v>
      </c>
    </row>
    <row r="598" spans="1:7" x14ac:dyDescent="0.35">
      <c r="A598" s="100">
        <v>596</v>
      </c>
      <c r="B598" s="10" t="s">
        <v>248</v>
      </c>
      <c r="C598" s="10" t="s">
        <v>245</v>
      </c>
      <c r="D598" s="10">
        <v>2041</v>
      </c>
      <c r="E598" s="10">
        <v>0.52629638669620693</v>
      </c>
      <c r="F598" s="10" t="s">
        <v>243</v>
      </c>
      <c r="G598" s="10" t="s">
        <v>244</v>
      </c>
    </row>
    <row r="599" spans="1:7" x14ac:dyDescent="0.35">
      <c r="A599" s="100">
        <v>597</v>
      </c>
      <c r="B599" s="10" t="s">
        <v>248</v>
      </c>
      <c r="C599" s="10" t="s">
        <v>245</v>
      </c>
      <c r="D599" s="10">
        <v>2042</v>
      </c>
      <c r="E599" s="10">
        <v>0.53955236125988215</v>
      </c>
      <c r="F599" s="10" t="s">
        <v>243</v>
      </c>
      <c r="G599" s="10" t="s">
        <v>244</v>
      </c>
    </row>
    <row r="600" spans="1:7" x14ac:dyDescent="0.35">
      <c r="A600" s="100">
        <v>598</v>
      </c>
      <c r="B600" s="10" t="s">
        <v>248</v>
      </c>
      <c r="C600" s="10" t="s">
        <v>245</v>
      </c>
      <c r="D600" s="10">
        <v>2043</v>
      </c>
      <c r="E600" s="10">
        <v>0.55070764175993536</v>
      </c>
      <c r="F600" s="10" t="s">
        <v>243</v>
      </c>
      <c r="G600" s="10" t="s">
        <v>244</v>
      </c>
    </row>
    <row r="601" spans="1:7" x14ac:dyDescent="0.35">
      <c r="A601" s="100">
        <v>599</v>
      </c>
      <c r="B601" s="10" t="s">
        <v>248</v>
      </c>
      <c r="C601" s="10" t="s">
        <v>245</v>
      </c>
      <c r="D601" s="10">
        <v>2044</v>
      </c>
      <c r="E601" s="10">
        <v>0.56002081875678145</v>
      </c>
      <c r="F601" s="10" t="s">
        <v>243</v>
      </c>
      <c r="G601" s="10" t="s">
        <v>244</v>
      </c>
    </row>
    <row r="602" spans="1:7" x14ac:dyDescent="0.35">
      <c r="A602" s="100">
        <v>600</v>
      </c>
      <c r="B602" s="10" t="s">
        <v>248</v>
      </c>
      <c r="C602" s="10" t="s">
        <v>245</v>
      </c>
      <c r="D602" s="10">
        <v>2045</v>
      </c>
      <c r="E602" s="10">
        <v>0.56774463283181087</v>
      </c>
      <c r="F602" s="10" t="s">
        <v>243</v>
      </c>
      <c r="G602" s="10" t="s">
        <v>244</v>
      </c>
    </row>
    <row r="603" spans="1:7" x14ac:dyDescent="0.35">
      <c r="A603" s="100">
        <v>601</v>
      </c>
      <c r="B603" s="10" t="s">
        <v>248</v>
      </c>
      <c r="C603" s="10" t="s">
        <v>245</v>
      </c>
      <c r="D603" s="10">
        <v>2046</v>
      </c>
      <c r="E603" s="10">
        <v>0.57411512637724538</v>
      </c>
      <c r="F603" s="10" t="s">
        <v>243</v>
      </c>
      <c r="G603" s="10" t="s">
        <v>244</v>
      </c>
    </row>
    <row r="604" spans="1:7" x14ac:dyDescent="0.35">
      <c r="A604" s="100">
        <v>602</v>
      </c>
      <c r="B604" s="10" t="s">
        <v>248</v>
      </c>
      <c r="C604" s="10" t="s">
        <v>245</v>
      </c>
      <c r="D604" s="10">
        <v>2047</v>
      </c>
      <c r="E604" s="10">
        <v>0.57934558709006256</v>
      </c>
      <c r="F604" s="10" t="s">
        <v>243</v>
      </c>
      <c r="G604" s="10" t="s">
        <v>244</v>
      </c>
    </row>
    <row r="605" spans="1:7" x14ac:dyDescent="0.35">
      <c r="A605" s="100">
        <v>603</v>
      </c>
      <c r="B605" s="10" t="s">
        <v>248</v>
      </c>
      <c r="C605" s="10" t="s">
        <v>245</v>
      </c>
      <c r="D605" s="10">
        <v>2048</v>
      </c>
      <c r="E605" s="10">
        <v>0.58362402343818731</v>
      </c>
      <c r="F605" s="10" t="s">
        <v>243</v>
      </c>
      <c r="G605" s="10" t="s">
        <v>244</v>
      </c>
    </row>
    <row r="606" spans="1:7" x14ac:dyDescent="0.35">
      <c r="A606" s="100">
        <v>604</v>
      </c>
      <c r="B606" s="10" t="s">
        <v>248</v>
      </c>
      <c r="C606" s="10" t="s">
        <v>245</v>
      </c>
      <c r="D606" s="10">
        <v>2049</v>
      </c>
      <c r="E606" s="10">
        <v>0.58711304137864051</v>
      </c>
      <c r="F606" s="10" t="s">
        <v>243</v>
      </c>
      <c r="G606" s="10" t="s">
        <v>244</v>
      </c>
    </row>
    <row r="607" spans="1:7" x14ac:dyDescent="0.35">
      <c r="A607" s="100">
        <v>605</v>
      </c>
      <c r="B607" s="10" t="s">
        <v>248</v>
      </c>
      <c r="C607" s="10" t="s">
        <v>245</v>
      </c>
      <c r="D607" s="10">
        <v>2050</v>
      </c>
      <c r="E607" s="10">
        <v>0.58995121440537901</v>
      </c>
      <c r="F607" s="10" t="s">
        <v>243</v>
      </c>
      <c r="G607" s="10" t="s">
        <v>244</v>
      </c>
    </row>
    <row r="608" spans="1:7" x14ac:dyDescent="0.35">
      <c r="A608" s="100">
        <v>606</v>
      </c>
      <c r="B608" s="10" t="s">
        <v>248</v>
      </c>
      <c r="C608" s="10" t="s">
        <v>246</v>
      </c>
      <c r="D608" s="10">
        <v>1950</v>
      </c>
      <c r="E608" s="10">
        <v>0</v>
      </c>
      <c r="F608" s="10" t="s">
        <v>243</v>
      </c>
      <c r="G608" s="10" t="s">
        <v>244</v>
      </c>
    </row>
    <row r="609" spans="1:7" x14ac:dyDescent="0.35">
      <c r="A609" s="100">
        <v>607</v>
      </c>
      <c r="B609" s="10" t="s">
        <v>248</v>
      </c>
      <c r="C609" s="10" t="s">
        <v>246</v>
      </c>
      <c r="D609" s="10">
        <v>1951</v>
      </c>
      <c r="E609" s="10">
        <v>0</v>
      </c>
      <c r="F609" s="10" t="s">
        <v>243</v>
      </c>
      <c r="G609" s="10" t="s">
        <v>244</v>
      </c>
    </row>
    <row r="610" spans="1:7" x14ac:dyDescent="0.35">
      <c r="A610" s="100">
        <v>608</v>
      </c>
      <c r="B610" s="10" t="s">
        <v>248</v>
      </c>
      <c r="C610" s="10" t="s">
        <v>246</v>
      </c>
      <c r="D610" s="10">
        <v>1952</v>
      </c>
      <c r="E610" s="10">
        <v>0</v>
      </c>
      <c r="F610" s="10" t="s">
        <v>243</v>
      </c>
      <c r="G610" s="10" t="s">
        <v>244</v>
      </c>
    </row>
    <row r="611" spans="1:7" x14ac:dyDescent="0.35">
      <c r="A611" s="100">
        <v>609</v>
      </c>
      <c r="B611" s="10" t="s">
        <v>248</v>
      </c>
      <c r="C611" s="10" t="s">
        <v>246</v>
      </c>
      <c r="D611" s="10">
        <v>1953</v>
      </c>
      <c r="E611" s="10">
        <v>0</v>
      </c>
      <c r="F611" s="10" t="s">
        <v>243</v>
      </c>
      <c r="G611" s="10" t="s">
        <v>244</v>
      </c>
    </row>
    <row r="612" spans="1:7" x14ac:dyDescent="0.35">
      <c r="A612" s="100">
        <v>610</v>
      </c>
      <c r="B612" s="10" t="s">
        <v>248</v>
      </c>
      <c r="C612" s="10" t="s">
        <v>246</v>
      </c>
      <c r="D612" s="10">
        <v>1954</v>
      </c>
      <c r="E612" s="10">
        <v>0</v>
      </c>
      <c r="F612" s="10" t="s">
        <v>243</v>
      </c>
      <c r="G612" s="10" t="s">
        <v>244</v>
      </c>
    </row>
    <row r="613" spans="1:7" x14ac:dyDescent="0.35">
      <c r="A613" s="100">
        <v>611</v>
      </c>
      <c r="B613" s="10" t="s">
        <v>248</v>
      </c>
      <c r="C613" s="10" t="s">
        <v>246</v>
      </c>
      <c r="D613" s="10">
        <v>1955</v>
      </c>
      <c r="E613" s="10">
        <v>0</v>
      </c>
      <c r="F613" s="10" t="s">
        <v>243</v>
      </c>
      <c r="G613" s="10" t="s">
        <v>244</v>
      </c>
    </row>
    <row r="614" spans="1:7" x14ac:dyDescent="0.35">
      <c r="A614" s="100">
        <v>612</v>
      </c>
      <c r="B614" s="10" t="s">
        <v>248</v>
      </c>
      <c r="C614" s="10" t="s">
        <v>246</v>
      </c>
      <c r="D614" s="10">
        <v>1956</v>
      </c>
      <c r="E614" s="10">
        <v>0</v>
      </c>
      <c r="F614" s="10" t="s">
        <v>243</v>
      </c>
      <c r="G614" s="10" t="s">
        <v>244</v>
      </c>
    </row>
    <row r="615" spans="1:7" x14ac:dyDescent="0.35">
      <c r="A615" s="100">
        <v>613</v>
      </c>
      <c r="B615" s="10" t="s">
        <v>248</v>
      </c>
      <c r="C615" s="10" t="s">
        <v>246</v>
      </c>
      <c r="D615" s="10">
        <v>1957</v>
      </c>
      <c r="E615" s="10">
        <v>0</v>
      </c>
      <c r="F615" s="10" t="s">
        <v>243</v>
      </c>
      <c r="G615" s="10" t="s">
        <v>244</v>
      </c>
    </row>
    <row r="616" spans="1:7" x14ac:dyDescent="0.35">
      <c r="A616" s="100">
        <v>614</v>
      </c>
      <c r="B616" s="10" t="s">
        <v>248</v>
      </c>
      <c r="C616" s="10" t="s">
        <v>246</v>
      </c>
      <c r="D616" s="10">
        <v>1958</v>
      </c>
      <c r="E616" s="10">
        <v>0</v>
      </c>
      <c r="F616" s="10" t="s">
        <v>243</v>
      </c>
      <c r="G616" s="10" t="s">
        <v>244</v>
      </c>
    </row>
    <row r="617" spans="1:7" x14ac:dyDescent="0.35">
      <c r="A617" s="100">
        <v>615</v>
      </c>
      <c r="B617" s="10" t="s">
        <v>248</v>
      </c>
      <c r="C617" s="10" t="s">
        <v>246</v>
      </c>
      <c r="D617" s="10">
        <v>1959</v>
      </c>
      <c r="E617" s="10">
        <v>0</v>
      </c>
      <c r="F617" s="10" t="s">
        <v>243</v>
      </c>
      <c r="G617" s="10" t="s">
        <v>244</v>
      </c>
    </row>
    <row r="618" spans="1:7" x14ac:dyDescent="0.35">
      <c r="A618" s="100">
        <v>616</v>
      </c>
      <c r="B618" s="10" t="s">
        <v>248</v>
      </c>
      <c r="C618" s="10" t="s">
        <v>246</v>
      </c>
      <c r="D618" s="10">
        <v>1960</v>
      </c>
      <c r="E618" s="10">
        <v>0</v>
      </c>
      <c r="F618" s="10" t="s">
        <v>243</v>
      </c>
      <c r="G618" s="10" t="s">
        <v>244</v>
      </c>
    </row>
    <row r="619" spans="1:7" x14ac:dyDescent="0.35">
      <c r="A619" s="100">
        <v>617</v>
      </c>
      <c r="B619" s="10" t="s">
        <v>248</v>
      </c>
      <c r="C619" s="10" t="s">
        <v>246</v>
      </c>
      <c r="D619" s="10">
        <v>1961</v>
      </c>
      <c r="E619" s="10">
        <v>0</v>
      </c>
      <c r="F619" s="10" t="s">
        <v>243</v>
      </c>
      <c r="G619" s="10" t="s">
        <v>244</v>
      </c>
    </row>
    <row r="620" spans="1:7" x14ac:dyDescent="0.35">
      <c r="A620" s="100">
        <v>618</v>
      </c>
      <c r="B620" s="10" t="s">
        <v>248</v>
      </c>
      <c r="C620" s="10" t="s">
        <v>246</v>
      </c>
      <c r="D620" s="10">
        <v>1962</v>
      </c>
      <c r="E620" s="10">
        <v>0</v>
      </c>
      <c r="F620" s="10" t="s">
        <v>243</v>
      </c>
      <c r="G620" s="10" t="s">
        <v>244</v>
      </c>
    </row>
    <row r="621" spans="1:7" x14ac:dyDescent="0.35">
      <c r="A621" s="100">
        <v>619</v>
      </c>
      <c r="B621" s="10" t="s">
        <v>248</v>
      </c>
      <c r="C621" s="10" t="s">
        <v>246</v>
      </c>
      <c r="D621" s="10">
        <v>1963</v>
      </c>
      <c r="E621" s="10">
        <v>0</v>
      </c>
      <c r="F621" s="10" t="s">
        <v>243</v>
      </c>
      <c r="G621" s="10" t="s">
        <v>244</v>
      </c>
    </row>
    <row r="622" spans="1:7" x14ac:dyDescent="0.35">
      <c r="A622" s="100">
        <v>620</v>
      </c>
      <c r="B622" s="10" t="s">
        <v>248</v>
      </c>
      <c r="C622" s="10" t="s">
        <v>246</v>
      </c>
      <c r="D622" s="10">
        <v>1964</v>
      </c>
      <c r="E622" s="10">
        <v>0</v>
      </c>
      <c r="F622" s="10" t="s">
        <v>243</v>
      </c>
      <c r="G622" s="10" t="s">
        <v>244</v>
      </c>
    </row>
    <row r="623" spans="1:7" x14ac:dyDescent="0.35">
      <c r="A623" s="100">
        <v>621</v>
      </c>
      <c r="B623" s="10" t="s">
        <v>248</v>
      </c>
      <c r="C623" s="10" t="s">
        <v>246</v>
      </c>
      <c r="D623" s="10">
        <v>1965</v>
      </c>
      <c r="E623" s="10">
        <v>0</v>
      </c>
      <c r="F623" s="10" t="s">
        <v>243</v>
      </c>
      <c r="G623" s="10" t="s">
        <v>244</v>
      </c>
    </row>
    <row r="624" spans="1:7" x14ac:dyDescent="0.35">
      <c r="A624" s="100">
        <v>622</v>
      </c>
      <c r="B624" s="10" t="s">
        <v>248</v>
      </c>
      <c r="C624" s="10" t="s">
        <v>246</v>
      </c>
      <c r="D624" s="10">
        <v>1966</v>
      </c>
      <c r="E624" s="10">
        <v>0</v>
      </c>
      <c r="F624" s="10" t="s">
        <v>243</v>
      </c>
      <c r="G624" s="10" t="s">
        <v>244</v>
      </c>
    </row>
    <row r="625" spans="1:7" x14ac:dyDescent="0.35">
      <c r="A625" s="100">
        <v>623</v>
      </c>
      <c r="B625" s="10" t="s">
        <v>248</v>
      </c>
      <c r="C625" s="10" t="s">
        <v>246</v>
      </c>
      <c r="D625" s="10">
        <v>1967</v>
      </c>
      <c r="E625" s="10">
        <v>0</v>
      </c>
      <c r="F625" s="10" t="s">
        <v>243</v>
      </c>
      <c r="G625" s="10" t="s">
        <v>244</v>
      </c>
    </row>
    <row r="626" spans="1:7" x14ac:dyDescent="0.35">
      <c r="A626" s="100">
        <v>624</v>
      </c>
      <c r="B626" s="10" t="s">
        <v>248</v>
      </c>
      <c r="C626" s="10" t="s">
        <v>246</v>
      </c>
      <c r="D626" s="10">
        <v>1968</v>
      </c>
      <c r="E626" s="10">
        <v>0</v>
      </c>
      <c r="F626" s="10" t="s">
        <v>243</v>
      </c>
      <c r="G626" s="10" t="s">
        <v>244</v>
      </c>
    </row>
    <row r="627" spans="1:7" x14ac:dyDescent="0.35">
      <c r="A627" s="100">
        <v>625</v>
      </c>
      <c r="B627" s="10" t="s">
        <v>248</v>
      </c>
      <c r="C627" s="10" t="s">
        <v>246</v>
      </c>
      <c r="D627" s="10">
        <v>1969</v>
      </c>
      <c r="E627" s="10">
        <v>0</v>
      </c>
      <c r="F627" s="10" t="s">
        <v>243</v>
      </c>
      <c r="G627" s="10" t="s">
        <v>244</v>
      </c>
    </row>
    <row r="628" spans="1:7" x14ac:dyDescent="0.35">
      <c r="A628" s="100">
        <v>626</v>
      </c>
      <c r="B628" s="10" t="s">
        <v>248</v>
      </c>
      <c r="C628" s="10" t="s">
        <v>246</v>
      </c>
      <c r="D628" s="10">
        <v>1970</v>
      </c>
      <c r="E628" s="10">
        <v>0</v>
      </c>
      <c r="F628" s="10" t="s">
        <v>243</v>
      </c>
      <c r="G628" s="10" t="s">
        <v>244</v>
      </c>
    </row>
    <row r="629" spans="1:7" x14ac:dyDescent="0.35">
      <c r="A629" s="100">
        <v>627</v>
      </c>
      <c r="B629" s="10" t="s">
        <v>248</v>
      </c>
      <c r="C629" s="10" t="s">
        <v>246</v>
      </c>
      <c r="D629" s="10">
        <v>1971</v>
      </c>
      <c r="E629" s="10">
        <v>0</v>
      </c>
      <c r="F629" s="10" t="s">
        <v>243</v>
      </c>
      <c r="G629" s="10" t="s">
        <v>244</v>
      </c>
    </row>
    <row r="630" spans="1:7" x14ac:dyDescent="0.35">
      <c r="A630" s="100">
        <v>628</v>
      </c>
      <c r="B630" s="10" t="s">
        <v>248</v>
      </c>
      <c r="C630" s="10" t="s">
        <v>246</v>
      </c>
      <c r="D630" s="10">
        <v>1972</v>
      </c>
      <c r="E630" s="10">
        <v>0</v>
      </c>
      <c r="F630" s="10" t="s">
        <v>243</v>
      </c>
      <c r="G630" s="10" t="s">
        <v>244</v>
      </c>
    </row>
    <row r="631" spans="1:7" x14ac:dyDescent="0.35">
      <c r="A631" s="100">
        <v>629</v>
      </c>
      <c r="B631" s="10" t="s">
        <v>248</v>
      </c>
      <c r="C631" s="10" t="s">
        <v>246</v>
      </c>
      <c r="D631" s="10">
        <v>1973</v>
      </c>
      <c r="E631" s="10">
        <v>0</v>
      </c>
      <c r="F631" s="10" t="s">
        <v>243</v>
      </c>
      <c r="G631" s="10" t="s">
        <v>244</v>
      </c>
    </row>
    <row r="632" spans="1:7" x14ac:dyDescent="0.35">
      <c r="A632" s="100">
        <v>630</v>
      </c>
      <c r="B632" s="10" t="s">
        <v>248</v>
      </c>
      <c r="C632" s="10" t="s">
        <v>246</v>
      </c>
      <c r="D632" s="10">
        <v>1974</v>
      </c>
      <c r="E632" s="10">
        <v>0</v>
      </c>
      <c r="F632" s="10" t="s">
        <v>243</v>
      </c>
      <c r="G632" s="10" t="s">
        <v>244</v>
      </c>
    </row>
    <row r="633" spans="1:7" x14ac:dyDescent="0.35">
      <c r="A633" s="100">
        <v>631</v>
      </c>
      <c r="B633" s="10" t="s">
        <v>248</v>
      </c>
      <c r="C633" s="10" t="s">
        <v>246</v>
      </c>
      <c r="D633" s="10">
        <v>1975</v>
      </c>
      <c r="E633" s="10">
        <v>0</v>
      </c>
      <c r="F633" s="10" t="s">
        <v>243</v>
      </c>
      <c r="G633" s="10" t="s">
        <v>244</v>
      </c>
    </row>
    <row r="634" spans="1:7" x14ac:dyDescent="0.35">
      <c r="A634" s="100">
        <v>632</v>
      </c>
      <c r="B634" s="10" t="s">
        <v>248</v>
      </c>
      <c r="C634" s="10" t="s">
        <v>246</v>
      </c>
      <c r="D634" s="10">
        <v>1976</v>
      </c>
      <c r="E634" s="10">
        <v>0</v>
      </c>
      <c r="F634" s="10" t="s">
        <v>243</v>
      </c>
      <c r="G634" s="10" t="s">
        <v>244</v>
      </c>
    </row>
    <row r="635" spans="1:7" x14ac:dyDescent="0.35">
      <c r="A635" s="100">
        <v>633</v>
      </c>
      <c r="B635" s="10" t="s">
        <v>248</v>
      </c>
      <c r="C635" s="10" t="s">
        <v>246</v>
      </c>
      <c r="D635" s="10">
        <v>1977</v>
      </c>
      <c r="E635" s="10">
        <v>0</v>
      </c>
      <c r="F635" s="10" t="s">
        <v>243</v>
      </c>
      <c r="G635" s="10" t="s">
        <v>244</v>
      </c>
    </row>
    <row r="636" spans="1:7" x14ac:dyDescent="0.35">
      <c r="A636" s="100">
        <v>634</v>
      </c>
      <c r="B636" s="10" t="s">
        <v>248</v>
      </c>
      <c r="C636" s="10" t="s">
        <v>246</v>
      </c>
      <c r="D636" s="10">
        <v>1978</v>
      </c>
      <c r="E636" s="10">
        <v>0</v>
      </c>
      <c r="F636" s="10" t="s">
        <v>243</v>
      </c>
      <c r="G636" s="10" t="s">
        <v>244</v>
      </c>
    </row>
    <row r="637" spans="1:7" x14ac:dyDescent="0.35">
      <c r="A637" s="100">
        <v>635</v>
      </c>
      <c r="B637" s="10" t="s">
        <v>248</v>
      </c>
      <c r="C637" s="10" t="s">
        <v>246</v>
      </c>
      <c r="D637" s="10">
        <v>1979</v>
      </c>
      <c r="E637" s="10">
        <v>0</v>
      </c>
      <c r="F637" s="10" t="s">
        <v>243</v>
      </c>
      <c r="G637" s="10" t="s">
        <v>244</v>
      </c>
    </row>
    <row r="638" spans="1:7" x14ac:dyDescent="0.35">
      <c r="A638" s="100">
        <v>636</v>
      </c>
      <c r="B638" s="10" t="s">
        <v>248</v>
      </c>
      <c r="C638" s="10" t="s">
        <v>246</v>
      </c>
      <c r="D638" s="10">
        <v>1980</v>
      </c>
      <c r="E638" s="10">
        <v>0</v>
      </c>
      <c r="F638" s="10" t="s">
        <v>243</v>
      </c>
      <c r="G638" s="10" t="s">
        <v>244</v>
      </c>
    </row>
    <row r="639" spans="1:7" x14ac:dyDescent="0.35">
      <c r="A639" s="100">
        <v>637</v>
      </c>
      <c r="B639" s="10" t="s">
        <v>248</v>
      </c>
      <c r="C639" s="10" t="s">
        <v>246</v>
      </c>
      <c r="D639" s="10">
        <v>1981</v>
      </c>
      <c r="E639" s="10">
        <v>0</v>
      </c>
      <c r="F639" s="10" t="s">
        <v>243</v>
      </c>
      <c r="G639" s="10" t="s">
        <v>244</v>
      </c>
    </row>
    <row r="640" spans="1:7" x14ac:dyDescent="0.35">
      <c r="A640" s="100">
        <v>638</v>
      </c>
      <c r="B640" s="10" t="s">
        <v>248</v>
      </c>
      <c r="C640" s="10" t="s">
        <v>246</v>
      </c>
      <c r="D640" s="10">
        <v>1982</v>
      </c>
      <c r="E640" s="10">
        <v>0</v>
      </c>
      <c r="F640" s="10" t="s">
        <v>243</v>
      </c>
      <c r="G640" s="10" t="s">
        <v>244</v>
      </c>
    </row>
    <row r="641" spans="1:7" x14ac:dyDescent="0.35">
      <c r="A641" s="100">
        <v>639</v>
      </c>
      <c r="B641" s="10" t="s">
        <v>248</v>
      </c>
      <c r="C641" s="10" t="s">
        <v>246</v>
      </c>
      <c r="D641" s="10">
        <v>1983</v>
      </c>
      <c r="E641" s="10">
        <v>0</v>
      </c>
      <c r="F641" s="10" t="s">
        <v>243</v>
      </c>
      <c r="G641" s="10" t="s">
        <v>244</v>
      </c>
    </row>
    <row r="642" spans="1:7" x14ac:dyDescent="0.35">
      <c r="A642" s="100">
        <v>640</v>
      </c>
      <c r="B642" s="10" t="s">
        <v>248</v>
      </c>
      <c r="C642" s="10" t="s">
        <v>246</v>
      </c>
      <c r="D642" s="10">
        <v>1984</v>
      </c>
      <c r="E642" s="10">
        <v>0</v>
      </c>
      <c r="F642" s="10" t="s">
        <v>243</v>
      </c>
      <c r="G642" s="10" t="s">
        <v>244</v>
      </c>
    </row>
    <row r="643" spans="1:7" x14ac:dyDescent="0.35">
      <c r="A643" s="100">
        <v>641</v>
      </c>
      <c r="B643" s="10" t="s">
        <v>248</v>
      </c>
      <c r="C643" s="10" t="s">
        <v>246</v>
      </c>
      <c r="D643" s="10">
        <v>1985</v>
      </c>
      <c r="E643" s="10">
        <v>0</v>
      </c>
      <c r="F643" s="10" t="s">
        <v>243</v>
      </c>
      <c r="G643" s="10" t="s">
        <v>244</v>
      </c>
    </row>
    <row r="644" spans="1:7" x14ac:dyDescent="0.35">
      <c r="A644" s="100">
        <v>642</v>
      </c>
      <c r="B644" s="10" t="s">
        <v>248</v>
      </c>
      <c r="C644" s="10" t="s">
        <v>246</v>
      </c>
      <c r="D644" s="10">
        <v>1986</v>
      </c>
      <c r="E644" s="10">
        <v>0</v>
      </c>
      <c r="F644" s="10" t="s">
        <v>243</v>
      </c>
      <c r="G644" s="10" t="s">
        <v>244</v>
      </c>
    </row>
    <row r="645" spans="1:7" x14ac:dyDescent="0.35">
      <c r="A645" s="100">
        <v>643</v>
      </c>
      <c r="B645" s="10" t="s">
        <v>248</v>
      </c>
      <c r="C645" s="10" t="s">
        <v>246</v>
      </c>
      <c r="D645" s="10">
        <v>1987</v>
      </c>
      <c r="E645" s="10">
        <v>0</v>
      </c>
      <c r="F645" s="10" t="s">
        <v>243</v>
      </c>
      <c r="G645" s="10" t="s">
        <v>244</v>
      </c>
    </row>
    <row r="646" spans="1:7" x14ac:dyDescent="0.35">
      <c r="A646" s="100">
        <v>644</v>
      </c>
      <c r="B646" s="10" t="s">
        <v>248</v>
      </c>
      <c r="C646" s="10" t="s">
        <v>246</v>
      </c>
      <c r="D646" s="10">
        <v>1988</v>
      </c>
      <c r="E646" s="10">
        <v>0</v>
      </c>
      <c r="F646" s="10" t="s">
        <v>243</v>
      </c>
      <c r="G646" s="10" t="s">
        <v>244</v>
      </c>
    </row>
    <row r="647" spans="1:7" x14ac:dyDescent="0.35">
      <c r="A647" s="100">
        <v>645</v>
      </c>
      <c r="B647" s="10" t="s">
        <v>248</v>
      </c>
      <c r="C647" s="10" t="s">
        <v>246</v>
      </c>
      <c r="D647" s="10">
        <v>1989</v>
      </c>
      <c r="E647" s="10">
        <v>0</v>
      </c>
      <c r="F647" s="10" t="s">
        <v>243</v>
      </c>
      <c r="G647" s="10" t="s">
        <v>244</v>
      </c>
    </row>
    <row r="648" spans="1:7" x14ac:dyDescent="0.35">
      <c r="A648" s="100">
        <v>646</v>
      </c>
      <c r="B648" s="10" t="s">
        <v>248</v>
      </c>
      <c r="C648" s="10" t="s">
        <v>246</v>
      </c>
      <c r="D648" s="10">
        <v>1990</v>
      </c>
      <c r="E648" s="10">
        <v>0</v>
      </c>
      <c r="F648" s="10" t="s">
        <v>243</v>
      </c>
      <c r="G648" s="10" t="s">
        <v>244</v>
      </c>
    </row>
    <row r="649" spans="1:7" x14ac:dyDescent="0.35">
      <c r="A649" s="100">
        <v>647</v>
      </c>
      <c r="B649" s="10" t="s">
        <v>248</v>
      </c>
      <c r="C649" s="10" t="s">
        <v>246</v>
      </c>
      <c r="D649" s="10">
        <v>1991</v>
      </c>
      <c r="E649" s="10">
        <v>0</v>
      </c>
      <c r="F649" s="10" t="s">
        <v>243</v>
      </c>
      <c r="G649" s="10" t="s">
        <v>244</v>
      </c>
    </row>
    <row r="650" spans="1:7" x14ac:dyDescent="0.35">
      <c r="A650" s="100">
        <v>648</v>
      </c>
      <c r="B650" s="10" t="s">
        <v>248</v>
      </c>
      <c r="C650" s="10" t="s">
        <v>246</v>
      </c>
      <c r="D650" s="10">
        <v>1992</v>
      </c>
      <c r="E650" s="10">
        <v>0</v>
      </c>
      <c r="F650" s="10" t="s">
        <v>243</v>
      </c>
      <c r="G650" s="10" t="s">
        <v>244</v>
      </c>
    </row>
    <row r="651" spans="1:7" x14ac:dyDescent="0.35">
      <c r="A651" s="100">
        <v>649</v>
      </c>
      <c r="B651" s="10" t="s">
        <v>248</v>
      </c>
      <c r="C651" s="10" t="s">
        <v>246</v>
      </c>
      <c r="D651" s="10">
        <v>1993</v>
      </c>
      <c r="E651" s="10">
        <v>0</v>
      </c>
      <c r="F651" s="10" t="s">
        <v>243</v>
      </c>
      <c r="G651" s="10" t="s">
        <v>244</v>
      </c>
    </row>
    <row r="652" spans="1:7" x14ac:dyDescent="0.35">
      <c r="A652" s="100">
        <v>650</v>
      </c>
      <c r="B652" s="10" t="s">
        <v>248</v>
      </c>
      <c r="C652" s="10" t="s">
        <v>246</v>
      </c>
      <c r="D652" s="10">
        <v>1994</v>
      </c>
      <c r="E652" s="10">
        <v>0</v>
      </c>
      <c r="F652" s="10" t="s">
        <v>243</v>
      </c>
      <c r="G652" s="10" t="s">
        <v>244</v>
      </c>
    </row>
    <row r="653" spans="1:7" x14ac:dyDescent="0.35">
      <c r="A653" s="100">
        <v>651</v>
      </c>
      <c r="B653" s="10" t="s">
        <v>248</v>
      </c>
      <c r="C653" s="10" t="s">
        <v>246</v>
      </c>
      <c r="D653" s="10">
        <v>1995</v>
      </c>
      <c r="E653" s="10">
        <v>0</v>
      </c>
      <c r="F653" s="10" t="s">
        <v>243</v>
      </c>
      <c r="G653" s="10" t="s">
        <v>244</v>
      </c>
    </row>
    <row r="654" spans="1:7" x14ac:dyDescent="0.35">
      <c r="A654" s="100">
        <v>652</v>
      </c>
      <c r="B654" s="10" t="s">
        <v>248</v>
      </c>
      <c r="C654" s="10" t="s">
        <v>246</v>
      </c>
      <c r="D654" s="10">
        <v>1996</v>
      </c>
      <c r="E654" s="10">
        <v>0</v>
      </c>
      <c r="F654" s="10" t="s">
        <v>243</v>
      </c>
      <c r="G654" s="10" t="s">
        <v>244</v>
      </c>
    </row>
    <row r="655" spans="1:7" x14ac:dyDescent="0.35">
      <c r="A655" s="100">
        <v>653</v>
      </c>
      <c r="B655" s="10" t="s">
        <v>248</v>
      </c>
      <c r="C655" s="10" t="s">
        <v>246</v>
      </c>
      <c r="D655" s="10">
        <v>1997</v>
      </c>
      <c r="E655" s="10">
        <v>0</v>
      </c>
      <c r="F655" s="10" t="s">
        <v>243</v>
      </c>
      <c r="G655" s="10" t="s">
        <v>244</v>
      </c>
    </row>
    <row r="656" spans="1:7" x14ac:dyDescent="0.35">
      <c r="A656" s="100">
        <v>654</v>
      </c>
      <c r="B656" s="10" t="s">
        <v>248</v>
      </c>
      <c r="C656" s="10" t="s">
        <v>246</v>
      </c>
      <c r="D656" s="10">
        <v>1998</v>
      </c>
      <c r="E656" s="10">
        <v>0</v>
      </c>
      <c r="F656" s="10" t="s">
        <v>243</v>
      </c>
      <c r="G656" s="10" t="s">
        <v>244</v>
      </c>
    </row>
    <row r="657" spans="1:7" x14ac:dyDescent="0.35">
      <c r="A657" s="100">
        <v>655</v>
      </c>
      <c r="B657" s="10" t="s">
        <v>248</v>
      </c>
      <c r="C657" s="10" t="s">
        <v>246</v>
      </c>
      <c r="D657" s="10">
        <v>1999</v>
      </c>
      <c r="E657" s="10">
        <v>0</v>
      </c>
      <c r="F657" s="10" t="s">
        <v>243</v>
      </c>
      <c r="G657" s="10" t="s">
        <v>244</v>
      </c>
    </row>
    <row r="658" spans="1:7" x14ac:dyDescent="0.35">
      <c r="A658" s="100">
        <v>656</v>
      </c>
      <c r="B658" s="10" t="s">
        <v>248</v>
      </c>
      <c r="C658" s="10" t="s">
        <v>246</v>
      </c>
      <c r="D658" s="10">
        <v>2000</v>
      </c>
      <c r="E658" s="10">
        <v>0</v>
      </c>
      <c r="F658" s="10" t="s">
        <v>243</v>
      </c>
      <c r="G658" s="10" t="s">
        <v>244</v>
      </c>
    </row>
    <row r="659" spans="1:7" x14ac:dyDescent="0.35">
      <c r="A659" s="100">
        <v>657</v>
      </c>
      <c r="B659" s="10" t="s">
        <v>248</v>
      </c>
      <c r="C659" s="10" t="s">
        <v>246</v>
      </c>
      <c r="D659" s="10">
        <v>2001</v>
      </c>
      <c r="E659" s="10">
        <v>0</v>
      </c>
      <c r="F659" s="10" t="s">
        <v>243</v>
      </c>
      <c r="G659" s="10" t="s">
        <v>244</v>
      </c>
    </row>
    <row r="660" spans="1:7" x14ac:dyDescent="0.35">
      <c r="A660" s="100">
        <v>658</v>
      </c>
      <c r="B660" s="10" t="s">
        <v>248</v>
      </c>
      <c r="C660" s="10" t="s">
        <v>246</v>
      </c>
      <c r="D660" s="10">
        <v>2002</v>
      </c>
      <c r="E660" s="10">
        <v>0</v>
      </c>
      <c r="F660" s="10" t="s">
        <v>243</v>
      </c>
      <c r="G660" s="10" t="s">
        <v>244</v>
      </c>
    </row>
    <row r="661" spans="1:7" x14ac:dyDescent="0.35">
      <c r="A661" s="100">
        <v>659</v>
      </c>
      <c r="B661" s="10" t="s">
        <v>248</v>
      </c>
      <c r="C661" s="10" t="s">
        <v>246</v>
      </c>
      <c r="D661" s="10">
        <v>2003</v>
      </c>
      <c r="E661" s="10">
        <v>0</v>
      </c>
      <c r="F661" s="10" t="s">
        <v>243</v>
      </c>
      <c r="G661" s="10" t="s">
        <v>244</v>
      </c>
    </row>
    <row r="662" spans="1:7" x14ac:dyDescent="0.35">
      <c r="A662" s="100">
        <v>660</v>
      </c>
      <c r="B662" s="10" t="s">
        <v>248</v>
      </c>
      <c r="C662" s="10" t="s">
        <v>246</v>
      </c>
      <c r="D662" s="10">
        <v>2004</v>
      </c>
      <c r="E662" s="10">
        <v>0</v>
      </c>
      <c r="F662" s="10" t="s">
        <v>243</v>
      </c>
      <c r="G662" s="10" t="s">
        <v>244</v>
      </c>
    </row>
    <row r="663" spans="1:7" x14ac:dyDescent="0.35">
      <c r="A663" s="100">
        <v>661</v>
      </c>
      <c r="B663" s="10" t="s">
        <v>248</v>
      </c>
      <c r="C663" s="10" t="s">
        <v>246</v>
      </c>
      <c r="D663" s="10">
        <v>2005</v>
      </c>
      <c r="E663" s="10">
        <v>0</v>
      </c>
      <c r="F663" s="10" t="s">
        <v>243</v>
      </c>
      <c r="G663" s="10" t="s">
        <v>244</v>
      </c>
    </row>
    <row r="664" spans="1:7" x14ac:dyDescent="0.35">
      <c r="A664" s="100">
        <v>662</v>
      </c>
      <c r="B664" s="10" t="s">
        <v>248</v>
      </c>
      <c r="C664" s="10" t="s">
        <v>246</v>
      </c>
      <c r="D664" s="10">
        <v>2006</v>
      </c>
      <c r="E664" s="10">
        <v>0</v>
      </c>
      <c r="F664" s="10" t="s">
        <v>243</v>
      </c>
      <c r="G664" s="10" t="s">
        <v>244</v>
      </c>
    </row>
    <row r="665" spans="1:7" x14ac:dyDescent="0.35">
      <c r="A665" s="100">
        <v>663</v>
      </c>
      <c r="B665" s="10" t="s">
        <v>248</v>
      </c>
      <c r="C665" s="10" t="s">
        <v>246</v>
      </c>
      <c r="D665" s="10">
        <v>2007</v>
      </c>
      <c r="E665" s="10">
        <v>0</v>
      </c>
      <c r="F665" s="10" t="s">
        <v>243</v>
      </c>
      <c r="G665" s="10" t="s">
        <v>244</v>
      </c>
    </row>
    <row r="666" spans="1:7" x14ac:dyDescent="0.35">
      <c r="A666" s="100">
        <v>664</v>
      </c>
      <c r="B666" s="10" t="s">
        <v>248</v>
      </c>
      <c r="C666" s="10" t="s">
        <v>246</v>
      </c>
      <c r="D666" s="10">
        <v>2008</v>
      </c>
      <c r="E666" s="10">
        <v>0</v>
      </c>
      <c r="F666" s="10" t="s">
        <v>243</v>
      </c>
      <c r="G666" s="10" t="s">
        <v>244</v>
      </c>
    </row>
    <row r="667" spans="1:7" x14ac:dyDescent="0.35">
      <c r="A667" s="100">
        <v>665</v>
      </c>
      <c r="B667" s="10" t="s">
        <v>248</v>
      </c>
      <c r="C667" s="10" t="s">
        <v>246</v>
      </c>
      <c r="D667" s="10">
        <v>2009</v>
      </c>
      <c r="E667" s="10">
        <v>0</v>
      </c>
      <c r="F667" s="10" t="s">
        <v>243</v>
      </c>
      <c r="G667" s="10" t="s">
        <v>244</v>
      </c>
    </row>
    <row r="668" spans="1:7" x14ac:dyDescent="0.35">
      <c r="A668" s="100">
        <v>666</v>
      </c>
      <c r="B668" s="10" t="s">
        <v>248</v>
      </c>
      <c r="C668" s="10" t="s">
        <v>246</v>
      </c>
      <c r="D668" s="10">
        <v>2010</v>
      </c>
      <c r="E668" s="10">
        <v>0</v>
      </c>
      <c r="F668" s="10" t="s">
        <v>243</v>
      </c>
      <c r="G668" s="10" t="s">
        <v>244</v>
      </c>
    </row>
    <row r="669" spans="1:7" x14ac:dyDescent="0.35">
      <c r="A669" s="100">
        <v>667</v>
      </c>
      <c r="B669" s="10" t="s">
        <v>248</v>
      </c>
      <c r="C669" s="10" t="s">
        <v>246</v>
      </c>
      <c r="D669" s="10">
        <v>2011</v>
      </c>
      <c r="E669" s="10">
        <v>0</v>
      </c>
      <c r="F669" s="10" t="s">
        <v>243</v>
      </c>
      <c r="G669" s="10" t="s">
        <v>244</v>
      </c>
    </row>
    <row r="670" spans="1:7" x14ac:dyDescent="0.35">
      <c r="A670" s="100">
        <v>668</v>
      </c>
      <c r="B670" s="10" t="s">
        <v>248</v>
      </c>
      <c r="C670" s="10" t="s">
        <v>246</v>
      </c>
      <c r="D670" s="10">
        <v>2012</v>
      </c>
      <c r="E670" s="10">
        <v>0</v>
      </c>
      <c r="F670" s="10" t="s">
        <v>243</v>
      </c>
      <c r="G670" s="10" t="s">
        <v>244</v>
      </c>
    </row>
    <row r="671" spans="1:7" x14ac:dyDescent="0.35">
      <c r="A671" s="100">
        <v>669</v>
      </c>
      <c r="B671" s="10" t="s">
        <v>248</v>
      </c>
      <c r="C671" s="10" t="s">
        <v>246</v>
      </c>
      <c r="D671" s="10">
        <v>2013</v>
      </c>
      <c r="E671" s="10">
        <v>0</v>
      </c>
      <c r="F671" s="10" t="s">
        <v>243</v>
      </c>
      <c r="G671" s="10" t="s">
        <v>244</v>
      </c>
    </row>
    <row r="672" spans="1:7" x14ac:dyDescent="0.35">
      <c r="A672" s="100">
        <v>670</v>
      </c>
      <c r="B672" s="10" t="s">
        <v>248</v>
      </c>
      <c r="C672" s="10" t="s">
        <v>246</v>
      </c>
      <c r="D672" s="10">
        <v>2014</v>
      </c>
      <c r="E672" s="10">
        <v>0</v>
      </c>
      <c r="F672" s="10" t="s">
        <v>243</v>
      </c>
      <c r="G672" s="10" t="s">
        <v>244</v>
      </c>
    </row>
    <row r="673" spans="1:7" x14ac:dyDescent="0.35">
      <c r="A673" s="100">
        <v>671</v>
      </c>
      <c r="B673" s="10" t="s">
        <v>248</v>
      </c>
      <c r="C673" s="10" t="s">
        <v>246</v>
      </c>
      <c r="D673" s="10">
        <v>2015</v>
      </c>
      <c r="E673" s="10">
        <v>0</v>
      </c>
      <c r="F673" s="10" t="s">
        <v>243</v>
      </c>
      <c r="G673" s="10" t="s">
        <v>244</v>
      </c>
    </row>
    <row r="674" spans="1:7" x14ac:dyDescent="0.35">
      <c r="A674" s="100">
        <v>672</v>
      </c>
      <c r="B674" s="10" t="s">
        <v>248</v>
      </c>
      <c r="C674" s="10" t="s">
        <v>246</v>
      </c>
      <c r="D674" s="10">
        <v>2016</v>
      </c>
      <c r="E674" s="10">
        <v>0</v>
      </c>
      <c r="F674" s="10" t="s">
        <v>243</v>
      </c>
      <c r="G674" s="10" t="s">
        <v>244</v>
      </c>
    </row>
    <row r="675" spans="1:7" x14ac:dyDescent="0.35">
      <c r="A675" s="100">
        <v>673</v>
      </c>
      <c r="B675" s="10" t="s">
        <v>248</v>
      </c>
      <c r="C675" s="10" t="s">
        <v>246</v>
      </c>
      <c r="D675" s="10">
        <v>2017</v>
      </c>
      <c r="E675" s="10">
        <v>0</v>
      </c>
      <c r="F675" s="10" t="s">
        <v>243</v>
      </c>
      <c r="G675" s="10" t="s">
        <v>244</v>
      </c>
    </row>
    <row r="676" spans="1:7" x14ac:dyDescent="0.35">
      <c r="A676" s="100">
        <v>674</v>
      </c>
      <c r="B676" s="10" t="s">
        <v>248</v>
      </c>
      <c r="C676" s="10" t="s">
        <v>246</v>
      </c>
      <c r="D676" s="10">
        <v>2018</v>
      </c>
      <c r="E676" s="10">
        <v>0</v>
      </c>
      <c r="F676" s="10" t="s">
        <v>243</v>
      </c>
      <c r="G676" s="10" t="s">
        <v>244</v>
      </c>
    </row>
    <row r="677" spans="1:7" x14ac:dyDescent="0.35">
      <c r="A677" s="100">
        <v>675</v>
      </c>
      <c r="B677" s="10" t="s">
        <v>248</v>
      </c>
      <c r="C677" s="10" t="s">
        <v>246</v>
      </c>
      <c r="D677" s="10">
        <v>2019</v>
      </c>
      <c r="E677" s="10">
        <v>8.532494247788236E-3</v>
      </c>
      <c r="F677" s="10" t="s">
        <v>243</v>
      </c>
      <c r="G677" s="10" t="s">
        <v>244</v>
      </c>
    </row>
    <row r="678" spans="1:7" x14ac:dyDescent="0.35">
      <c r="A678" s="100">
        <v>676</v>
      </c>
      <c r="B678" s="10" t="s">
        <v>248</v>
      </c>
      <c r="C678" s="10" t="s">
        <v>246</v>
      </c>
      <c r="D678" s="10">
        <v>2020</v>
      </c>
      <c r="E678" s="10">
        <v>1.7721125784873951E-2</v>
      </c>
      <c r="F678" s="10" t="s">
        <v>243</v>
      </c>
      <c r="G678" s="10" t="s">
        <v>244</v>
      </c>
    </row>
    <row r="679" spans="1:7" x14ac:dyDescent="0.35">
      <c r="A679" s="100">
        <v>677</v>
      </c>
      <c r="B679" s="10" t="s">
        <v>248</v>
      </c>
      <c r="C679" s="10" t="s">
        <v>246</v>
      </c>
      <c r="D679" s="10">
        <v>2021</v>
      </c>
      <c r="E679" s="10">
        <v>2.66013754700225E-2</v>
      </c>
      <c r="F679" s="10" t="s">
        <v>243</v>
      </c>
      <c r="G679" s="10" t="s">
        <v>244</v>
      </c>
    </row>
    <row r="680" spans="1:7" x14ac:dyDescent="0.35">
      <c r="A680" s="100">
        <v>678</v>
      </c>
      <c r="B680" s="10" t="s">
        <v>248</v>
      </c>
      <c r="C680" s="10" t="s">
        <v>246</v>
      </c>
      <c r="D680" s="10">
        <v>2022</v>
      </c>
      <c r="E680" s="10">
        <v>3.5173243303233903E-2</v>
      </c>
      <c r="F680" s="10" t="s">
        <v>243</v>
      </c>
      <c r="G680" s="10" t="s">
        <v>244</v>
      </c>
    </row>
    <row r="681" spans="1:7" x14ac:dyDescent="0.35">
      <c r="A681" s="100">
        <v>679</v>
      </c>
      <c r="B681" s="10" t="s">
        <v>248</v>
      </c>
      <c r="C681" s="10" t="s">
        <v>246</v>
      </c>
      <c r="D681" s="10">
        <v>2023</v>
      </c>
      <c r="E681" s="10">
        <v>4.3436729284621833E-2</v>
      </c>
      <c r="F681" s="10" t="s">
        <v>243</v>
      </c>
      <c r="G681" s="10" t="s">
        <v>244</v>
      </c>
    </row>
    <row r="682" spans="1:7" x14ac:dyDescent="0.35">
      <c r="A682" s="100">
        <v>680</v>
      </c>
      <c r="B682" s="10" t="s">
        <v>248</v>
      </c>
      <c r="C682" s="10" t="s">
        <v>246</v>
      </c>
      <c r="D682" s="10">
        <v>2024</v>
      </c>
      <c r="E682" s="10">
        <v>5.1391833414072607E-2</v>
      </c>
      <c r="F682" s="10" t="s">
        <v>243</v>
      </c>
      <c r="G682" s="10" t="s">
        <v>244</v>
      </c>
    </row>
    <row r="683" spans="1:7" x14ac:dyDescent="0.35">
      <c r="A683" s="100">
        <v>681</v>
      </c>
      <c r="B683" s="10" t="s">
        <v>248</v>
      </c>
      <c r="C683" s="10" t="s">
        <v>246</v>
      </c>
      <c r="D683" s="10">
        <v>2025</v>
      </c>
      <c r="E683" s="10">
        <v>5.9038555691586232E-2</v>
      </c>
      <c r="F683" s="10" t="s">
        <v>243</v>
      </c>
      <c r="G683" s="10" t="s">
        <v>244</v>
      </c>
    </row>
    <row r="684" spans="1:7" x14ac:dyDescent="0.35">
      <c r="A684" s="100">
        <v>682</v>
      </c>
      <c r="B684" s="10" t="s">
        <v>248</v>
      </c>
      <c r="C684" s="10" t="s">
        <v>246</v>
      </c>
      <c r="D684" s="10">
        <v>2026</v>
      </c>
      <c r="E684" s="10">
        <v>6.6376896117276374E-2</v>
      </c>
      <c r="F684" s="10" t="s">
        <v>243</v>
      </c>
      <c r="G684" s="10" t="s">
        <v>244</v>
      </c>
    </row>
    <row r="685" spans="1:7" x14ac:dyDescent="0.35">
      <c r="A685" s="100">
        <v>683</v>
      </c>
      <c r="B685" s="10" t="s">
        <v>248</v>
      </c>
      <c r="C685" s="10" t="s">
        <v>246</v>
      </c>
      <c r="D685" s="10">
        <v>2027</v>
      </c>
      <c r="E685" s="10">
        <v>7.3406854690915679E-2</v>
      </c>
      <c r="F685" s="10" t="s">
        <v>243</v>
      </c>
      <c r="G685" s="10" t="s">
        <v>244</v>
      </c>
    </row>
    <row r="686" spans="1:7" x14ac:dyDescent="0.35">
      <c r="A686" s="100">
        <v>684</v>
      </c>
      <c r="B686" s="10" t="s">
        <v>248</v>
      </c>
      <c r="C686" s="10" t="s">
        <v>246</v>
      </c>
      <c r="D686" s="10">
        <v>2028</v>
      </c>
      <c r="E686" s="10">
        <v>8.0128431412731516E-2</v>
      </c>
      <c r="F686" s="10" t="s">
        <v>243</v>
      </c>
      <c r="G686" s="10" t="s">
        <v>244</v>
      </c>
    </row>
    <row r="687" spans="1:7" x14ac:dyDescent="0.35">
      <c r="A687" s="100">
        <v>685</v>
      </c>
      <c r="B687" s="10" t="s">
        <v>248</v>
      </c>
      <c r="C687" s="10" t="s">
        <v>246</v>
      </c>
      <c r="D687" s="10">
        <v>2029</v>
      </c>
      <c r="E687" s="10">
        <v>8.6541626282610196E-2</v>
      </c>
      <c r="F687" s="10" t="s">
        <v>243</v>
      </c>
      <c r="G687" s="10" t="s">
        <v>244</v>
      </c>
    </row>
    <row r="688" spans="1:7" x14ac:dyDescent="0.35">
      <c r="A688" s="100">
        <v>686</v>
      </c>
      <c r="B688" s="10" t="s">
        <v>248</v>
      </c>
      <c r="C688" s="10" t="s">
        <v>246</v>
      </c>
      <c r="D688" s="10">
        <v>2030</v>
      </c>
      <c r="E688" s="10">
        <v>9.2646439300665406E-2</v>
      </c>
      <c r="F688" s="10" t="s">
        <v>243</v>
      </c>
      <c r="G688" s="10" t="s">
        <v>244</v>
      </c>
    </row>
    <row r="689" spans="1:7" x14ac:dyDescent="0.35">
      <c r="A689" s="100">
        <v>687</v>
      </c>
      <c r="B689" s="10" t="s">
        <v>248</v>
      </c>
      <c r="C689" s="10" t="s">
        <v>246</v>
      </c>
      <c r="D689" s="10">
        <v>2031</v>
      </c>
      <c r="E689" s="10">
        <v>9.8442870466669774E-2</v>
      </c>
      <c r="F689" s="10" t="s">
        <v>243</v>
      </c>
      <c r="G689" s="10" t="s">
        <v>244</v>
      </c>
    </row>
    <row r="690" spans="1:7" x14ac:dyDescent="0.35">
      <c r="A690" s="100">
        <v>688</v>
      </c>
      <c r="B690" s="10" t="s">
        <v>248</v>
      </c>
      <c r="C690" s="10" t="s">
        <v>246</v>
      </c>
      <c r="D690" s="10">
        <v>2032</v>
      </c>
      <c r="E690" s="10">
        <v>0.1039309197808507</v>
      </c>
      <c r="F690" s="10" t="s">
        <v>243</v>
      </c>
      <c r="G690" s="10" t="s">
        <v>244</v>
      </c>
    </row>
    <row r="691" spans="1:7" x14ac:dyDescent="0.35">
      <c r="A691" s="100">
        <v>689</v>
      </c>
      <c r="B691" s="10" t="s">
        <v>248</v>
      </c>
      <c r="C691" s="10" t="s">
        <v>246</v>
      </c>
      <c r="D691" s="10">
        <v>2033</v>
      </c>
      <c r="E691" s="10">
        <v>0.1091105872430944</v>
      </c>
      <c r="F691" s="10" t="s">
        <v>243</v>
      </c>
      <c r="G691" s="10" t="s">
        <v>244</v>
      </c>
    </row>
    <row r="692" spans="1:7" x14ac:dyDescent="0.35">
      <c r="A692" s="100">
        <v>690</v>
      </c>
      <c r="B692" s="10" t="s">
        <v>248</v>
      </c>
      <c r="C692" s="10" t="s">
        <v>246</v>
      </c>
      <c r="D692" s="10">
        <v>2034</v>
      </c>
      <c r="E692" s="10">
        <v>0.1139818728535147</v>
      </c>
      <c r="F692" s="10" t="s">
        <v>243</v>
      </c>
      <c r="G692" s="10" t="s">
        <v>244</v>
      </c>
    </row>
    <row r="693" spans="1:7" x14ac:dyDescent="0.35">
      <c r="A693" s="100">
        <v>691</v>
      </c>
      <c r="B693" s="10" t="s">
        <v>248</v>
      </c>
      <c r="C693" s="10" t="s">
        <v>246</v>
      </c>
      <c r="D693" s="10">
        <v>2035</v>
      </c>
      <c r="E693" s="10">
        <v>0.1185447766118841</v>
      </c>
      <c r="F693" s="10" t="s">
        <v>243</v>
      </c>
      <c r="G693" s="10" t="s">
        <v>244</v>
      </c>
    </row>
    <row r="694" spans="1:7" x14ac:dyDescent="0.35">
      <c r="A694" s="100">
        <v>692</v>
      </c>
      <c r="B694" s="10" t="s">
        <v>248</v>
      </c>
      <c r="C694" s="10" t="s">
        <v>246</v>
      </c>
      <c r="D694" s="10">
        <v>2036</v>
      </c>
      <c r="E694" s="10">
        <v>0.12279929851843011</v>
      </c>
      <c r="F694" s="10" t="s">
        <v>243</v>
      </c>
      <c r="G694" s="10" t="s">
        <v>244</v>
      </c>
    </row>
    <row r="695" spans="1:7" x14ac:dyDescent="0.35">
      <c r="A695" s="100">
        <v>693</v>
      </c>
      <c r="B695" s="10" t="s">
        <v>248</v>
      </c>
      <c r="C695" s="10" t="s">
        <v>246</v>
      </c>
      <c r="D695" s="10">
        <v>2037</v>
      </c>
      <c r="E695" s="10">
        <v>0.12674543857303891</v>
      </c>
      <c r="F695" s="10" t="s">
        <v>243</v>
      </c>
      <c r="G695" s="10" t="s">
        <v>244</v>
      </c>
    </row>
    <row r="696" spans="1:7" x14ac:dyDescent="0.35">
      <c r="A696" s="100">
        <v>694</v>
      </c>
      <c r="B696" s="10" t="s">
        <v>248</v>
      </c>
      <c r="C696" s="10" t="s">
        <v>246</v>
      </c>
      <c r="D696" s="10">
        <v>2038</v>
      </c>
      <c r="E696" s="10">
        <v>0.1303831967757105</v>
      </c>
      <c r="F696" s="10" t="s">
        <v>243</v>
      </c>
      <c r="G696" s="10" t="s">
        <v>244</v>
      </c>
    </row>
    <row r="697" spans="1:7" x14ac:dyDescent="0.35">
      <c r="A697" s="100">
        <v>695</v>
      </c>
      <c r="B697" s="10" t="s">
        <v>248</v>
      </c>
      <c r="C697" s="10" t="s">
        <v>246</v>
      </c>
      <c r="D697" s="10">
        <v>2039</v>
      </c>
      <c r="E697" s="10">
        <v>0.13371257312655871</v>
      </c>
      <c r="F697" s="10" t="s">
        <v>243</v>
      </c>
      <c r="G697" s="10" t="s">
        <v>244</v>
      </c>
    </row>
    <row r="698" spans="1:7" x14ac:dyDescent="0.35">
      <c r="A698" s="100">
        <v>696</v>
      </c>
      <c r="B698" s="10" t="s">
        <v>248</v>
      </c>
      <c r="C698" s="10" t="s">
        <v>246</v>
      </c>
      <c r="D698" s="10">
        <v>2040</v>
      </c>
      <c r="E698" s="10">
        <v>0.1367335676254697</v>
      </c>
      <c r="F698" s="10" t="s">
        <v>243</v>
      </c>
      <c r="G698" s="10" t="s">
        <v>244</v>
      </c>
    </row>
    <row r="699" spans="1:7" x14ac:dyDescent="0.35">
      <c r="A699" s="100">
        <v>697</v>
      </c>
      <c r="B699" s="10" t="s">
        <v>248</v>
      </c>
      <c r="C699" s="10" t="s">
        <v>246</v>
      </c>
      <c r="D699" s="10">
        <v>2041</v>
      </c>
      <c r="E699" s="10">
        <v>0.1394461802724436</v>
      </c>
      <c r="F699" s="10" t="s">
        <v>243</v>
      </c>
      <c r="G699" s="10" t="s">
        <v>244</v>
      </c>
    </row>
    <row r="700" spans="1:7" x14ac:dyDescent="0.35">
      <c r="A700" s="100">
        <v>698</v>
      </c>
      <c r="B700" s="10" t="s">
        <v>248</v>
      </c>
      <c r="C700" s="10" t="s">
        <v>246</v>
      </c>
      <c r="D700" s="10">
        <v>2042</v>
      </c>
      <c r="E700" s="10">
        <v>0.14185041106748031</v>
      </c>
      <c r="F700" s="10" t="s">
        <v>243</v>
      </c>
      <c r="G700" s="10" t="s">
        <v>244</v>
      </c>
    </row>
    <row r="701" spans="1:7" x14ac:dyDescent="0.35">
      <c r="A701" s="100">
        <v>699</v>
      </c>
      <c r="B701" s="10" t="s">
        <v>248</v>
      </c>
      <c r="C701" s="10" t="s">
        <v>246</v>
      </c>
      <c r="D701" s="10">
        <v>2043</v>
      </c>
      <c r="E701" s="10">
        <v>0.14394626001057989</v>
      </c>
      <c r="F701" s="10" t="s">
        <v>243</v>
      </c>
      <c r="G701" s="10" t="s">
        <v>244</v>
      </c>
    </row>
    <row r="702" spans="1:7" x14ac:dyDescent="0.35">
      <c r="A702" s="100">
        <v>700</v>
      </c>
      <c r="B702" s="10" t="s">
        <v>248</v>
      </c>
      <c r="C702" s="10" t="s">
        <v>246</v>
      </c>
      <c r="D702" s="10">
        <v>2044</v>
      </c>
      <c r="E702" s="10">
        <v>0.14573372710185589</v>
      </c>
      <c r="F702" s="10" t="s">
        <v>243</v>
      </c>
      <c r="G702" s="10" t="s">
        <v>244</v>
      </c>
    </row>
    <row r="703" spans="1:7" x14ac:dyDescent="0.35">
      <c r="A703" s="100">
        <v>701</v>
      </c>
      <c r="B703" s="10" t="s">
        <v>248</v>
      </c>
      <c r="C703" s="10" t="s">
        <v>246</v>
      </c>
      <c r="D703" s="10">
        <v>2045</v>
      </c>
      <c r="E703" s="10">
        <v>0.1472128123411949</v>
      </c>
      <c r="F703" s="10" t="s">
        <v>243</v>
      </c>
      <c r="G703" s="10" t="s">
        <v>244</v>
      </c>
    </row>
    <row r="704" spans="1:7" x14ac:dyDescent="0.35">
      <c r="A704" s="100">
        <v>702</v>
      </c>
      <c r="B704" s="10" t="s">
        <v>248</v>
      </c>
      <c r="C704" s="10" t="s">
        <v>246</v>
      </c>
      <c r="D704" s="10">
        <v>2046</v>
      </c>
      <c r="E704" s="10">
        <v>0.14838351572859659</v>
      </c>
      <c r="F704" s="10" t="s">
        <v>243</v>
      </c>
      <c r="G704" s="10" t="s">
        <v>244</v>
      </c>
    </row>
    <row r="705" spans="1:7" x14ac:dyDescent="0.35">
      <c r="A705" s="100">
        <v>703</v>
      </c>
      <c r="B705" s="10" t="s">
        <v>248</v>
      </c>
      <c r="C705" s="10" t="s">
        <v>246</v>
      </c>
      <c r="D705" s="10">
        <v>2047</v>
      </c>
      <c r="E705" s="10">
        <v>0.14924583726406129</v>
      </c>
      <c r="F705" s="10" t="s">
        <v>243</v>
      </c>
      <c r="G705" s="10" t="s">
        <v>244</v>
      </c>
    </row>
    <row r="706" spans="1:7" x14ac:dyDescent="0.35">
      <c r="A706" s="100">
        <v>704</v>
      </c>
      <c r="B706" s="10" t="s">
        <v>248</v>
      </c>
      <c r="C706" s="10" t="s">
        <v>246</v>
      </c>
      <c r="D706" s="10">
        <v>2048</v>
      </c>
      <c r="E706" s="10">
        <v>0.14979977694770241</v>
      </c>
      <c r="F706" s="10" t="s">
        <v>243</v>
      </c>
      <c r="G706" s="10" t="s">
        <v>244</v>
      </c>
    </row>
    <row r="707" spans="1:7" x14ac:dyDescent="0.35">
      <c r="A707" s="100">
        <v>705</v>
      </c>
      <c r="B707" s="10" t="s">
        <v>248</v>
      </c>
      <c r="C707" s="10" t="s">
        <v>246</v>
      </c>
      <c r="D707" s="10">
        <v>2049</v>
      </c>
      <c r="E707" s="10">
        <v>0.1500453347794064</v>
      </c>
      <c r="F707" s="10" t="s">
        <v>243</v>
      </c>
      <c r="G707" s="10" t="s">
        <v>244</v>
      </c>
    </row>
    <row r="708" spans="1:7" x14ac:dyDescent="0.35">
      <c r="A708" s="100">
        <v>706</v>
      </c>
      <c r="B708" s="10" t="s">
        <v>248</v>
      </c>
      <c r="C708" s="10" t="s">
        <v>246</v>
      </c>
      <c r="D708" s="10">
        <v>2050</v>
      </c>
      <c r="E708" s="10">
        <v>0.14998251075917321</v>
      </c>
      <c r="F708" s="10" t="s">
        <v>243</v>
      </c>
      <c r="G708" s="10" t="s">
        <v>244</v>
      </c>
    </row>
    <row r="709" spans="1:7" x14ac:dyDescent="0.35">
      <c r="A709" s="100">
        <v>707</v>
      </c>
      <c r="B709" s="10" t="s">
        <v>248</v>
      </c>
      <c r="C709" s="10" t="s">
        <v>247</v>
      </c>
      <c r="D709" s="10">
        <v>1950</v>
      </c>
      <c r="E709" s="10">
        <v>0</v>
      </c>
      <c r="F709" s="10" t="s">
        <v>243</v>
      </c>
      <c r="G709" s="10" t="s">
        <v>244</v>
      </c>
    </row>
    <row r="710" spans="1:7" x14ac:dyDescent="0.35">
      <c r="A710" s="100">
        <v>708</v>
      </c>
      <c r="B710" s="10" t="s">
        <v>248</v>
      </c>
      <c r="C710" s="10" t="s">
        <v>247</v>
      </c>
      <c r="D710" s="10">
        <v>1951</v>
      </c>
      <c r="E710" s="10">
        <v>0</v>
      </c>
      <c r="F710" s="10" t="s">
        <v>243</v>
      </c>
      <c r="G710" s="10" t="s">
        <v>244</v>
      </c>
    </row>
    <row r="711" spans="1:7" x14ac:dyDescent="0.35">
      <c r="A711" s="100">
        <v>709</v>
      </c>
      <c r="B711" s="10" t="s">
        <v>248</v>
      </c>
      <c r="C711" s="10" t="s">
        <v>247</v>
      </c>
      <c r="D711" s="10">
        <v>1952</v>
      </c>
      <c r="E711" s="10">
        <v>0</v>
      </c>
      <c r="F711" s="10" t="s">
        <v>243</v>
      </c>
      <c r="G711" s="10" t="s">
        <v>244</v>
      </c>
    </row>
    <row r="712" spans="1:7" x14ac:dyDescent="0.35">
      <c r="A712" s="100">
        <v>710</v>
      </c>
      <c r="B712" s="10" t="s">
        <v>248</v>
      </c>
      <c r="C712" s="10" t="s">
        <v>247</v>
      </c>
      <c r="D712" s="10">
        <v>1953</v>
      </c>
      <c r="E712" s="10">
        <v>0</v>
      </c>
      <c r="F712" s="10" t="s">
        <v>243</v>
      </c>
      <c r="G712" s="10" t="s">
        <v>244</v>
      </c>
    </row>
    <row r="713" spans="1:7" x14ac:dyDescent="0.35">
      <c r="A713" s="100">
        <v>711</v>
      </c>
      <c r="B713" s="10" t="s">
        <v>248</v>
      </c>
      <c r="C713" s="10" t="s">
        <v>247</v>
      </c>
      <c r="D713" s="10">
        <v>1954</v>
      </c>
      <c r="E713" s="10">
        <v>0</v>
      </c>
      <c r="F713" s="10" t="s">
        <v>243</v>
      </c>
      <c r="G713" s="10" t="s">
        <v>244</v>
      </c>
    </row>
    <row r="714" spans="1:7" x14ac:dyDescent="0.35">
      <c r="A714" s="100">
        <v>712</v>
      </c>
      <c r="B714" s="10" t="s">
        <v>248</v>
      </c>
      <c r="C714" s="10" t="s">
        <v>247</v>
      </c>
      <c r="D714" s="10">
        <v>1955</v>
      </c>
      <c r="E714" s="10">
        <v>0</v>
      </c>
      <c r="F714" s="10" t="s">
        <v>243</v>
      </c>
      <c r="G714" s="10" t="s">
        <v>244</v>
      </c>
    </row>
    <row r="715" spans="1:7" x14ac:dyDescent="0.35">
      <c r="A715" s="100">
        <v>713</v>
      </c>
      <c r="B715" s="10" t="s">
        <v>248</v>
      </c>
      <c r="C715" s="10" t="s">
        <v>247</v>
      </c>
      <c r="D715" s="10">
        <v>1956</v>
      </c>
      <c r="E715" s="10">
        <v>0</v>
      </c>
      <c r="F715" s="10" t="s">
        <v>243</v>
      </c>
      <c r="G715" s="10" t="s">
        <v>244</v>
      </c>
    </row>
    <row r="716" spans="1:7" x14ac:dyDescent="0.35">
      <c r="A716" s="100">
        <v>714</v>
      </c>
      <c r="B716" s="10" t="s">
        <v>248</v>
      </c>
      <c r="C716" s="10" t="s">
        <v>247</v>
      </c>
      <c r="D716" s="10">
        <v>1957</v>
      </c>
      <c r="E716" s="10">
        <v>0</v>
      </c>
      <c r="F716" s="10" t="s">
        <v>243</v>
      </c>
      <c r="G716" s="10" t="s">
        <v>244</v>
      </c>
    </row>
    <row r="717" spans="1:7" x14ac:dyDescent="0.35">
      <c r="A717" s="100">
        <v>715</v>
      </c>
      <c r="B717" s="10" t="s">
        <v>248</v>
      </c>
      <c r="C717" s="10" t="s">
        <v>247</v>
      </c>
      <c r="D717" s="10">
        <v>1958</v>
      </c>
      <c r="E717" s="10">
        <v>0</v>
      </c>
      <c r="F717" s="10" t="s">
        <v>243</v>
      </c>
      <c r="G717" s="10" t="s">
        <v>244</v>
      </c>
    </row>
    <row r="718" spans="1:7" x14ac:dyDescent="0.35">
      <c r="A718" s="100">
        <v>716</v>
      </c>
      <c r="B718" s="10" t="s">
        <v>248</v>
      </c>
      <c r="C718" s="10" t="s">
        <v>247</v>
      </c>
      <c r="D718" s="10">
        <v>1959</v>
      </c>
      <c r="E718" s="10">
        <v>0</v>
      </c>
      <c r="F718" s="10" t="s">
        <v>243</v>
      </c>
      <c r="G718" s="10" t="s">
        <v>244</v>
      </c>
    </row>
    <row r="719" spans="1:7" x14ac:dyDescent="0.35">
      <c r="A719" s="100">
        <v>717</v>
      </c>
      <c r="B719" s="10" t="s">
        <v>248</v>
      </c>
      <c r="C719" s="10" t="s">
        <v>247</v>
      </c>
      <c r="D719" s="10">
        <v>1960</v>
      </c>
      <c r="E719" s="10">
        <v>0</v>
      </c>
      <c r="F719" s="10" t="s">
        <v>243</v>
      </c>
      <c r="G719" s="10" t="s">
        <v>244</v>
      </c>
    </row>
    <row r="720" spans="1:7" x14ac:dyDescent="0.35">
      <c r="A720" s="100">
        <v>718</v>
      </c>
      <c r="B720" s="10" t="s">
        <v>248</v>
      </c>
      <c r="C720" s="10" t="s">
        <v>247</v>
      </c>
      <c r="D720" s="10">
        <v>1961</v>
      </c>
      <c r="E720" s="10">
        <v>0</v>
      </c>
      <c r="F720" s="10" t="s">
        <v>243</v>
      </c>
      <c r="G720" s="10" t="s">
        <v>244</v>
      </c>
    </row>
    <row r="721" spans="1:7" x14ac:dyDescent="0.35">
      <c r="A721" s="100">
        <v>719</v>
      </c>
      <c r="B721" s="10" t="s">
        <v>248</v>
      </c>
      <c r="C721" s="10" t="s">
        <v>247</v>
      </c>
      <c r="D721" s="10">
        <v>1962</v>
      </c>
      <c r="E721" s="10">
        <v>0</v>
      </c>
      <c r="F721" s="10" t="s">
        <v>243</v>
      </c>
      <c r="G721" s="10" t="s">
        <v>244</v>
      </c>
    </row>
    <row r="722" spans="1:7" x14ac:dyDescent="0.35">
      <c r="A722" s="100">
        <v>720</v>
      </c>
      <c r="B722" s="10" t="s">
        <v>248</v>
      </c>
      <c r="C722" s="10" t="s">
        <v>247</v>
      </c>
      <c r="D722" s="10">
        <v>1963</v>
      </c>
      <c r="E722" s="10">
        <v>0</v>
      </c>
      <c r="F722" s="10" t="s">
        <v>243</v>
      </c>
      <c r="G722" s="10" t="s">
        <v>244</v>
      </c>
    </row>
    <row r="723" spans="1:7" x14ac:dyDescent="0.35">
      <c r="A723" s="100">
        <v>721</v>
      </c>
      <c r="B723" s="10" t="s">
        <v>248</v>
      </c>
      <c r="C723" s="10" t="s">
        <v>247</v>
      </c>
      <c r="D723" s="10">
        <v>1964</v>
      </c>
      <c r="E723" s="10">
        <v>0</v>
      </c>
      <c r="F723" s="10" t="s">
        <v>243</v>
      </c>
      <c r="G723" s="10" t="s">
        <v>244</v>
      </c>
    </row>
    <row r="724" spans="1:7" x14ac:dyDescent="0.35">
      <c r="A724" s="100">
        <v>722</v>
      </c>
      <c r="B724" s="10" t="s">
        <v>248</v>
      </c>
      <c r="C724" s="10" t="s">
        <v>247</v>
      </c>
      <c r="D724" s="10">
        <v>1965</v>
      </c>
      <c r="E724" s="10">
        <v>0</v>
      </c>
      <c r="F724" s="10" t="s">
        <v>243</v>
      </c>
      <c r="G724" s="10" t="s">
        <v>244</v>
      </c>
    </row>
    <row r="725" spans="1:7" x14ac:dyDescent="0.35">
      <c r="A725" s="100">
        <v>723</v>
      </c>
      <c r="B725" s="10" t="s">
        <v>248</v>
      </c>
      <c r="C725" s="10" t="s">
        <v>247</v>
      </c>
      <c r="D725" s="10">
        <v>1966</v>
      </c>
      <c r="E725" s="10">
        <v>0</v>
      </c>
      <c r="F725" s="10" t="s">
        <v>243</v>
      </c>
      <c r="G725" s="10" t="s">
        <v>244</v>
      </c>
    </row>
    <row r="726" spans="1:7" x14ac:dyDescent="0.35">
      <c r="A726" s="100">
        <v>724</v>
      </c>
      <c r="B726" s="10" t="s">
        <v>248</v>
      </c>
      <c r="C726" s="10" t="s">
        <v>247</v>
      </c>
      <c r="D726" s="10">
        <v>1967</v>
      </c>
      <c r="E726" s="10">
        <v>0</v>
      </c>
      <c r="F726" s="10" t="s">
        <v>243</v>
      </c>
      <c r="G726" s="10" t="s">
        <v>244</v>
      </c>
    </row>
    <row r="727" spans="1:7" x14ac:dyDescent="0.35">
      <c r="A727" s="100">
        <v>725</v>
      </c>
      <c r="B727" s="10" t="s">
        <v>248</v>
      </c>
      <c r="C727" s="10" t="s">
        <v>247</v>
      </c>
      <c r="D727" s="10">
        <v>1968</v>
      </c>
      <c r="E727" s="10">
        <v>0</v>
      </c>
      <c r="F727" s="10" t="s">
        <v>243</v>
      </c>
      <c r="G727" s="10" t="s">
        <v>244</v>
      </c>
    </row>
    <row r="728" spans="1:7" x14ac:dyDescent="0.35">
      <c r="A728" s="100">
        <v>726</v>
      </c>
      <c r="B728" s="10" t="s">
        <v>248</v>
      </c>
      <c r="C728" s="10" t="s">
        <v>247</v>
      </c>
      <c r="D728" s="10">
        <v>1969</v>
      </c>
      <c r="E728" s="10">
        <v>0</v>
      </c>
      <c r="F728" s="10" t="s">
        <v>243</v>
      </c>
      <c r="G728" s="10" t="s">
        <v>244</v>
      </c>
    </row>
    <row r="729" spans="1:7" x14ac:dyDescent="0.35">
      <c r="A729" s="100">
        <v>727</v>
      </c>
      <c r="B729" s="10" t="s">
        <v>248</v>
      </c>
      <c r="C729" s="10" t="s">
        <v>247</v>
      </c>
      <c r="D729" s="10">
        <v>1970</v>
      </c>
      <c r="E729" s="10">
        <v>0</v>
      </c>
      <c r="F729" s="10" t="s">
        <v>243</v>
      </c>
      <c r="G729" s="10" t="s">
        <v>244</v>
      </c>
    </row>
    <row r="730" spans="1:7" x14ac:dyDescent="0.35">
      <c r="A730" s="100">
        <v>728</v>
      </c>
      <c r="B730" s="10" t="s">
        <v>248</v>
      </c>
      <c r="C730" s="10" t="s">
        <v>247</v>
      </c>
      <c r="D730" s="10">
        <v>1971</v>
      </c>
      <c r="E730" s="10">
        <v>0</v>
      </c>
      <c r="F730" s="10" t="s">
        <v>243</v>
      </c>
      <c r="G730" s="10" t="s">
        <v>244</v>
      </c>
    </row>
    <row r="731" spans="1:7" x14ac:dyDescent="0.35">
      <c r="A731" s="100">
        <v>729</v>
      </c>
      <c r="B731" s="10" t="s">
        <v>248</v>
      </c>
      <c r="C731" s="10" t="s">
        <v>247</v>
      </c>
      <c r="D731" s="10">
        <v>1972</v>
      </c>
      <c r="E731" s="10">
        <v>0</v>
      </c>
      <c r="F731" s="10" t="s">
        <v>243</v>
      </c>
      <c r="G731" s="10" t="s">
        <v>244</v>
      </c>
    </row>
    <row r="732" spans="1:7" x14ac:dyDescent="0.35">
      <c r="A732" s="100">
        <v>730</v>
      </c>
      <c r="B732" s="10" t="s">
        <v>248</v>
      </c>
      <c r="C732" s="10" t="s">
        <v>247</v>
      </c>
      <c r="D732" s="10">
        <v>1973</v>
      </c>
      <c r="E732" s="10">
        <v>0</v>
      </c>
      <c r="F732" s="10" t="s">
        <v>243</v>
      </c>
      <c r="G732" s="10" t="s">
        <v>244</v>
      </c>
    </row>
    <row r="733" spans="1:7" x14ac:dyDescent="0.35">
      <c r="A733" s="100">
        <v>731</v>
      </c>
      <c r="B733" s="10" t="s">
        <v>248</v>
      </c>
      <c r="C733" s="10" t="s">
        <v>247</v>
      </c>
      <c r="D733" s="10">
        <v>1974</v>
      </c>
      <c r="E733" s="10">
        <v>0</v>
      </c>
      <c r="F733" s="10" t="s">
        <v>243</v>
      </c>
      <c r="G733" s="10" t="s">
        <v>244</v>
      </c>
    </row>
    <row r="734" spans="1:7" x14ac:dyDescent="0.35">
      <c r="A734" s="100">
        <v>732</v>
      </c>
      <c r="B734" s="10" t="s">
        <v>248</v>
      </c>
      <c r="C734" s="10" t="s">
        <v>247</v>
      </c>
      <c r="D734" s="10">
        <v>1975</v>
      </c>
      <c r="E734" s="10">
        <v>0</v>
      </c>
      <c r="F734" s="10" t="s">
        <v>243</v>
      </c>
      <c r="G734" s="10" t="s">
        <v>244</v>
      </c>
    </row>
    <row r="735" spans="1:7" x14ac:dyDescent="0.35">
      <c r="A735" s="100">
        <v>733</v>
      </c>
      <c r="B735" s="10" t="s">
        <v>248</v>
      </c>
      <c r="C735" s="10" t="s">
        <v>247</v>
      </c>
      <c r="D735" s="10">
        <v>1976</v>
      </c>
      <c r="E735" s="10">
        <v>0</v>
      </c>
      <c r="F735" s="10" t="s">
        <v>243</v>
      </c>
      <c r="G735" s="10" t="s">
        <v>244</v>
      </c>
    </row>
    <row r="736" spans="1:7" x14ac:dyDescent="0.35">
      <c r="A736" s="100">
        <v>734</v>
      </c>
      <c r="B736" s="10" t="s">
        <v>248</v>
      </c>
      <c r="C736" s="10" t="s">
        <v>247</v>
      </c>
      <c r="D736" s="10">
        <v>1977</v>
      </c>
      <c r="E736" s="10">
        <v>0</v>
      </c>
      <c r="F736" s="10" t="s">
        <v>243</v>
      </c>
      <c r="G736" s="10" t="s">
        <v>244</v>
      </c>
    </row>
    <row r="737" spans="1:7" x14ac:dyDescent="0.35">
      <c r="A737" s="100">
        <v>735</v>
      </c>
      <c r="B737" s="10" t="s">
        <v>248</v>
      </c>
      <c r="C737" s="10" t="s">
        <v>247</v>
      </c>
      <c r="D737" s="10">
        <v>1978</v>
      </c>
      <c r="E737" s="10">
        <v>0</v>
      </c>
      <c r="F737" s="10" t="s">
        <v>243</v>
      </c>
      <c r="G737" s="10" t="s">
        <v>244</v>
      </c>
    </row>
    <row r="738" spans="1:7" x14ac:dyDescent="0.35">
      <c r="A738" s="100">
        <v>736</v>
      </c>
      <c r="B738" s="10" t="s">
        <v>248</v>
      </c>
      <c r="C738" s="10" t="s">
        <v>247</v>
      </c>
      <c r="D738" s="10">
        <v>1979</v>
      </c>
      <c r="E738" s="10">
        <v>0</v>
      </c>
      <c r="F738" s="10" t="s">
        <v>243</v>
      </c>
      <c r="G738" s="10" t="s">
        <v>244</v>
      </c>
    </row>
    <row r="739" spans="1:7" x14ac:dyDescent="0.35">
      <c r="A739" s="100">
        <v>737</v>
      </c>
      <c r="B739" s="10" t="s">
        <v>248</v>
      </c>
      <c r="C739" s="10" t="s">
        <v>247</v>
      </c>
      <c r="D739" s="10">
        <v>1980</v>
      </c>
      <c r="E739" s="10">
        <v>0</v>
      </c>
      <c r="F739" s="10" t="s">
        <v>243</v>
      </c>
      <c r="G739" s="10" t="s">
        <v>244</v>
      </c>
    </row>
    <row r="740" spans="1:7" x14ac:dyDescent="0.35">
      <c r="A740" s="100">
        <v>738</v>
      </c>
      <c r="B740" s="10" t="s">
        <v>248</v>
      </c>
      <c r="C740" s="10" t="s">
        <v>247</v>
      </c>
      <c r="D740" s="10">
        <v>1981</v>
      </c>
      <c r="E740" s="10">
        <v>0</v>
      </c>
      <c r="F740" s="10" t="s">
        <v>243</v>
      </c>
      <c r="G740" s="10" t="s">
        <v>244</v>
      </c>
    </row>
    <row r="741" spans="1:7" x14ac:dyDescent="0.35">
      <c r="A741" s="100">
        <v>739</v>
      </c>
      <c r="B741" s="10" t="s">
        <v>248</v>
      </c>
      <c r="C741" s="10" t="s">
        <v>247</v>
      </c>
      <c r="D741" s="10">
        <v>1982</v>
      </c>
      <c r="E741" s="10">
        <v>0</v>
      </c>
      <c r="F741" s="10" t="s">
        <v>243</v>
      </c>
      <c r="G741" s="10" t="s">
        <v>244</v>
      </c>
    </row>
    <row r="742" spans="1:7" x14ac:dyDescent="0.35">
      <c r="A742" s="100">
        <v>740</v>
      </c>
      <c r="B742" s="10" t="s">
        <v>248</v>
      </c>
      <c r="C742" s="10" t="s">
        <v>247</v>
      </c>
      <c r="D742" s="10">
        <v>1983</v>
      </c>
      <c r="E742" s="10">
        <v>0</v>
      </c>
      <c r="F742" s="10" t="s">
        <v>243</v>
      </c>
      <c r="G742" s="10" t="s">
        <v>244</v>
      </c>
    </row>
    <row r="743" spans="1:7" x14ac:dyDescent="0.35">
      <c r="A743" s="100">
        <v>741</v>
      </c>
      <c r="B743" s="10" t="s">
        <v>248</v>
      </c>
      <c r="C743" s="10" t="s">
        <v>247</v>
      </c>
      <c r="D743" s="10">
        <v>1984</v>
      </c>
      <c r="E743" s="10">
        <v>0</v>
      </c>
      <c r="F743" s="10" t="s">
        <v>243</v>
      </c>
      <c r="G743" s="10" t="s">
        <v>244</v>
      </c>
    </row>
    <row r="744" spans="1:7" x14ac:dyDescent="0.35">
      <c r="A744" s="100">
        <v>742</v>
      </c>
      <c r="B744" s="10" t="s">
        <v>248</v>
      </c>
      <c r="C744" s="10" t="s">
        <v>247</v>
      </c>
      <c r="D744" s="10">
        <v>1985</v>
      </c>
      <c r="E744" s="10">
        <v>0</v>
      </c>
      <c r="F744" s="10" t="s">
        <v>243</v>
      </c>
      <c r="G744" s="10" t="s">
        <v>244</v>
      </c>
    </row>
    <row r="745" spans="1:7" x14ac:dyDescent="0.35">
      <c r="A745" s="100">
        <v>743</v>
      </c>
      <c r="B745" s="10" t="s">
        <v>248</v>
      </c>
      <c r="C745" s="10" t="s">
        <v>247</v>
      </c>
      <c r="D745" s="10">
        <v>1986</v>
      </c>
      <c r="E745" s="10">
        <v>0</v>
      </c>
      <c r="F745" s="10" t="s">
        <v>243</v>
      </c>
      <c r="G745" s="10" t="s">
        <v>244</v>
      </c>
    </row>
    <row r="746" spans="1:7" x14ac:dyDescent="0.35">
      <c r="A746" s="100">
        <v>744</v>
      </c>
      <c r="B746" s="10" t="s">
        <v>248</v>
      </c>
      <c r="C746" s="10" t="s">
        <v>247</v>
      </c>
      <c r="D746" s="10">
        <v>1987</v>
      </c>
      <c r="E746" s="10">
        <v>0</v>
      </c>
      <c r="F746" s="10" t="s">
        <v>243</v>
      </c>
      <c r="G746" s="10" t="s">
        <v>244</v>
      </c>
    </row>
    <row r="747" spans="1:7" x14ac:dyDescent="0.35">
      <c r="A747" s="100">
        <v>745</v>
      </c>
      <c r="B747" s="10" t="s">
        <v>248</v>
      </c>
      <c r="C747" s="10" t="s">
        <v>247</v>
      </c>
      <c r="D747" s="10">
        <v>1988</v>
      </c>
      <c r="E747" s="10">
        <v>0</v>
      </c>
      <c r="F747" s="10" t="s">
        <v>243</v>
      </c>
      <c r="G747" s="10" t="s">
        <v>244</v>
      </c>
    </row>
    <row r="748" spans="1:7" x14ac:dyDescent="0.35">
      <c r="A748" s="100">
        <v>746</v>
      </c>
      <c r="B748" s="10" t="s">
        <v>248</v>
      </c>
      <c r="C748" s="10" t="s">
        <v>247</v>
      </c>
      <c r="D748" s="10">
        <v>1989</v>
      </c>
      <c r="E748" s="10">
        <v>0</v>
      </c>
      <c r="F748" s="10" t="s">
        <v>243</v>
      </c>
      <c r="G748" s="10" t="s">
        <v>244</v>
      </c>
    </row>
    <row r="749" spans="1:7" x14ac:dyDescent="0.35">
      <c r="A749" s="100">
        <v>747</v>
      </c>
      <c r="B749" s="10" t="s">
        <v>248</v>
      </c>
      <c r="C749" s="10" t="s">
        <v>247</v>
      </c>
      <c r="D749" s="10">
        <v>1990</v>
      </c>
      <c r="E749" s="10">
        <v>0</v>
      </c>
      <c r="F749" s="10" t="s">
        <v>243</v>
      </c>
      <c r="G749" s="10" t="s">
        <v>244</v>
      </c>
    </row>
    <row r="750" spans="1:7" x14ac:dyDescent="0.35">
      <c r="A750" s="100">
        <v>748</v>
      </c>
      <c r="B750" s="10" t="s">
        <v>248</v>
      </c>
      <c r="C750" s="10" t="s">
        <v>247</v>
      </c>
      <c r="D750" s="10">
        <v>1991</v>
      </c>
      <c r="E750" s="10">
        <v>0</v>
      </c>
      <c r="F750" s="10" t="s">
        <v>243</v>
      </c>
      <c r="G750" s="10" t="s">
        <v>244</v>
      </c>
    </row>
    <row r="751" spans="1:7" x14ac:dyDescent="0.35">
      <c r="A751" s="100">
        <v>749</v>
      </c>
      <c r="B751" s="10" t="s">
        <v>248</v>
      </c>
      <c r="C751" s="10" t="s">
        <v>247</v>
      </c>
      <c r="D751" s="10">
        <v>1992</v>
      </c>
      <c r="E751" s="10">
        <v>0</v>
      </c>
      <c r="F751" s="10" t="s">
        <v>243</v>
      </c>
      <c r="G751" s="10" t="s">
        <v>244</v>
      </c>
    </row>
    <row r="752" spans="1:7" x14ac:dyDescent="0.35">
      <c r="A752" s="100">
        <v>750</v>
      </c>
      <c r="B752" s="10" t="s">
        <v>248</v>
      </c>
      <c r="C752" s="10" t="s">
        <v>247</v>
      </c>
      <c r="D752" s="10">
        <v>1993</v>
      </c>
      <c r="E752" s="10">
        <v>0</v>
      </c>
      <c r="F752" s="10" t="s">
        <v>243</v>
      </c>
      <c r="G752" s="10" t="s">
        <v>244</v>
      </c>
    </row>
    <row r="753" spans="1:7" x14ac:dyDescent="0.35">
      <c r="A753" s="100">
        <v>751</v>
      </c>
      <c r="B753" s="10" t="s">
        <v>248</v>
      </c>
      <c r="C753" s="10" t="s">
        <v>247</v>
      </c>
      <c r="D753" s="10">
        <v>1994</v>
      </c>
      <c r="E753" s="10">
        <v>0</v>
      </c>
      <c r="F753" s="10" t="s">
        <v>243</v>
      </c>
      <c r="G753" s="10" t="s">
        <v>244</v>
      </c>
    </row>
    <row r="754" spans="1:7" x14ac:dyDescent="0.35">
      <c r="A754" s="100">
        <v>752</v>
      </c>
      <c r="B754" s="10" t="s">
        <v>248</v>
      </c>
      <c r="C754" s="10" t="s">
        <v>247</v>
      </c>
      <c r="D754" s="10">
        <v>1995</v>
      </c>
      <c r="E754" s="10">
        <v>0</v>
      </c>
      <c r="F754" s="10" t="s">
        <v>243</v>
      </c>
      <c r="G754" s="10" t="s">
        <v>244</v>
      </c>
    </row>
    <row r="755" spans="1:7" x14ac:dyDescent="0.35">
      <c r="A755" s="100">
        <v>753</v>
      </c>
      <c r="B755" s="10" t="s">
        <v>248</v>
      </c>
      <c r="C755" s="10" t="s">
        <v>247</v>
      </c>
      <c r="D755" s="10">
        <v>1996</v>
      </c>
      <c r="E755" s="10">
        <v>0</v>
      </c>
      <c r="F755" s="10" t="s">
        <v>243</v>
      </c>
      <c r="G755" s="10" t="s">
        <v>244</v>
      </c>
    </row>
    <row r="756" spans="1:7" x14ac:dyDescent="0.35">
      <c r="A756" s="100">
        <v>754</v>
      </c>
      <c r="B756" s="10" t="s">
        <v>248</v>
      </c>
      <c r="C756" s="10" t="s">
        <v>247</v>
      </c>
      <c r="D756" s="10">
        <v>1997</v>
      </c>
      <c r="E756" s="10">
        <v>0</v>
      </c>
      <c r="F756" s="10" t="s">
        <v>243</v>
      </c>
      <c r="G756" s="10" t="s">
        <v>244</v>
      </c>
    </row>
    <row r="757" spans="1:7" x14ac:dyDescent="0.35">
      <c r="A757" s="100">
        <v>755</v>
      </c>
      <c r="B757" s="10" t="s">
        <v>248</v>
      </c>
      <c r="C757" s="10" t="s">
        <v>247</v>
      </c>
      <c r="D757" s="10">
        <v>1998</v>
      </c>
      <c r="E757" s="10">
        <v>0</v>
      </c>
      <c r="F757" s="10" t="s">
        <v>243</v>
      </c>
      <c r="G757" s="10" t="s">
        <v>244</v>
      </c>
    </row>
    <row r="758" spans="1:7" x14ac:dyDescent="0.35">
      <c r="A758" s="100">
        <v>756</v>
      </c>
      <c r="B758" s="10" t="s">
        <v>248</v>
      </c>
      <c r="C758" s="10" t="s">
        <v>247</v>
      </c>
      <c r="D758" s="10">
        <v>1999</v>
      </c>
      <c r="E758" s="10">
        <v>0</v>
      </c>
      <c r="F758" s="10" t="s">
        <v>243</v>
      </c>
      <c r="G758" s="10" t="s">
        <v>244</v>
      </c>
    </row>
    <row r="759" spans="1:7" x14ac:dyDescent="0.35">
      <c r="A759" s="100">
        <v>757</v>
      </c>
      <c r="B759" s="10" t="s">
        <v>248</v>
      </c>
      <c r="C759" s="10" t="s">
        <v>247</v>
      </c>
      <c r="D759" s="10">
        <v>2000</v>
      </c>
      <c r="E759" s="10">
        <v>0</v>
      </c>
      <c r="F759" s="10" t="s">
        <v>243</v>
      </c>
      <c r="G759" s="10" t="s">
        <v>244</v>
      </c>
    </row>
    <row r="760" spans="1:7" x14ac:dyDescent="0.35">
      <c r="A760" s="100">
        <v>758</v>
      </c>
      <c r="B760" s="10" t="s">
        <v>248</v>
      </c>
      <c r="C760" s="10" t="s">
        <v>247</v>
      </c>
      <c r="D760" s="10">
        <v>2001</v>
      </c>
      <c r="E760" s="10">
        <v>0</v>
      </c>
      <c r="F760" s="10" t="s">
        <v>243</v>
      </c>
      <c r="G760" s="10" t="s">
        <v>244</v>
      </c>
    </row>
    <row r="761" spans="1:7" x14ac:dyDescent="0.35">
      <c r="A761" s="100">
        <v>759</v>
      </c>
      <c r="B761" s="10" t="s">
        <v>248</v>
      </c>
      <c r="C761" s="10" t="s">
        <v>247</v>
      </c>
      <c r="D761" s="10">
        <v>2002</v>
      </c>
      <c r="E761" s="10">
        <v>0</v>
      </c>
      <c r="F761" s="10" t="s">
        <v>243</v>
      </c>
      <c r="G761" s="10" t="s">
        <v>244</v>
      </c>
    </row>
    <row r="762" spans="1:7" x14ac:dyDescent="0.35">
      <c r="A762" s="100">
        <v>760</v>
      </c>
      <c r="B762" s="10" t="s">
        <v>248</v>
      </c>
      <c r="C762" s="10" t="s">
        <v>247</v>
      </c>
      <c r="D762" s="10">
        <v>2003</v>
      </c>
      <c r="E762" s="10">
        <v>0</v>
      </c>
      <c r="F762" s="10" t="s">
        <v>243</v>
      </c>
      <c r="G762" s="10" t="s">
        <v>244</v>
      </c>
    </row>
    <row r="763" spans="1:7" x14ac:dyDescent="0.35">
      <c r="A763" s="100">
        <v>761</v>
      </c>
      <c r="B763" s="10" t="s">
        <v>248</v>
      </c>
      <c r="C763" s="10" t="s">
        <v>247</v>
      </c>
      <c r="D763" s="10">
        <v>2004</v>
      </c>
      <c r="E763" s="10">
        <v>0</v>
      </c>
      <c r="F763" s="10" t="s">
        <v>243</v>
      </c>
      <c r="G763" s="10" t="s">
        <v>244</v>
      </c>
    </row>
    <row r="764" spans="1:7" x14ac:dyDescent="0.35">
      <c r="A764" s="100">
        <v>762</v>
      </c>
      <c r="B764" s="10" t="s">
        <v>248</v>
      </c>
      <c r="C764" s="10" t="s">
        <v>247</v>
      </c>
      <c r="D764" s="10">
        <v>2005</v>
      </c>
      <c r="E764" s="10">
        <v>0</v>
      </c>
      <c r="F764" s="10" t="s">
        <v>243</v>
      </c>
      <c r="G764" s="10" t="s">
        <v>244</v>
      </c>
    </row>
    <row r="765" spans="1:7" x14ac:dyDescent="0.35">
      <c r="A765" s="100">
        <v>763</v>
      </c>
      <c r="B765" s="10" t="s">
        <v>248</v>
      </c>
      <c r="C765" s="10" t="s">
        <v>247</v>
      </c>
      <c r="D765" s="10">
        <v>2006</v>
      </c>
      <c r="E765" s="10">
        <v>0</v>
      </c>
      <c r="F765" s="10" t="s">
        <v>243</v>
      </c>
      <c r="G765" s="10" t="s">
        <v>244</v>
      </c>
    </row>
    <row r="766" spans="1:7" x14ac:dyDescent="0.35">
      <c r="A766" s="100">
        <v>764</v>
      </c>
      <c r="B766" s="10" t="s">
        <v>248</v>
      </c>
      <c r="C766" s="10" t="s">
        <v>247</v>
      </c>
      <c r="D766" s="10">
        <v>2007</v>
      </c>
      <c r="E766" s="10">
        <v>0</v>
      </c>
      <c r="F766" s="10" t="s">
        <v>243</v>
      </c>
      <c r="G766" s="10" t="s">
        <v>244</v>
      </c>
    </row>
    <row r="767" spans="1:7" x14ac:dyDescent="0.35">
      <c r="A767" s="100">
        <v>765</v>
      </c>
      <c r="B767" s="10" t="s">
        <v>248</v>
      </c>
      <c r="C767" s="10" t="s">
        <v>247</v>
      </c>
      <c r="D767" s="10">
        <v>2008</v>
      </c>
      <c r="E767" s="10">
        <v>0</v>
      </c>
      <c r="F767" s="10" t="s">
        <v>243</v>
      </c>
      <c r="G767" s="10" t="s">
        <v>244</v>
      </c>
    </row>
    <row r="768" spans="1:7" x14ac:dyDescent="0.35">
      <c r="A768" s="100">
        <v>766</v>
      </c>
      <c r="B768" s="10" t="s">
        <v>248</v>
      </c>
      <c r="C768" s="10" t="s">
        <v>247</v>
      </c>
      <c r="D768" s="10">
        <v>2009</v>
      </c>
      <c r="E768" s="10">
        <v>0</v>
      </c>
      <c r="F768" s="10" t="s">
        <v>243</v>
      </c>
      <c r="G768" s="10" t="s">
        <v>244</v>
      </c>
    </row>
    <row r="769" spans="1:7" x14ac:dyDescent="0.35">
      <c r="A769" s="100">
        <v>767</v>
      </c>
      <c r="B769" s="10" t="s">
        <v>248</v>
      </c>
      <c r="C769" s="10" t="s">
        <v>247</v>
      </c>
      <c r="D769" s="10">
        <v>2010</v>
      </c>
      <c r="E769" s="10">
        <v>0</v>
      </c>
      <c r="F769" s="10" t="s">
        <v>243</v>
      </c>
      <c r="G769" s="10" t="s">
        <v>244</v>
      </c>
    </row>
    <row r="770" spans="1:7" x14ac:dyDescent="0.35">
      <c r="A770" s="100">
        <v>768</v>
      </c>
      <c r="B770" s="10" t="s">
        <v>248</v>
      </c>
      <c r="C770" s="10" t="s">
        <v>247</v>
      </c>
      <c r="D770" s="10">
        <v>2011</v>
      </c>
      <c r="E770" s="10">
        <v>0</v>
      </c>
      <c r="F770" s="10" t="s">
        <v>243</v>
      </c>
      <c r="G770" s="10" t="s">
        <v>244</v>
      </c>
    </row>
    <row r="771" spans="1:7" x14ac:dyDescent="0.35">
      <c r="A771" s="100">
        <v>769</v>
      </c>
      <c r="B771" s="10" t="s">
        <v>248</v>
      </c>
      <c r="C771" s="10" t="s">
        <v>247</v>
      </c>
      <c r="D771" s="10">
        <v>2012</v>
      </c>
      <c r="E771" s="10">
        <v>0</v>
      </c>
      <c r="F771" s="10" t="s">
        <v>243</v>
      </c>
      <c r="G771" s="10" t="s">
        <v>244</v>
      </c>
    </row>
    <row r="772" spans="1:7" x14ac:dyDescent="0.35">
      <c r="A772" s="100">
        <v>770</v>
      </c>
      <c r="B772" s="10" t="s">
        <v>248</v>
      </c>
      <c r="C772" s="10" t="s">
        <v>247</v>
      </c>
      <c r="D772" s="10">
        <v>2013</v>
      </c>
      <c r="E772" s="10">
        <v>0</v>
      </c>
      <c r="F772" s="10" t="s">
        <v>243</v>
      </c>
      <c r="G772" s="10" t="s">
        <v>244</v>
      </c>
    </row>
    <row r="773" spans="1:7" x14ac:dyDescent="0.35">
      <c r="A773" s="100">
        <v>771</v>
      </c>
      <c r="B773" s="10" t="s">
        <v>248</v>
      </c>
      <c r="C773" s="10" t="s">
        <v>247</v>
      </c>
      <c r="D773" s="10">
        <v>2014</v>
      </c>
      <c r="E773" s="10">
        <v>0</v>
      </c>
      <c r="F773" s="10" t="s">
        <v>243</v>
      </c>
      <c r="G773" s="10" t="s">
        <v>244</v>
      </c>
    </row>
    <row r="774" spans="1:7" x14ac:dyDescent="0.35">
      <c r="A774" s="100">
        <v>772</v>
      </c>
      <c r="B774" s="10" t="s">
        <v>248</v>
      </c>
      <c r="C774" s="10" t="s">
        <v>247</v>
      </c>
      <c r="D774" s="10">
        <v>2015</v>
      </c>
      <c r="E774" s="10">
        <v>0</v>
      </c>
      <c r="F774" s="10" t="s">
        <v>243</v>
      </c>
      <c r="G774" s="10" t="s">
        <v>244</v>
      </c>
    </row>
    <row r="775" spans="1:7" x14ac:dyDescent="0.35">
      <c r="A775" s="100">
        <v>773</v>
      </c>
      <c r="B775" s="10" t="s">
        <v>248</v>
      </c>
      <c r="C775" s="10" t="s">
        <v>247</v>
      </c>
      <c r="D775" s="10">
        <v>2016</v>
      </c>
      <c r="E775" s="10">
        <v>0</v>
      </c>
      <c r="F775" s="10" t="s">
        <v>243</v>
      </c>
      <c r="G775" s="10" t="s">
        <v>244</v>
      </c>
    </row>
    <row r="776" spans="1:7" x14ac:dyDescent="0.35">
      <c r="A776" s="100">
        <v>774</v>
      </c>
      <c r="B776" s="10" t="s">
        <v>248</v>
      </c>
      <c r="C776" s="10" t="s">
        <v>247</v>
      </c>
      <c r="D776" s="10">
        <v>2017</v>
      </c>
      <c r="E776" s="10">
        <v>0</v>
      </c>
      <c r="F776" s="10" t="s">
        <v>243</v>
      </c>
      <c r="G776" s="10" t="s">
        <v>244</v>
      </c>
    </row>
    <row r="777" spans="1:7" x14ac:dyDescent="0.35">
      <c r="A777" s="100">
        <v>775</v>
      </c>
      <c r="B777" s="10" t="s">
        <v>248</v>
      </c>
      <c r="C777" s="10" t="s">
        <v>247</v>
      </c>
      <c r="D777" s="10">
        <v>2018</v>
      </c>
      <c r="E777" s="10">
        <v>0</v>
      </c>
      <c r="F777" s="10" t="s">
        <v>243</v>
      </c>
      <c r="G777" s="10" t="s">
        <v>244</v>
      </c>
    </row>
    <row r="778" spans="1:7" x14ac:dyDescent="0.35">
      <c r="A778" s="100">
        <v>776</v>
      </c>
      <c r="B778" s="10" t="s">
        <v>248</v>
      </c>
      <c r="C778" s="10" t="s">
        <v>247</v>
      </c>
      <c r="D778" s="10">
        <v>2019</v>
      </c>
      <c r="E778" s="10">
        <v>0</v>
      </c>
      <c r="F778" s="10" t="s">
        <v>243</v>
      </c>
      <c r="G778" s="10" t="s">
        <v>244</v>
      </c>
    </row>
    <row r="779" spans="1:7" x14ac:dyDescent="0.35">
      <c r="A779" s="100">
        <v>777</v>
      </c>
      <c r="B779" s="10" t="s">
        <v>248</v>
      </c>
      <c r="C779" s="10" t="s">
        <v>247</v>
      </c>
      <c r="D779" s="10">
        <v>2020</v>
      </c>
      <c r="E779" s="10">
        <v>0</v>
      </c>
      <c r="F779" s="10" t="s">
        <v>243</v>
      </c>
      <c r="G779" s="10" t="s">
        <v>244</v>
      </c>
    </row>
    <row r="780" spans="1:7" x14ac:dyDescent="0.35">
      <c r="A780" s="100">
        <v>778</v>
      </c>
      <c r="B780" s="10" t="s">
        <v>248</v>
      </c>
      <c r="C780" s="10" t="s">
        <v>247</v>
      </c>
      <c r="D780" s="10">
        <v>2021</v>
      </c>
      <c r="E780" s="10">
        <v>0</v>
      </c>
      <c r="F780" s="10" t="s">
        <v>243</v>
      </c>
      <c r="G780" s="10" t="s">
        <v>244</v>
      </c>
    </row>
    <row r="781" spans="1:7" x14ac:dyDescent="0.35">
      <c r="A781" s="100">
        <v>779</v>
      </c>
      <c r="B781" s="10" t="s">
        <v>248</v>
      </c>
      <c r="C781" s="10" t="s">
        <v>247</v>
      </c>
      <c r="D781" s="10">
        <v>2022</v>
      </c>
      <c r="E781" s="10">
        <v>0</v>
      </c>
      <c r="F781" s="10" t="s">
        <v>243</v>
      </c>
      <c r="G781" s="10" t="s">
        <v>244</v>
      </c>
    </row>
    <row r="782" spans="1:7" x14ac:dyDescent="0.35">
      <c r="A782" s="100">
        <v>780</v>
      </c>
      <c r="B782" s="10" t="s">
        <v>248</v>
      </c>
      <c r="C782" s="10" t="s">
        <v>247</v>
      </c>
      <c r="D782" s="10">
        <v>2023</v>
      </c>
      <c r="E782" s="10">
        <v>0</v>
      </c>
      <c r="F782" s="10" t="s">
        <v>243</v>
      </c>
      <c r="G782" s="10" t="s">
        <v>244</v>
      </c>
    </row>
    <row r="783" spans="1:7" x14ac:dyDescent="0.35">
      <c r="A783" s="100">
        <v>781</v>
      </c>
      <c r="B783" s="10" t="s">
        <v>248</v>
      </c>
      <c r="C783" s="10" t="s">
        <v>247</v>
      </c>
      <c r="D783" s="10">
        <v>2024</v>
      </c>
      <c r="E783" s="10">
        <v>0</v>
      </c>
      <c r="F783" s="10" t="s">
        <v>243</v>
      </c>
      <c r="G783" s="10" t="s">
        <v>244</v>
      </c>
    </row>
    <row r="784" spans="1:7" x14ac:dyDescent="0.35">
      <c r="A784" s="100">
        <v>782</v>
      </c>
      <c r="B784" s="10" t="s">
        <v>248</v>
      </c>
      <c r="C784" s="10" t="s">
        <v>247</v>
      </c>
      <c r="D784" s="10">
        <v>2025</v>
      </c>
      <c r="E784" s="10">
        <v>0</v>
      </c>
      <c r="F784" s="10" t="s">
        <v>243</v>
      </c>
      <c r="G784" s="10" t="s">
        <v>244</v>
      </c>
    </row>
    <row r="785" spans="1:7" x14ac:dyDescent="0.35">
      <c r="A785" s="100">
        <v>783</v>
      </c>
      <c r="B785" s="10" t="s">
        <v>248</v>
      </c>
      <c r="C785" s="10" t="s">
        <v>247</v>
      </c>
      <c r="D785" s="10">
        <v>2026</v>
      </c>
      <c r="E785" s="10">
        <v>0</v>
      </c>
      <c r="F785" s="10" t="s">
        <v>243</v>
      </c>
      <c r="G785" s="10" t="s">
        <v>244</v>
      </c>
    </row>
    <row r="786" spans="1:7" x14ac:dyDescent="0.35">
      <c r="A786" s="100">
        <v>784</v>
      </c>
      <c r="B786" s="10" t="s">
        <v>248</v>
      </c>
      <c r="C786" s="10" t="s">
        <v>247</v>
      </c>
      <c r="D786" s="10">
        <v>2027</v>
      </c>
      <c r="E786" s="10">
        <v>0</v>
      </c>
      <c r="F786" s="10" t="s">
        <v>243</v>
      </c>
      <c r="G786" s="10" t="s">
        <v>244</v>
      </c>
    </row>
    <row r="787" spans="1:7" x14ac:dyDescent="0.35">
      <c r="A787" s="100">
        <v>785</v>
      </c>
      <c r="B787" s="10" t="s">
        <v>248</v>
      </c>
      <c r="C787" s="10" t="s">
        <v>247</v>
      </c>
      <c r="D787" s="10">
        <v>2028</v>
      </c>
      <c r="E787" s="10">
        <v>0</v>
      </c>
      <c r="F787" s="10" t="s">
        <v>243</v>
      </c>
      <c r="G787" s="10" t="s">
        <v>244</v>
      </c>
    </row>
    <row r="788" spans="1:7" x14ac:dyDescent="0.35">
      <c r="A788" s="100">
        <v>786</v>
      </c>
      <c r="B788" s="10" t="s">
        <v>248</v>
      </c>
      <c r="C788" s="10" t="s">
        <v>247</v>
      </c>
      <c r="D788" s="10">
        <v>2029</v>
      </c>
      <c r="E788" s="10">
        <v>0</v>
      </c>
      <c r="F788" s="10" t="s">
        <v>243</v>
      </c>
      <c r="G788" s="10" t="s">
        <v>244</v>
      </c>
    </row>
    <row r="789" spans="1:7" x14ac:dyDescent="0.35">
      <c r="A789" s="100">
        <v>787</v>
      </c>
      <c r="B789" s="10" t="s">
        <v>248</v>
      </c>
      <c r="C789" s="10" t="s">
        <v>247</v>
      </c>
      <c r="D789" s="10">
        <v>2030</v>
      </c>
      <c r="E789" s="10">
        <v>0</v>
      </c>
      <c r="F789" s="10" t="s">
        <v>243</v>
      </c>
      <c r="G789" s="10" t="s">
        <v>244</v>
      </c>
    </row>
    <row r="790" spans="1:7" x14ac:dyDescent="0.35">
      <c r="A790" s="100">
        <v>788</v>
      </c>
      <c r="B790" s="10" t="s">
        <v>248</v>
      </c>
      <c r="C790" s="10" t="s">
        <v>247</v>
      </c>
      <c r="D790" s="10">
        <v>2031</v>
      </c>
      <c r="E790" s="10">
        <v>0</v>
      </c>
      <c r="F790" s="10" t="s">
        <v>243</v>
      </c>
      <c r="G790" s="10" t="s">
        <v>244</v>
      </c>
    </row>
    <row r="791" spans="1:7" x14ac:dyDescent="0.35">
      <c r="A791" s="100">
        <v>789</v>
      </c>
      <c r="B791" s="10" t="s">
        <v>248</v>
      </c>
      <c r="C791" s="10" t="s">
        <v>247</v>
      </c>
      <c r="D791" s="10">
        <v>2032</v>
      </c>
      <c r="E791" s="10">
        <v>0</v>
      </c>
      <c r="F791" s="10" t="s">
        <v>243</v>
      </c>
      <c r="G791" s="10" t="s">
        <v>244</v>
      </c>
    </row>
    <row r="792" spans="1:7" x14ac:dyDescent="0.35">
      <c r="A792" s="100">
        <v>790</v>
      </c>
      <c r="B792" s="10" t="s">
        <v>248</v>
      </c>
      <c r="C792" s="10" t="s">
        <v>247</v>
      </c>
      <c r="D792" s="10">
        <v>2033</v>
      </c>
      <c r="E792" s="10">
        <v>0</v>
      </c>
      <c r="F792" s="10" t="s">
        <v>243</v>
      </c>
      <c r="G792" s="10" t="s">
        <v>244</v>
      </c>
    </row>
    <row r="793" spans="1:7" x14ac:dyDescent="0.35">
      <c r="A793" s="100">
        <v>791</v>
      </c>
      <c r="B793" s="10" t="s">
        <v>248</v>
      </c>
      <c r="C793" s="10" t="s">
        <v>247</v>
      </c>
      <c r="D793" s="10">
        <v>2034</v>
      </c>
      <c r="E793" s="10">
        <v>0</v>
      </c>
      <c r="F793" s="10" t="s">
        <v>243</v>
      </c>
      <c r="G793" s="10" t="s">
        <v>244</v>
      </c>
    </row>
    <row r="794" spans="1:7" x14ac:dyDescent="0.35">
      <c r="A794" s="100">
        <v>792</v>
      </c>
      <c r="B794" s="10" t="s">
        <v>248</v>
      </c>
      <c r="C794" s="10" t="s">
        <v>247</v>
      </c>
      <c r="D794" s="10">
        <v>2035</v>
      </c>
      <c r="E794" s="10">
        <v>0</v>
      </c>
      <c r="F794" s="10" t="s">
        <v>243</v>
      </c>
      <c r="G794" s="10" t="s">
        <v>244</v>
      </c>
    </row>
    <row r="795" spans="1:7" x14ac:dyDescent="0.35">
      <c r="A795" s="100">
        <v>793</v>
      </c>
      <c r="B795" s="10" t="s">
        <v>248</v>
      </c>
      <c r="C795" s="10" t="s">
        <v>247</v>
      </c>
      <c r="D795" s="10">
        <v>2036</v>
      </c>
      <c r="E795" s="10">
        <v>0</v>
      </c>
      <c r="F795" s="10" t="s">
        <v>243</v>
      </c>
      <c r="G795" s="10" t="s">
        <v>244</v>
      </c>
    </row>
    <row r="796" spans="1:7" x14ac:dyDescent="0.35">
      <c r="A796" s="100">
        <v>794</v>
      </c>
      <c r="B796" s="10" t="s">
        <v>248</v>
      </c>
      <c r="C796" s="10" t="s">
        <v>247</v>
      </c>
      <c r="D796" s="10">
        <v>2037</v>
      </c>
      <c r="E796" s="10">
        <v>0</v>
      </c>
      <c r="F796" s="10" t="s">
        <v>243</v>
      </c>
      <c r="G796" s="10" t="s">
        <v>244</v>
      </c>
    </row>
    <row r="797" spans="1:7" x14ac:dyDescent="0.35">
      <c r="A797" s="100">
        <v>795</v>
      </c>
      <c r="B797" s="10" t="s">
        <v>248</v>
      </c>
      <c r="C797" s="10" t="s">
        <v>247</v>
      </c>
      <c r="D797" s="10">
        <v>2038</v>
      </c>
      <c r="E797" s="10">
        <v>0</v>
      </c>
      <c r="F797" s="10" t="s">
        <v>243</v>
      </c>
      <c r="G797" s="10" t="s">
        <v>244</v>
      </c>
    </row>
    <row r="798" spans="1:7" x14ac:dyDescent="0.35">
      <c r="A798" s="100">
        <v>796</v>
      </c>
      <c r="B798" s="10" t="s">
        <v>248</v>
      </c>
      <c r="C798" s="10" t="s">
        <v>247</v>
      </c>
      <c r="D798" s="10">
        <v>2039</v>
      </c>
      <c r="E798" s="10">
        <v>0</v>
      </c>
      <c r="F798" s="10" t="s">
        <v>243</v>
      </c>
      <c r="G798" s="10" t="s">
        <v>244</v>
      </c>
    </row>
    <row r="799" spans="1:7" x14ac:dyDescent="0.35">
      <c r="A799" s="100">
        <v>797</v>
      </c>
      <c r="B799" s="10" t="s">
        <v>248</v>
      </c>
      <c r="C799" s="10" t="s">
        <v>247</v>
      </c>
      <c r="D799" s="10">
        <v>2040</v>
      </c>
      <c r="E799" s="10">
        <v>0</v>
      </c>
      <c r="F799" s="10" t="s">
        <v>243</v>
      </c>
      <c r="G799" s="10" t="s">
        <v>244</v>
      </c>
    </row>
    <row r="800" spans="1:7" x14ac:dyDescent="0.35">
      <c r="A800" s="100">
        <v>798</v>
      </c>
      <c r="B800" s="10" t="s">
        <v>248</v>
      </c>
      <c r="C800" s="10" t="s">
        <v>247</v>
      </c>
      <c r="D800" s="10">
        <v>2041</v>
      </c>
      <c r="E800" s="10">
        <v>0</v>
      </c>
      <c r="F800" s="10" t="s">
        <v>243</v>
      </c>
      <c r="G800" s="10" t="s">
        <v>244</v>
      </c>
    </row>
    <row r="801" spans="1:7" x14ac:dyDescent="0.35">
      <c r="A801" s="100">
        <v>799</v>
      </c>
      <c r="B801" s="10" t="s">
        <v>248</v>
      </c>
      <c r="C801" s="10" t="s">
        <v>247</v>
      </c>
      <c r="D801" s="10">
        <v>2042</v>
      </c>
      <c r="E801" s="10">
        <v>0</v>
      </c>
      <c r="F801" s="10" t="s">
        <v>243</v>
      </c>
      <c r="G801" s="10" t="s">
        <v>244</v>
      </c>
    </row>
    <row r="802" spans="1:7" x14ac:dyDescent="0.35">
      <c r="A802" s="100">
        <v>800</v>
      </c>
      <c r="B802" s="10" t="s">
        <v>248</v>
      </c>
      <c r="C802" s="10" t="s">
        <v>247</v>
      </c>
      <c r="D802" s="10">
        <v>2043</v>
      </c>
      <c r="E802" s="10">
        <v>0</v>
      </c>
      <c r="F802" s="10" t="s">
        <v>243</v>
      </c>
      <c r="G802" s="10" t="s">
        <v>244</v>
      </c>
    </row>
    <row r="803" spans="1:7" x14ac:dyDescent="0.35">
      <c r="A803" s="100">
        <v>801</v>
      </c>
      <c r="B803" s="10" t="s">
        <v>248</v>
      </c>
      <c r="C803" s="10" t="s">
        <v>247</v>
      </c>
      <c r="D803" s="10">
        <v>2044</v>
      </c>
      <c r="E803" s="10">
        <v>0</v>
      </c>
      <c r="F803" s="10" t="s">
        <v>243</v>
      </c>
      <c r="G803" s="10" t="s">
        <v>244</v>
      </c>
    </row>
    <row r="804" spans="1:7" x14ac:dyDescent="0.35">
      <c r="A804" s="100">
        <v>802</v>
      </c>
      <c r="B804" s="10" t="s">
        <v>248</v>
      </c>
      <c r="C804" s="10" t="s">
        <v>247</v>
      </c>
      <c r="D804" s="10">
        <v>2045</v>
      </c>
      <c r="E804" s="10">
        <v>0</v>
      </c>
      <c r="F804" s="10" t="s">
        <v>243</v>
      </c>
      <c r="G804" s="10" t="s">
        <v>244</v>
      </c>
    </row>
    <row r="805" spans="1:7" x14ac:dyDescent="0.35">
      <c r="A805" s="100">
        <v>803</v>
      </c>
      <c r="B805" s="10" t="s">
        <v>248</v>
      </c>
      <c r="C805" s="10" t="s">
        <v>247</v>
      </c>
      <c r="D805" s="10">
        <v>2046</v>
      </c>
      <c r="E805" s="10">
        <v>0</v>
      </c>
      <c r="F805" s="10" t="s">
        <v>243</v>
      </c>
      <c r="G805" s="10" t="s">
        <v>244</v>
      </c>
    </row>
    <row r="806" spans="1:7" x14ac:dyDescent="0.35">
      <c r="A806" s="100">
        <v>804</v>
      </c>
      <c r="B806" s="10" t="s">
        <v>248</v>
      </c>
      <c r="C806" s="10" t="s">
        <v>247</v>
      </c>
      <c r="D806" s="10">
        <v>2047</v>
      </c>
      <c r="E806" s="10">
        <v>0</v>
      </c>
      <c r="F806" s="10" t="s">
        <v>243</v>
      </c>
      <c r="G806" s="10" t="s">
        <v>244</v>
      </c>
    </row>
    <row r="807" spans="1:7" x14ac:dyDescent="0.35">
      <c r="A807" s="100">
        <v>805</v>
      </c>
      <c r="B807" s="10" t="s">
        <v>248</v>
      </c>
      <c r="C807" s="10" t="s">
        <v>247</v>
      </c>
      <c r="D807" s="10">
        <v>2048</v>
      </c>
      <c r="E807" s="10">
        <v>0</v>
      </c>
      <c r="F807" s="10" t="s">
        <v>243</v>
      </c>
      <c r="G807" s="10" t="s">
        <v>244</v>
      </c>
    </row>
    <row r="808" spans="1:7" x14ac:dyDescent="0.35">
      <c r="A808" s="100">
        <v>806</v>
      </c>
      <c r="B808" s="10" t="s">
        <v>248</v>
      </c>
      <c r="C808" s="10" t="s">
        <v>247</v>
      </c>
      <c r="D808" s="10">
        <v>2049</v>
      </c>
      <c r="E808" s="10">
        <v>0</v>
      </c>
      <c r="F808" s="10" t="s">
        <v>243</v>
      </c>
      <c r="G808" s="10" t="s">
        <v>244</v>
      </c>
    </row>
    <row r="809" spans="1:7" x14ac:dyDescent="0.35">
      <c r="A809" s="100">
        <v>807</v>
      </c>
      <c r="B809" s="10" t="s">
        <v>248</v>
      </c>
      <c r="C809" s="10" t="s">
        <v>247</v>
      </c>
      <c r="D809" s="10">
        <v>2050</v>
      </c>
      <c r="E809" s="10">
        <v>0</v>
      </c>
      <c r="F809" s="10" t="s">
        <v>243</v>
      </c>
      <c r="G809" s="10" t="s">
        <v>244</v>
      </c>
    </row>
    <row r="810" spans="1:7" x14ac:dyDescent="0.35">
      <c r="A810" s="100">
        <v>808</v>
      </c>
      <c r="B810" s="10" t="s">
        <v>249</v>
      </c>
      <c r="C810" s="10" t="s">
        <v>242</v>
      </c>
      <c r="D810" s="10">
        <v>1950</v>
      </c>
      <c r="E810" s="10">
        <v>1</v>
      </c>
      <c r="F810" s="10" t="s">
        <v>243</v>
      </c>
      <c r="G810" s="10" t="s">
        <v>244</v>
      </c>
    </row>
    <row r="811" spans="1:7" x14ac:dyDescent="0.35">
      <c r="A811" s="100">
        <v>809</v>
      </c>
      <c r="B811" s="10" t="s">
        <v>249</v>
      </c>
      <c r="C811" s="10" t="s">
        <v>242</v>
      </c>
      <c r="D811" s="10">
        <v>1951</v>
      </c>
      <c r="E811" s="10">
        <v>1</v>
      </c>
      <c r="F811" s="10" t="s">
        <v>243</v>
      </c>
      <c r="G811" s="10" t="s">
        <v>244</v>
      </c>
    </row>
    <row r="812" spans="1:7" x14ac:dyDescent="0.35">
      <c r="A812" s="100">
        <v>810</v>
      </c>
      <c r="B812" s="10" t="s">
        <v>249</v>
      </c>
      <c r="C812" s="10" t="s">
        <v>242</v>
      </c>
      <c r="D812" s="10">
        <v>1952</v>
      </c>
      <c r="E812" s="10">
        <v>1</v>
      </c>
      <c r="F812" s="10" t="s">
        <v>243</v>
      </c>
      <c r="G812" s="10" t="s">
        <v>244</v>
      </c>
    </row>
    <row r="813" spans="1:7" x14ac:dyDescent="0.35">
      <c r="A813" s="100">
        <v>811</v>
      </c>
      <c r="B813" s="10" t="s">
        <v>249</v>
      </c>
      <c r="C813" s="10" t="s">
        <v>242</v>
      </c>
      <c r="D813" s="10">
        <v>1953</v>
      </c>
      <c r="E813" s="10">
        <v>1</v>
      </c>
      <c r="F813" s="10" t="s">
        <v>243</v>
      </c>
      <c r="G813" s="10" t="s">
        <v>244</v>
      </c>
    </row>
    <row r="814" spans="1:7" x14ac:dyDescent="0.35">
      <c r="A814" s="100">
        <v>812</v>
      </c>
      <c r="B814" s="10" t="s">
        <v>249</v>
      </c>
      <c r="C814" s="10" t="s">
        <v>242</v>
      </c>
      <c r="D814" s="10">
        <v>1954</v>
      </c>
      <c r="E814" s="10">
        <v>1</v>
      </c>
      <c r="F814" s="10" t="s">
        <v>243</v>
      </c>
      <c r="G814" s="10" t="s">
        <v>244</v>
      </c>
    </row>
    <row r="815" spans="1:7" x14ac:dyDescent="0.35">
      <c r="A815" s="100">
        <v>813</v>
      </c>
      <c r="B815" s="10" t="s">
        <v>249</v>
      </c>
      <c r="C815" s="10" t="s">
        <v>242</v>
      </c>
      <c r="D815" s="10">
        <v>1955</v>
      </c>
      <c r="E815" s="10">
        <v>1</v>
      </c>
      <c r="F815" s="10" t="s">
        <v>243</v>
      </c>
      <c r="G815" s="10" t="s">
        <v>244</v>
      </c>
    </row>
    <row r="816" spans="1:7" x14ac:dyDescent="0.35">
      <c r="A816" s="100">
        <v>814</v>
      </c>
      <c r="B816" s="10" t="s">
        <v>249</v>
      </c>
      <c r="C816" s="10" t="s">
        <v>242</v>
      </c>
      <c r="D816" s="10">
        <v>1956</v>
      </c>
      <c r="E816" s="10">
        <v>1</v>
      </c>
      <c r="F816" s="10" t="s">
        <v>243</v>
      </c>
      <c r="G816" s="10" t="s">
        <v>244</v>
      </c>
    </row>
    <row r="817" spans="1:7" x14ac:dyDescent="0.35">
      <c r="A817" s="100">
        <v>815</v>
      </c>
      <c r="B817" s="10" t="s">
        <v>249</v>
      </c>
      <c r="C817" s="10" t="s">
        <v>242</v>
      </c>
      <c r="D817" s="10">
        <v>1957</v>
      </c>
      <c r="E817" s="10">
        <v>1</v>
      </c>
      <c r="F817" s="10" t="s">
        <v>243</v>
      </c>
      <c r="G817" s="10" t="s">
        <v>244</v>
      </c>
    </row>
    <row r="818" spans="1:7" x14ac:dyDescent="0.35">
      <c r="A818" s="100">
        <v>816</v>
      </c>
      <c r="B818" s="10" t="s">
        <v>249</v>
      </c>
      <c r="C818" s="10" t="s">
        <v>242</v>
      </c>
      <c r="D818" s="10">
        <v>1958</v>
      </c>
      <c r="E818" s="10">
        <v>1</v>
      </c>
      <c r="F818" s="10" t="s">
        <v>243</v>
      </c>
      <c r="G818" s="10" t="s">
        <v>244</v>
      </c>
    </row>
    <row r="819" spans="1:7" x14ac:dyDescent="0.35">
      <c r="A819" s="100">
        <v>817</v>
      </c>
      <c r="B819" s="10" t="s">
        <v>249</v>
      </c>
      <c r="C819" s="10" t="s">
        <v>242</v>
      </c>
      <c r="D819" s="10">
        <v>1959</v>
      </c>
      <c r="E819" s="10">
        <v>1</v>
      </c>
      <c r="F819" s="10" t="s">
        <v>243</v>
      </c>
      <c r="G819" s="10" t="s">
        <v>244</v>
      </c>
    </row>
    <row r="820" spans="1:7" x14ac:dyDescent="0.35">
      <c r="A820" s="100">
        <v>818</v>
      </c>
      <c r="B820" s="10" t="s">
        <v>249</v>
      </c>
      <c r="C820" s="10" t="s">
        <v>242</v>
      </c>
      <c r="D820" s="10">
        <v>1960</v>
      </c>
      <c r="E820" s="10">
        <v>1</v>
      </c>
      <c r="F820" s="10" t="s">
        <v>243</v>
      </c>
      <c r="G820" s="10" t="s">
        <v>244</v>
      </c>
    </row>
    <row r="821" spans="1:7" x14ac:dyDescent="0.35">
      <c r="A821" s="100">
        <v>819</v>
      </c>
      <c r="B821" s="10" t="s">
        <v>249</v>
      </c>
      <c r="C821" s="10" t="s">
        <v>242</v>
      </c>
      <c r="D821" s="10">
        <v>1961</v>
      </c>
      <c r="E821" s="10">
        <v>1</v>
      </c>
      <c r="F821" s="10" t="s">
        <v>243</v>
      </c>
      <c r="G821" s="10" t="s">
        <v>244</v>
      </c>
    </row>
    <row r="822" spans="1:7" x14ac:dyDescent="0.35">
      <c r="A822" s="100">
        <v>820</v>
      </c>
      <c r="B822" s="10" t="s">
        <v>249</v>
      </c>
      <c r="C822" s="10" t="s">
        <v>242</v>
      </c>
      <c r="D822" s="10">
        <v>1962</v>
      </c>
      <c r="E822" s="10">
        <v>1</v>
      </c>
      <c r="F822" s="10" t="s">
        <v>243</v>
      </c>
      <c r="G822" s="10" t="s">
        <v>244</v>
      </c>
    </row>
    <row r="823" spans="1:7" x14ac:dyDescent="0.35">
      <c r="A823" s="100">
        <v>821</v>
      </c>
      <c r="B823" s="10" t="s">
        <v>249</v>
      </c>
      <c r="C823" s="10" t="s">
        <v>242</v>
      </c>
      <c r="D823" s="10">
        <v>1963</v>
      </c>
      <c r="E823" s="10">
        <v>1</v>
      </c>
      <c r="F823" s="10" t="s">
        <v>243</v>
      </c>
      <c r="G823" s="10" t="s">
        <v>244</v>
      </c>
    </row>
    <row r="824" spans="1:7" x14ac:dyDescent="0.35">
      <c r="A824" s="100">
        <v>822</v>
      </c>
      <c r="B824" s="10" t="s">
        <v>249</v>
      </c>
      <c r="C824" s="10" t="s">
        <v>242</v>
      </c>
      <c r="D824" s="10">
        <v>1964</v>
      </c>
      <c r="E824" s="10">
        <v>1</v>
      </c>
      <c r="F824" s="10" t="s">
        <v>243</v>
      </c>
      <c r="G824" s="10" t="s">
        <v>244</v>
      </c>
    </row>
    <row r="825" spans="1:7" x14ac:dyDescent="0.35">
      <c r="A825" s="100">
        <v>823</v>
      </c>
      <c r="B825" s="10" t="s">
        <v>249</v>
      </c>
      <c r="C825" s="10" t="s">
        <v>242</v>
      </c>
      <c r="D825" s="10">
        <v>1965</v>
      </c>
      <c r="E825" s="10">
        <v>1</v>
      </c>
      <c r="F825" s="10" t="s">
        <v>243</v>
      </c>
      <c r="G825" s="10" t="s">
        <v>244</v>
      </c>
    </row>
    <row r="826" spans="1:7" x14ac:dyDescent="0.35">
      <c r="A826" s="100">
        <v>824</v>
      </c>
      <c r="B826" s="10" t="s">
        <v>249</v>
      </c>
      <c r="C826" s="10" t="s">
        <v>242</v>
      </c>
      <c r="D826" s="10">
        <v>1966</v>
      </c>
      <c r="E826" s="10">
        <v>1</v>
      </c>
      <c r="F826" s="10" t="s">
        <v>243</v>
      </c>
      <c r="G826" s="10" t="s">
        <v>244</v>
      </c>
    </row>
    <row r="827" spans="1:7" x14ac:dyDescent="0.35">
      <c r="A827" s="100">
        <v>825</v>
      </c>
      <c r="B827" s="10" t="s">
        <v>249</v>
      </c>
      <c r="C827" s="10" t="s">
        <v>242</v>
      </c>
      <c r="D827" s="10">
        <v>1967</v>
      </c>
      <c r="E827" s="10">
        <v>1</v>
      </c>
      <c r="F827" s="10" t="s">
        <v>243</v>
      </c>
      <c r="G827" s="10" t="s">
        <v>244</v>
      </c>
    </row>
    <row r="828" spans="1:7" x14ac:dyDescent="0.35">
      <c r="A828" s="100">
        <v>826</v>
      </c>
      <c r="B828" s="10" t="s">
        <v>249</v>
      </c>
      <c r="C828" s="10" t="s">
        <v>242</v>
      </c>
      <c r="D828" s="10">
        <v>1968</v>
      </c>
      <c r="E828" s="10">
        <v>1</v>
      </c>
      <c r="F828" s="10" t="s">
        <v>243</v>
      </c>
      <c r="G828" s="10" t="s">
        <v>244</v>
      </c>
    </row>
    <row r="829" spans="1:7" x14ac:dyDescent="0.35">
      <c r="A829" s="100">
        <v>827</v>
      </c>
      <c r="B829" s="10" t="s">
        <v>249</v>
      </c>
      <c r="C829" s="10" t="s">
        <v>242</v>
      </c>
      <c r="D829" s="10">
        <v>1969</v>
      </c>
      <c r="E829" s="10">
        <v>1</v>
      </c>
      <c r="F829" s="10" t="s">
        <v>243</v>
      </c>
      <c r="G829" s="10" t="s">
        <v>244</v>
      </c>
    </row>
    <row r="830" spans="1:7" x14ac:dyDescent="0.35">
      <c r="A830" s="100">
        <v>828</v>
      </c>
      <c r="B830" s="10" t="s">
        <v>249</v>
      </c>
      <c r="C830" s="10" t="s">
        <v>242</v>
      </c>
      <c r="D830" s="10">
        <v>1970</v>
      </c>
      <c r="E830" s="10">
        <v>1</v>
      </c>
      <c r="F830" s="10" t="s">
        <v>243</v>
      </c>
      <c r="G830" s="10" t="s">
        <v>244</v>
      </c>
    </row>
    <row r="831" spans="1:7" x14ac:dyDescent="0.35">
      <c r="A831" s="100">
        <v>829</v>
      </c>
      <c r="B831" s="10" t="s">
        <v>249</v>
      </c>
      <c r="C831" s="10" t="s">
        <v>242</v>
      </c>
      <c r="D831" s="10">
        <v>1971</v>
      </c>
      <c r="E831" s="10">
        <v>1</v>
      </c>
      <c r="F831" s="10" t="s">
        <v>243</v>
      </c>
      <c r="G831" s="10" t="s">
        <v>244</v>
      </c>
    </row>
    <row r="832" spans="1:7" x14ac:dyDescent="0.35">
      <c r="A832" s="100">
        <v>830</v>
      </c>
      <c r="B832" s="10" t="s">
        <v>249</v>
      </c>
      <c r="C832" s="10" t="s">
        <v>242</v>
      </c>
      <c r="D832" s="10">
        <v>1972</v>
      </c>
      <c r="E832" s="10">
        <v>1</v>
      </c>
      <c r="F832" s="10" t="s">
        <v>243</v>
      </c>
      <c r="G832" s="10" t="s">
        <v>244</v>
      </c>
    </row>
    <row r="833" spans="1:7" x14ac:dyDescent="0.35">
      <c r="A833" s="100">
        <v>831</v>
      </c>
      <c r="B833" s="10" t="s">
        <v>249</v>
      </c>
      <c r="C833" s="10" t="s">
        <v>242</v>
      </c>
      <c r="D833" s="10">
        <v>1973</v>
      </c>
      <c r="E833" s="10">
        <v>1</v>
      </c>
      <c r="F833" s="10" t="s">
        <v>243</v>
      </c>
      <c r="G833" s="10" t="s">
        <v>244</v>
      </c>
    </row>
    <row r="834" spans="1:7" x14ac:dyDescent="0.35">
      <c r="A834" s="100">
        <v>832</v>
      </c>
      <c r="B834" s="10" t="s">
        <v>249</v>
      </c>
      <c r="C834" s="10" t="s">
        <v>242</v>
      </c>
      <c r="D834" s="10">
        <v>1974</v>
      </c>
      <c r="E834" s="10">
        <v>1</v>
      </c>
      <c r="F834" s="10" t="s">
        <v>243</v>
      </c>
      <c r="G834" s="10" t="s">
        <v>244</v>
      </c>
    </row>
    <row r="835" spans="1:7" x14ac:dyDescent="0.35">
      <c r="A835" s="100">
        <v>833</v>
      </c>
      <c r="B835" s="10" t="s">
        <v>249</v>
      </c>
      <c r="C835" s="10" t="s">
        <v>242</v>
      </c>
      <c r="D835" s="10">
        <v>1975</v>
      </c>
      <c r="E835" s="10">
        <v>1</v>
      </c>
      <c r="F835" s="10" t="s">
        <v>243</v>
      </c>
      <c r="G835" s="10" t="s">
        <v>244</v>
      </c>
    </row>
    <row r="836" spans="1:7" x14ac:dyDescent="0.35">
      <c r="A836" s="100">
        <v>834</v>
      </c>
      <c r="B836" s="10" t="s">
        <v>249</v>
      </c>
      <c r="C836" s="10" t="s">
        <v>242</v>
      </c>
      <c r="D836" s="10">
        <v>1976</v>
      </c>
      <c r="E836" s="10">
        <v>1</v>
      </c>
      <c r="F836" s="10" t="s">
        <v>243</v>
      </c>
      <c r="G836" s="10" t="s">
        <v>244</v>
      </c>
    </row>
    <row r="837" spans="1:7" x14ac:dyDescent="0.35">
      <c r="A837" s="100">
        <v>835</v>
      </c>
      <c r="B837" s="10" t="s">
        <v>249</v>
      </c>
      <c r="C837" s="10" t="s">
        <v>242</v>
      </c>
      <c r="D837" s="10">
        <v>1977</v>
      </c>
      <c r="E837" s="10">
        <v>1</v>
      </c>
      <c r="F837" s="10" t="s">
        <v>243</v>
      </c>
      <c r="G837" s="10" t="s">
        <v>244</v>
      </c>
    </row>
    <row r="838" spans="1:7" x14ac:dyDescent="0.35">
      <c r="A838" s="100">
        <v>836</v>
      </c>
      <c r="B838" s="10" t="s">
        <v>249</v>
      </c>
      <c r="C838" s="10" t="s">
        <v>242</v>
      </c>
      <c r="D838" s="10">
        <v>1978</v>
      </c>
      <c r="E838" s="10">
        <v>1</v>
      </c>
      <c r="F838" s="10" t="s">
        <v>243</v>
      </c>
      <c r="G838" s="10" t="s">
        <v>244</v>
      </c>
    </row>
    <row r="839" spans="1:7" x14ac:dyDescent="0.35">
      <c r="A839" s="100">
        <v>837</v>
      </c>
      <c r="B839" s="10" t="s">
        <v>249</v>
      </c>
      <c r="C839" s="10" t="s">
        <v>242</v>
      </c>
      <c r="D839" s="10">
        <v>1979</v>
      </c>
      <c r="E839" s="10">
        <v>1</v>
      </c>
      <c r="F839" s="10" t="s">
        <v>243</v>
      </c>
      <c r="G839" s="10" t="s">
        <v>244</v>
      </c>
    </row>
    <row r="840" spans="1:7" x14ac:dyDescent="0.35">
      <c r="A840" s="100">
        <v>838</v>
      </c>
      <c r="B840" s="10" t="s">
        <v>249</v>
      </c>
      <c r="C840" s="10" t="s">
        <v>242</v>
      </c>
      <c r="D840" s="10">
        <v>1980</v>
      </c>
      <c r="E840" s="10">
        <v>1</v>
      </c>
      <c r="F840" s="10" t="s">
        <v>243</v>
      </c>
      <c r="G840" s="10" t="s">
        <v>244</v>
      </c>
    </row>
    <row r="841" spans="1:7" x14ac:dyDescent="0.35">
      <c r="A841" s="100">
        <v>839</v>
      </c>
      <c r="B841" s="10" t="s">
        <v>249</v>
      </c>
      <c r="C841" s="10" t="s">
        <v>242</v>
      </c>
      <c r="D841" s="10">
        <v>1981</v>
      </c>
      <c r="E841" s="10">
        <v>1</v>
      </c>
      <c r="F841" s="10" t="s">
        <v>243</v>
      </c>
      <c r="G841" s="10" t="s">
        <v>244</v>
      </c>
    </row>
    <row r="842" spans="1:7" x14ac:dyDescent="0.35">
      <c r="A842" s="100">
        <v>840</v>
      </c>
      <c r="B842" s="10" t="s">
        <v>249</v>
      </c>
      <c r="C842" s="10" t="s">
        <v>242</v>
      </c>
      <c r="D842" s="10">
        <v>1982</v>
      </c>
      <c r="E842" s="10">
        <v>1</v>
      </c>
      <c r="F842" s="10" t="s">
        <v>243</v>
      </c>
      <c r="G842" s="10" t="s">
        <v>244</v>
      </c>
    </row>
    <row r="843" spans="1:7" x14ac:dyDescent="0.35">
      <c r="A843" s="100">
        <v>841</v>
      </c>
      <c r="B843" s="10" t="s">
        <v>249</v>
      </c>
      <c r="C843" s="10" t="s">
        <v>242</v>
      </c>
      <c r="D843" s="10">
        <v>1983</v>
      </c>
      <c r="E843" s="10">
        <v>1</v>
      </c>
      <c r="F843" s="10" t="s">
        <v>243</v>
      </c>
      <c r="G843" s="10" t="s">
        <v>244</v>
      </c>
    </row>
    <row r="844" spans="1:7" x14ac:dyDescent="0.35">
      <c r="A844" s="100">
        <v>842</v>
      </c>
      <c r="B844" s="10" t="s">
        <v>249</v>
      </c>
      <c r="C844" s="10" t="s">
        <v>242</v>
      </c>
      <c r="D844" s="10">
        <v>1984</v>
      </c>
      <c r="E844" s="10">
        <v>1</v>
      </c>
      <c r="F844" s="10" t="s">
        <v>243</v>
      </c>
      <c r="G844" s="10" t="s">
        <v>244</v>
      </c>
    </row>
    <row r="845" spans="1:7" x14ac:dyDescent="0.35">
      <c r="A845" s="100">
        <v>843</v>
      </c>
      <c r="B845" s="10" t="s">
        <v>249</v>
      </c>
      <c r="C845" s="10" t="s">
        <v>242</v>
      </c>
      <c r="D845" s="10">
        <v>1985</v>
      </c>
      <c r="E845" s="10">
        <v>1</v>
      </c>
      <c r="F845" s="10" t="s">
        <v>243</v>
      </c>
      <c r="G845" s="10" t="s">
        <v>244</v>
      </c>
    </row>
    <row r="846" spans="1:7" x14ac:dyDescent="0.35">
      <c r="A846" s="100">
        <v>844</v>
      </c>
      <c r="B846" s="10" t="s">
        <v>249</v>
      </c>
      <c r="C846" s="10" t="s">
        <v>242</v>
      </c>
      <c r="D846" s="10">
        <v>1986</v>
      </c>
      <c r="E846" s="10">
        <v>1</v>
      </c>
      <c r="F846" s="10" t="s">
        <v>243</v>
      </c>
      <c r="G846" s="10" t="s">
        <v>244</v>
      </c>
    </row>
    <row r="847" spans="1:7" x14ac:dyDescent="0.35">
      <c r="A847" s="100">
        <v>845</v>
      </c>
      <c r="B847" s="10" t="s">
        <v>249</v>
      </c>
      <c r="C847" s="10" t="s">
        <v>242</v>
      </c>
      <c r="D847" s="10">
        <v>1987</v>
      </c>
      <c r="E847" s="10">
        <v>1</v>
      </c>
      <c r="F847" s="10" t="s">
        <v>243</v>
      </c>
      <c r="G847" s="10" t="s">
        <v>244</v>
      </c>
    </row>
    <row r="848" spans="1:7" x14ac:dyDescent="0.35">
      <c r="A848" s="100">
        <v>846</v>
      </c>
      <c r="B848" s="10" t="s">
        <v>249</v>
      </c>
      <c r="C848" s="10" t="s">
        <v>242</v>
      </c>
      <c r="D848" s="10">
        <v>1988</v>
      </c>
      <c r="E848" s="10">
        <v>1</v>
      </c>
      <c r="F848" s="10" t="s">
        <v>243</v>
      </c>
      <c r="G848" s="10" t="s">
        <v>244</v>
      </c>
    </row>
    <row r="849" spans="1:7" x14ac:dyDescent="0.35">
      <c r="A849" s="100">
        <v>847</v>
      </c>
      <c r="B849" s="10" t="s">
        <v>249</v>
      </c>
      <c r="C849" s="10" t="s">
        <v>242</v>
      </c>
      <c r="D849" s="10">
        <v>1989</v>
      </c>
      <c r="E849" s="10">
        <v>1</v>
      </c>
      <c r="F849" s="10" t="s">
        <v>243</v>
      </c>
      <c r="G849" s="10" t="s">
        <v>244</v>
      </c>
    </row>
    <row r="850" spans="1:7" x14ac:dyDescent="0.35">
      <c r="A850" s="100">
        <v>848</v>
      </c>
      <c r="B850" s="10" t="s">
        <v>249</v>
      </c>
      <c r="C850" s="10" t="s">
        <v>242</v>
      </c>
      <c r="D850" s="10">
        <v>1990</v>
      </c>
      <c r="E850" s="10">
        <v>1</v>
      </c>
      <c r="F850" s="10" t="s">
        <v>243</v>
      </c>
      <c r="G850" s="10" t="s">
        <v>244</v>
      </c>
    </row>
    <row r="851" spans="1:7" x14ac:dyDescent="0.35">
      <c r="A851" s="100">
        <v>849</v>
      </c>
      <c r="B851" s="10" t="s">
        <v>249</v>
      </c>
      <c r="C851" s="10" t="s">
        <v>242</v>
      </c>
      <c r="D851" s="10">
        <v>1991</v>
      </c>
      <c r="E851" s="10">
        <v>1</v>
      </c>
      <c r="F851" s="10" t="s">
        <v>243</v>
      </c>
      <c r="G851" s="10" t="s">
        <v>244</v>
      </c>
    </row>
    <row r="852" spans="1:7" x14ac:dyDescent="0.35">
      <c r="A852" s="100">
        <v>850</v>
      </c>
      <c r="B852" s="10" t="s">
        <v>249</v>
      </c>
      <c r="C852" s="10" t="s">
        <v>242</v>
      </c>
      <c r="D852" s="10">
        <v>1992</v>
      </c>
      <c r="E852" s="10">
        <v>1</v>
      </c>
      <c r="F852" s="10" t="s">
        <v>243</v>
      </c>
      <c r="G852" s="10" t="s">
        <v>244</v>
      </c>
    </row>
    <row r="853" spans="1:7" x14ac:dyDescent="0.35">
      <c r="A853" s="100">
        <v>851</v>
      </c>
      <c r="B853" s="10" t="s">
        <v>249</v>
      </c>
      <c r="C853" s="10" t="s">
        <v>242</v>
      </c>
      <c r="D853" s="10">
        <v>1993</v>
      </c>
      <c r="E853" s="10">
        <v>1</v>
      </c>
      <c r="F853" s="10" t="s">
        <v>243</v>
      </c>
      <c r="G853" s="10" t="s">
        <v>244</v>
      </c>
    </row>
    <row r="854" spans="1:7" x14ac:dyDescent="0.35">
      <c r="A854" s="100">
        <v>852</v>
      </c>
      <c r="B854" s="10" t="s">
        <v>249</v>
      </c>
      <c r="C854" s="10" t="s">
        <v>242</v>
      </c>
      <c r="D854" s="10">
        <v>1994</v>
      </c>
      <c r="E854" s="10">
        <v>1</v>
      </c>
      <c r="F854" s="10" t="s">
        <v>243</v>
      </c>
      <c r="G854" s="10" t="s">
        <v>244</v>
      </c>
    </row>
    <row r="855" spans="1:7" x14ac:dyDescent="0.35">
      <c r="A855" s="100">
        <v>853</v>
      </c>
      <c r="B855" s="10" t="s">
        <v>249</v>
      </c>
      <c r="C855" s="10" t="s">
        <v>242</v>
      </c>
      <c r="D855" s="10">
        <v>1995</v>
      </c>
      <c r="E855" s="10">
        <v>1</v>
      </c>
      <c r="F855" s="10" t="s">
        <v>243</v>
      </c>
      <c r="G855" s="10" t="s">
        <v>244</v>
      </c>
    </row>
    <row r="856" spans="1:7" x14ac:dyDescent="0.35">
      <c r="A856" s="100">
        <v>854</v>
      </c>
      <c r="B856" s="10" t="s">
        <v>249</v>
      </c>
      <c r="C856" s="10" t="s">
        <v>242</v>
      </c>
      <c r="D856" s="10">
        <v>1996</v>
      </c>
      <c r="E856" s="10">
        <v>1</v>
      </c>
      <c r="F856" s="10" t="s">
        <v>243</v>
      </c>
      <c r="G856" s="10" t="s">
        <v>244</v>
      </c>
    </row>
    <row r="857" spans="1:7" x14ac:dyDescent="0.35">
      <c r="A857" s="100">
        <v>855</v>
      </c>
      <c r="B857" s="10" t="s">
        <v>249</v>
      </c>
      <c r="C857" s="10" t="s">
        <v>242</v>
      </c>
      <c r="D857" s="10">
        <v>1997</v>
      </c>
      <c r="E857" s="10">
        <v>1</v>
      </c>
      <c r="F857" s="10" t="s">
        <v>243</v>
      </c>
      <c r="G857" s="10" t="s">
        <v>244</v>
      </c>
    </row>
    <row r="858" spans="1:7" x14ac:dyDescent="0.35">
      <c r="A858" s="100">
        <v>856</v>
      </c>
      <c r="B858" s="10" t="s">
        <v>249</v>
      </c>
      <c r="C858" s="10" t="s">
        <v>242</v>
      </c>
      <c r="D858" s="10">
        <v>1998</v>
      </c>
      <c r="E858" s="10">
        <v>1</v>
      </c>
      <c r="F858" s="10" t="s">
        <v>243</v>
      </c>
      <c r="G858" s="10" t="s">
        <v>244</v>
      </c>
    </row>
    <row r="859" spans="1:7" x14ac:dyDescent="0.35">
      <c r="A859" s="100">
        <v>857</v>
      </c>
      <c r="B859" s="10" t="s">
        <v>249</v>
      </c>
      <c r="C859" s="10" t="s">
        <v>242</v>
      </c>
      <c r="D859" s="10">
        <v>1999</v>
      </c>
      <c r="E859" s="10">
        <v>1</v>
      </c>
      <c r="F859" s="10" t="s">
        <v>243</v>
      </c>
      <c r="G859" s="10" t="s">
        <v>244</v>
      </c>
    </row>
    <row r="860" spans="1:7" x14ac:dyDescent="0.35">
      <c r="A860" s="100">
        <v>858</v>
      </c>
      <c r="B860" s="10" t="s">
        <v>249</v>
      </c>
      <c r="C860" s="10" t="s">
        <v>242</v>
      </c>
      <c r="D860" s="10">
        <v>2000</v>
      </c>
      <c r="E860" s="10">
        <v>1</v>
      </c>
      <c r="F860" s="10" t="s">
        <v>243</v>
      </c>
      <c r="G860" s="10" t="s">
        <v>244</v>
      </c>
    </row>
    <row r="861" spans="1:7" x14ac:dyDescent="0.35">
      <c r="A861" s="100">
        <v>859</v>
      </c>
      <c r="B861" s="10" t="s">
        <v>249</v>
      </c>
      <c r="C861" s="10" t="s">
        <v>242</v>
      </c>
      <c r="D861" s="10">
        <v>2001</v>
      </c>
      <c r="E861" s="10">
        <v>1</v>
      </c>
      <c r="F861" s="10" t="s">
        <v>243</v>
      </c>
      <c r="G861" s="10" t="s">
        <v>244</v>
      </c>
    </row>
    <row r="862" spans="1:7" x14ac:dyDescent="0.35">
      <c r="A862" s="100">
        <v>860</v>
      </c>
      <c r="B862" s="10" t="s">
        <v>249</v>
      </c>
      <c r="C862" s="10" t="s">
        <v>242</v>
      </c>
      <c r="D862" s="10">
        <v>2002</v>
      </c>
      <c r="E862" s="10">
        <v>1</v>
      </c>
      <c r="F862" s="10" t="s">
        <v>243</v>
      </c>
      <c r="G862" s="10" t="s">
        <v>244</v>
      </c>
    </row>
    <row r="863" spans="1:7" x14ac:dyDescent="0.35">
      <c r="A863" s="100">
        <v>861</v>
      </c>
      <c r="B863" s="10" t="s">
        <v>249</v>
      </c>
      <c r="C863" s="10" t="s">
        <v>242</v>
      </c>
      <c r="D863" s="10">
        <v>2003</v>
      </c>
      <c r="E863" s="10">
        <v>1</v>
      </c>
      <c r="F863" s="10" t="s">
        <v>243</v>
      </c>
      <c r="G863" s="10" t="s">
        <v>244</v>
      </c>
    </row>
    <row r="864" spans="1:7" x14ac:dyDescent="0.35">
      <c r="A864" s="100">
        <v>862</v>
      </c>
      <c r="B864" s="10" t="s">
        <v>249</v>
      </c>
      <c r="C864" s="10" t="s">
        <v>242</v>
      </c>
      <c r="D864" s="10">
        <v>2004</v>
      </c>
      <c r="E864" s="10">
        <v>1</v>
      </c>
      <c r="F864" s="10" t="s">
        <v>243</v>
      </c>
      <c r="G864" s="10" t="s">
        <v>244</v>
      </c>
    </row>
    <row r="865" spans="1:7" x14ac:dyDescent="0.35">
      <c r="A865" s="100">
        <v>863</v>
      </c>
      <c r="B865" s="10" t="s">
        <v>249</v>
      </c>
      <c r="C865" s="10" t="s">
        <v>242</v>
      </c>
      <c r="D865" s="10">
        <v>2005</v>
      </c>
      <c r="E865" s="10">
        <v>1</v>
      </c>
      <c r="F865" s="10" t="s">
        <v>243</v>
      </c>
      <c r="G865" s="10" t="s">
        <v>244</v>
      </c>
    </row>
    <row r="866" spans="1:7" x14ac:dyDescent="0.35">
      <c r="A866" s="100">
        <v>864</v>
      </c>
      <c r="B866" s="10" t="s">
        <v>249</v>
      </c>
      <c r="C866" s="10" t="s">
        <v>242</v>
      </c>
      <c r="D866" s="10">
        <v>2006</v>
      </c>
      <c r="E866" s="10">
        <v>1</v>
      </c>
      <c r="F866" s="10" t="s">
        <v>243</v>
      </c>
      <c r="G866" s="10" t="s">
        <v>244</v>
      </c>
    </row>
    <row r="867" spans="1:7" x14ac:dyDescent="0.35">
      <c r="A867" s="100">
        <v>865</v>
      </c>
      <c r="B867" s="10" t="s">
        <v>249</v>
      </c>
      <c r="C867" s="10" t="s">
        <v>242</v>
      </c>
      <c r="D867" s="10">
        <v>2007</v>
      </c>
      <c r="E867" s="10">
        <v>1</v>
      </c>
      <c r="F867" s="10" t="s">
        <v>243</v>
      </c>
      <c r="G867" s="10" t="s">
        <v>244</v>
      </c>
    </row>
    <row r="868" spans="1:7" x14ac:dyDescent="0.35">
      <c r="A868" s="100">
        <v>866</v>
      </c>
      <c r="B868" s="10" t="s">
        <v>249</v>
      </c>
      <c r="C868" s="10" t="s">
        <v>242</v>
      </c>
      <c r="D868" s="10">
        <v>2008</v>
      </c>
      <c r="E868" s="10">
        <v>1</v>
      </c>
      <c r="F868" s="10" t="s">
        <v>243</v>
      </c>
      <c r="G868" s="10" t="s">
        <v>244</v>
      </c>
    </row>
    <row r="869" spans="1:7" x14ac:dyDescent="0.35">
      <c r="A869" s="100">
        <v>867</v>
      </c>
      <c r="B869" s="10" t="s">
        <v>249</v>
      </c>
      <c r="C869" s="10" t="s">
        <v>242</v>
      </c>
      <c r="D869" s="10">
        <v>2009</v>
      </c>
      <c r="E869" s="10">
        <v>1</v>
      </c>
      <c r="F869" s="10" t="s">
        <v>243</v>
      </c>
      <c r="G869" s="10" t="s">
        <v>244</v>
      </c>
    </row>
    <row r="870" spans="1:7" x14ac:dyDescent="0.35">
      <c r="A870" s="100">
        <v>868</v>
      </c>
      <c r="B870" s="10" t="s">
        <v>249</v>
      </c>
      <c r="C870" s="10" t="s">
        <v>242</v>
      </c>
      <c r="D870" s="10">
        <v>2010</v>
      </c>
      <c r="E870" s="10">
        <v>1</v>
      </c>
      <c r="F870" s="10" t="s">
        <v>243</v>
      </c>
      <c r="G870" s="10" t="s">
        <v>244</v>
      </c>
    </row>
    <row r="871" spans="1:7" x14ac:dyDescent="0.35">
      <c r="A871" s="100">
        <v>869</v>
      </c>
      <c r="B871" s="10" t="s">
        <v>249</v>
      </c>
      <c r="C871" s="10" t="s">
        <v>242</v>
      </c>
      <c r="D871" s="10">
        <v>2011</v>
      </c>
      <c r="E871" s="10">
        <v>1</v>
      </c>
      <c r="F871" s="10" t="s">
        <v>243</v>
      </c>
      <c r="G871" s="10" t="s">
        <v>244</v>
      </c>
    </row>
    <row r="872" spans="1:7" x14ac:dyDescent="0.35">
      <c r="A872" s="100">
        <v>870</v>
      </c>
      <c r="B872" s="10" t="s">
        <v>249</v>
      </c>
      <c r="C872" s="10" t="s">
        <v>242</v>
      </c>
      <c r="D872" s="10">
        <v>2012</v>
      </c>
      <c r="E872" s="10">
        <v>1</v>
      </c>
      <c r="F872" s="10" t="s">
        <v>243</v>
      </c>
      <c r="G872" s="10" t="s">
        <v>244</v>
      </c>
    </row>
    <row r="873" spans="1:7" x14ac:dyDescent="0.35">
      <c r="A873" s="100">
        <v>871</v>
      </c>
      <c r="B873" s="10" t="s">
        <v>249</v>
      </c>
      <c r="C873" s="10" t="s">
        <v>242</v>
      </c>
      <c r="D873" s="10">
        <v>2013</v>
      </c>
      <c r="E873" s="10">
        <v>1</v>
      </c>
      <c r="F873" s="10" t="s">
        <v>243</v>
      </c>
      <c r="G873" s="10" t="s">
        <v>244</v>
      </c>
    </row>
    <row r="874" spans="1:7" x14ac:dyDescent="0.35">
      <c r="A874" s="100">
        <v>872</v>
      </c>
      <c r="B874" s="10" t="s">
        <v>249</v>
      </c>
      <c r="C874" s="10" t="s">
        <v>242</v>
      </c>
      <c r="D874" s="10">
        <v>2014</v>
      </c>
      <c r="E874" s="10">
        <v>0.99906496381651078</v>
      </c>
      <c r="F874" s="10" t="s">
        <v>243</v>
      </c>
      <c r="G874" s="10" t="s">
        <v>244</v>
      </c>
    </row>
    <row r="875" spans="1:7" x14ac:dyDescent="0.35">
      <c r="A875" s="100">
        <v>873</v>
      </c>
      <c r="B875" s="10" t="s">
        <v>249</v>
      </c>
      <c r="C875" s="10" t="s">
        <v>242</v>
      </c>
      <c r="D875" s="10">
        <v>2015</v>
      </c>
      <c r="E875" s="10">
        <v>0.9976929758299119</v>
      </c>
      <c r="F875" s="10" t="s">
        <v>243</v>
      </c>
      <c r="G875" s="10" t="s">
        <v>244</v>
      </c>
    </row>
    <row r="876" spans="1:7" x14ac:dyDescent="0.35">
      <c r="A876" s="100">
        <v>874</v>
      </c>
      <c r="B876" s="10" t="s">
        <v>249</v>
      </c>
      <c r="C876" s="10" t="s">
        <v>242</v>
      </c>
      <c r="D876" s="10">
        <v>2016</v>
      </c>
      <c r="E876" s="10">
        <v>0.99568226968146634</v>
      </c>
      <c r="F876" s="10" t="s">
        <v>243</v>
      </c>
      <c r="G876" s="10" t="s">
        <v>244</v>
      </c>
    </row>
    <row r="877" spans="1:7" x14ac:dyDescent="0.35">
      <c r="A877" s="100">
        <v>875</v>
      </c>
      <c r="B877" s="10" t="s">
        <v>249</v>
      </c>
      <c r="C877" s="10" t="s">
        <v>242</v>
      </c>
      <c r="D877" s="10">
        <v>2017</v>
      </c>
      <c r="E877" s="10">
        <v>0.99274069574167634</v>
      </c>
      <c r="F877" s="10" t="s">
        <v>243</v>
      </c>
      <c r="G877" s="10" t="s">
        <v>244</v>
      </c>
    </row>
    <row r="878" spans="1:7" x14ac:dyDescent="0.35">
      <c r="A878" s="100">
        <v>876</v>
      </c>
      <c r="B878" s="10" t="s">
        <v>249</v>
      </c>
      <c r="C878" s="10" t="s">
        <v>242</v>
      </c>
      <c r="D878" s="10">
        <v>2018</v>
      </c>
      <c r="E878" s="10">
        <v>0.98816688030354194</v>
      </c>
      <c r="F878" s="10" t="s">
        <v>243</v>
      </c>
      <c r="G878" s="10" t="s">
        <v>244</v>
      </c>
    </row>
    <row r="879" spans="1:7" x14ac:dyDescent="0.35">
      <c r="A879" s="100">
        <v>877</v>
      </c>
      <c r="B879" s="10" t="s">
        <v>249</v>
      </c>
      <c r="C879" s="10" t="s">
        <v>242</v>
      </c>
      <c r="D879" s="10">
        <v>2019</v>
      </c>
      <c r="E879" s="10">
        <v>0.97420872303212325</v>
      </c>
      <c r="F879" s="10" t="s">
        <v>243</v>
      </c>
      <c r="G879" s="10" t="s">
        <v>244</v>
      </c>
    </row>
    <row r="880" spans="1:7" x14ac:dyDescent="0.35">
      <c r="A880" s="100">
        <v>878</v>
      </c>
      <c r="B880" s="10" t="s">
        <v>249</v>
      </c>
      <c r="C880" s="10" t="s">
        <v>242</v>
      </c>
      <c r="D880" s="10">
        <v>2020</v>
      </c>
      <c r="E880" s="10">
        <v>0.95685330902208887</v>
      </c>
      <c r="F880" s="10" t="s">
        <v>243</v>
      </c>
      <c r="G880" s="10" t="s">
        <v>244</v>
      </c>
    </row>
    <row r="881" spans="1:7" x14ac:dyDescent="0.35">
      <c r="A881" s="100">
        <v>879</v>
      </c>
      <c r="B881" s="10" t="s">
        <v>249</v>
      </c>
      <c r="C881" s="10" t="s">
        <v>242</v>
      </c>
      <c r="D881" s="10">
        <v>2021</v>
      </c>
      <c r="E881" s="10">
        <v>0.93593702784324484</v>
      </c>
      <c r="F881" s="10" t="s">
        <v>243</v>
      </c>
      <c r="G881" s="10" t="s">
        <v>244</v>
      </c>
    </row>
    <row r="882" spans="1:7" x14ac:dyDescent="0.35">
      <c r="A882" s="100">
        <v>880</v>
      </c>
      <c r="B882" s="10" t="s">
        <v>249</v>
      </c>
      <c r="C882" s="10" t="s">
        <v>242</v>
      </c>
      <c r="D882" s="10">
        <v>2022</v>
      </c>
      <c r="E882" s="10">
        <v>0.90996647662235175</v>
      </c>
      <c r="F882" s="10" t="s">
        <v>243</v>
      </c>
      <c r="G882" s="10" t="s">
        <v>244</v>
      </c>
    </row>
    <row r="883" spans="1:7" x14ac:dyDescent="0.35">
      <c r="A883" s="100">
        <v>881</v>
      </c>
      <c r="B883" s="10" t="s">
        <v>249</v>
      </c>
      <c r="C883" s="10" t="s">
        <v>242</v>
      </c>
      <c r="D883" s="10">
        <v>2023</v>
      </c>
      <c r="E883" s="10">
        <v>0.87709138452861402</v>
      </c>
      <c r="F883" s="10" t="s">
        <v>243</v>
      </c>
      <c r="G883" s="10" t="s">
        <v>244</v>
      </c>
    </row>
    <row r="884" spans="1:7" x14ac:dyDescent="0.35">
      <c r="A884" s="100">
        <v>882</v>
      </c>
      <c r="B884" s="10" t="s">
        <v>249</v>
      </c>
      <c r="C884" s="10" t="s">
        <v>242</v>
      </c>
      <c r="D884" s="10">
        <v>2024</v>
      </c>
      <c r="E884" s="10">
        <v>0.83522527526872214</v>
      </c>
      <c r="F884" s="10" t="s">
        <v>243</v>
      </c>
      <c r="G884" s="10" t="s">
        <v>244</v>
      </c>
    </row>
    <row r="885" spans="1:7" x14ac:dyDescent="0.35">
      <c r="A885" s="100">
        <v>883</v>
      </c>
      <c r="B885" s="10" t="s">
        <v>249</v>
      </c>
      <c r="C885" s="10" t="s">
        <v>242</v>
      </c>
      <c r="D885" s="10">
        <v>2025</v>
      </c>
      <c r="E885" s="10">
        <v>0.78237933095425427</v>
      </c>
      <c r="F885" s="10" t="s">
        <v>243</v>
      </c>
      <c r="G885" s="10" t="s">
        <v>244</v>
      </c>
    </row>
    <row r="886" spans="1:7" x14ac:dyDescent="0.35">
      <c r="A886" s="100">
        <v>884</v>
      </c>
      <c r="B886" s="10" t="s">
        <v>249</v>
      </c>
      <c r="C886" s="10" t="s">
        <v>242</v>
      </c>
      <c r="D886" s="10">
        <v>2026</v>
      </c>
      <c r="E886" s="10">
        <v>0.71727555307781476</v>
      </c>
      <c r="F886" s="10" t="s">
        <v>243</v>
      </c>
      <c r="G886" s="10" t="s">
        <v>244</v>
      </c>
    </row>
    <row r="887" spans="1:7" x14ac:dyDescent="0.35">
      <c r="A887" s="100">
        <v>885</v>
      </c>
      <c r="B887" s="10" t="s">
        <v>249</v>
      </c>
      <c r="C887" s="10" t="s">
        <v>242</v>
      </c>
      <c r="D887" s="10">
        <v>2027</v>
      </c>
      <c r="E887" s="10">
        <v>0.64016889487337902</v>
      </c>
      <c r="F887" s="10" t="s">
        <v>243</v>
      </c>
      <c r="G887" s="10" t="s">
        <v>244</v>
      </c>
    </row>
    <row r="888" spans="1:7" x14ac:dyDescent="0.35">
      <c r="A888" s="100">
        <v>886</v>
      </c>
      <c r="B888" s="10" t="s">
        <v>249</v>
      </c>
      <c r="C888" s="10" t="s">
        <v>242</v>
      </c>
      <c r="D888" s="10">
        <v>2028</v>
      </c>
      <c r="E888" s="10">
        <v>0.55355156676814621</v>
      </c>
      <c r="F888" s="10" t="s">
        <v>243</v>
      </c>
      <c r="G888" s="10" t="s">
        <v>244</v>
      </c>
    </row>
    <row r="889" spans="1:7" x14ac:dyDescent="0.35">
      <c r="A889" s="100">
        <v>887</v>
      </c>
      <c r="B889" s="10" t="s">
        <v>249</v>
      </c>
      <c r="C889" s="10" t="s">
        <v>242</v>
      </c>
      <c r="D889" s="10">
        <v>2029</v>
      </c>
      <c r="E889" s="10">
        <v>0.46220947468689499</v>
      </c>
      <c r="F889" s="10" t="s">
        <v>243</v>
      </c>
      <c r="G889" s="10" t="s">
        <v>244</v>
      </c>
    </row>
    <row r="890" spans="1:7" x14ac:dyDescent="0.35">
      <c r="A890" s="100">
        <v>888</v>
      </c>
      <c r="B890" s="10" t="s">
        <v>249</v>
      </c>
      <c r="C890" s="10" t="s">
        <v>242</v>
      </c>
      <c r="D890" s="10">
        <v>2030</v>
      </c>
      <c r="E890" s="10">
        <v>0.37228172744070559</v>
      </c>
      <c r="F890" s="10" t="s">
        <v>243</v>
      </c>
      <c r="G890" s="10" t="s">
        <v>244</v>
      </c>
    </row>
    <row r="891" spans="1:7" x14ac:dyDescent="0.35">
      <c r="A891" s="100">
        <v>889</v>
      </c>
      <c r="B891" s="10" t="s">
        <v>249</v>
      </c>
      <c r="C891" s="10" t="s">
        <v>242</v>
      </c>
      <c r="D891" s="10">
        <v>2031</v>
      </c>
      <c r="E891" s="10">
        <v>0.28961661338452999</v>
      </c>
      <c r="F891" s="10" t="s">
        <v>243</v>
      </c>
      <c r="G891" s="10" t="s">
        <v>244</v>
      </c>
    </row>
    <row r="892" spans="1:7" x14ac:dyDescent="0.35">
      <c r="A892" s="100">
        <v>890</v>
      </c>
      <c r="B892" s="10" t="s">
        <v>249</v>
      </c>
      <c r="C892" s="10" t="s">
        <v>242</v>
      </c>
      <c r="D892" s="10">
        <v>2032</v>
      </c>
      <c r="E892" s="10">
        <v>0.21828508989466019</v>
      </c>
      <c r="F892" s="10" t="s">
        <v>243</v>
      </c>
      <c r="G892" s="10" t="s">
        <v>244</v>
      </c>
    </row>
    <row r="893" spans="1:7" x14ac:dyDescent="0.35">
      <c r="A893" s="100">
        <v>891</v>
      </c>
      <c r="B893" s="10" t="s">
        <v>249</v>
      </c>
      <c r="C893" s="10" t="s">
        <v>242</v>
      </c>
      <c r="D893" s="10">
        <v>2033</v>
      </c>
      <c r="E893" s="10">
        <v>0.1599797357692424</v>
      </c>
      <c r="F893" s="10" t="s">
        <v>243</v>
      </c>
      <c r="G893" s="10" t="s">
        <v>244</v>
      </c>
    </row>
    <row r="894" spans="1:7" x14ac:dyDescent="0.35">
      <c r="A894" s="100">
        <v>892</v>
      </c>
      <c r="B894" s="10" t="s">
        <v>249</v>
      </c>
      <c r="C894" s="10" t="s">
        <v>242</v>
      </c>
      <c r="D894" s="10">
        <v>2034</v>
      </c>
      <c r="E894" s="10">
        <v>0.1143474325380264</v>
      </c>
      <c r="F894" s="10" t="s">
        <v>243</v>
      </c>
      <c r="G894" s="10" t="s">
        <v>244</v>
      </c>
    </row>
    <row r="895" spans="1:7" x14ac:dyDescent="0.35">
      <c r="A895" s="100">
        <v>893</v>
      </c>
      <c r="B895" s="10" t="s">
        <v>249</v>
      </c>
      <c r="C895" s="10" t="s">
        <v>242</v>
      </c>
      <c r="D895" s="10">
        <v>2035</v>
      </c>
      <c r="E895" s="10">
        <v>7.9786762141990764E-2</v>
      </c>
      <c r="F895" s="10" t="s">
        <v>243</v>
      </c>
      <c r="G895" s="10" t="s">
        <v>244</v>
      </c>
    </row>
    <row r="896" spans="1:7" x14ac:dyDescent="0.35">
      <c r="A896" s="100">
        <v>894</v>
      </c>
      <c r="B896" s="10" t="s">
        <v>249</v>
      </c>
      <c r="C896" s="10" t="s">
        <v>242</v>
      </c>
      <c r="D896" s="10">
        <v>2036</v>
      </c>
      <c r="E896" s="10">
        <v>5.4222172719090911E-2</v>
      </c>
      <c r="F896" s="10" t="s">
        <v>243</v>
      </c>
      <c r="G896" s="10" t="s">
        <v>244</v>
      </c>
    </row>
    <row r="897" spans="1:7" x14ac:dyDescent="0.35">
      <c r="A897" s="100">
        <v>895</v>
      </c>
      <c r="B897" s="10" t="s">
        <v>249</v>
      </c>
      <c r="C897" s="10" t="s">
        <v>242</v>
      </c>
      <c r="D897" s="10">
        <v>2037</v>
      </c>
      <c r="E897" s="10">
        <v>3.562169290600381E-2</v>
      </c>
      <c r="F897" s="10" t="s">
        <v>243</v>
      </c>
      <c r="G897" s="10" t="s">
        <v>244</v>
      </c>
    </row>
    <row r="898" spans="1:7" x14ac:dyDescent="0.35">
      <c r="A898" s="100">
        <v>896</v>
      </c>
      <c r="B898" s="10" t="s">
        <v>249</v>
      </c>
      <c r="C898" s="10" t="s">
        <v>242</v>
      </c>
      <c r="D898" s="10">
        <v>2038</v>
      </c>
      <c r="E898" s="10">
        <v>2.2249013379408319E-2</v>
      </c>
      <c r="F898" s="10" t="s">
        <v>243</v>
      </c>
      <c r="G898" s="10" t="s">
        <v>244</v>
      </c>
    </row>
    <row r="899" spans="1:7" x14ac:dyDescent="0.35">
      <c r="A899" s="100">
        <v>897</v>
      </c>
      <c r="B899" s="10" t="s">
        <v>249</v>
      </c>
      <c r="C899" s="10" t="s">
        <v>242</v>
      </c>
      <c r="D899" s="10">
        <v>2039</v>
      </c>
      <c r="E899" s="10">
        <v>1.273391158712112E-2</v>
      </c>
      <c r="F899" s="10" t="s">
        <v>243</v>
      </c>
      <c r="G899" s="10" t="s">
        <v>244</v>
      </c>
    </row>
    <row r="900" spans="1:7" x14ac:dyDescent="0.35">
      <c r="A900" s="100">
        <v>898</v>
      </c>
      <c r="B900" s="10" t="s">
        <v>249</v>
      </c>
      <c r="C900" s="10" t="s">
        <v>242</v>
      </c>
      <c r="D900" s="10">
        <v>2040</v>
      </c>
      <c r="E900" s="10">
        <v>6.0479033901867929E-3</v>
      </c>
      <c r="F900" s="10" t="s">
        <v>243</v>
      </c>
      <c r="G900" s="10" t="s">
        <v>244</v>
      </c>
    </row>
    <row r="901" spans="1:7" x14ac:dyDescent="0.35">
      <c r="A901" s="100">
        <v>899</v>
      </c>
      <c r="B901" s="10" t="s">
        <v>249</v>
      </c>
      <c r="C901" s="10" t="s">
        <v>242</v>
      </c>
      <c r="D901" s="10">
        <v>2041</v>
      </c>
      <c r="E901" s="10">
        <v>1.4438150784009669E-3</v>
      </c>
      <c r="F901" s="10" t="s">
        <v>243</v>
      </c>
      <c r="G901" s="10" t="s">
        <v>244</v>
      </c>
    </row>
    <row r="902" spans="1:7" x14ac:dyDescent="0.35">
      <c r="A902" s="100">
        <v>900</v>
      </c>
      <c r="B902" s="10" t="s">
        <v>249</v>
      </c>
      <c r="C902" s="10" t="s">
        <v>242</v>
      </c>
      <c r="D902" s="10">
        <v>2042</v>
      </c>
      <c r="E902" s="10">
        <v>-1.6095281339311149E-3</v>
      </c>
      <c r="F902" s="10" t="s">
        <v>243</v>
      </c>
      <c r="G902" s="10" t="s">
        <v>244</v>
      </c>
    </row>
    <row r="903" spans="1:7" x14ac:dyDescent="0.35">
      <c r="A903" s="100">
        <v>901</v>
      </c>
      <c r="B903" s="10" t="s">
        <v>249</v>
      </c>
      <c r="C903" s="10" t="s">
        <v>242</v>
      </c>
      <c r="D903" s="10">
        <v>2043</v>
      </c>
      <c r="E903" s="10">
        <v>-3.4843056226646629E-3</v>
      </c>
      <c r="F903" s="10" t="s">
        <v>243</v>
      </c>
      <c r="G903" s="10" t="s">
        <v>244</v>
      </c>
    </row>
    <row r="904" spans="1:7" x14ac:dyDescent="0.35">
      <c r="A904" s="100">
        <v>902</v>
      </c>
      <c r="B904" s="10" t="s">
        <v>249</v>
      </c>
      <c r="C904" s="10" t="s">
        <v>242</v>
      </c>
      <c r="D904" s="10">
        <v>2044</v>
      </c>
      <c r="E904" s="10">
        <v>-4.4387575016958669E-3</v>
      </c>
      <c r="F904" s="10" t="s">
        <v>243</v>
      </c>
      <c r="G904" s="10" t="s">
        <v>244</v>
      </c>
    </row>
    <row r="905" spans="1:7" x14ac:dyDescent="0.35">
      <c r="A905" s="100">
        <v>903</v>
      </c>
      <c r="B905" s="10" t="s">
        <v>249</v>
      </c>
      <c r="C905" s="10" t="s">
        <v>242</v>
      </c>
      <c r="D905" s="10">
        <v>2045</v>
      </c>
      <c r="E905" s="10">
        <v>-4.650886962027645E-3</v>
      </c>
      <c r="F905" s="10" t="s">
        <v>243</v>
      </c>
      <c r="G905" s="10" t="s">
        <v>244</v>
      </c>
    </row>
    <row r="906" spans="1:7" x14ac:dyDescent="0.35">
      <c r="A906" s="100">
        <v>904</v>
      </c>
      <c r="B906" s="10" t="s">
        <v>249</v>
      </c>
      <c r="C906" s="10" t="s">
        <v>242</v>
      </c>
      <c r="D906" s="10">
        <v>2046</v>
      </c>
      <c r="E906" s="10">
        <v>-4.2428431379143428E-3</v>
      </c>
      <c r="F906" s="10" t="s">
        <v>243</v>
      </c>
      <c r="G906" s="10" t="s">
        <v>244</v>
      </c>
    </row>
    <row r="907" spans="1:7" x14ac:dyDescent="0.35">
      <c r="A907" s="100">
        <v>905</v>
      </c>
      <c r="B907" s="10" t="s">
        <v>249</v>
      </c>
      <c r="C907" s="10" t="s">
        <v>242</v>
      </c>
      <c r="D907" s="10">
        <v>2047</v>
      </c>
      <c r="E907" s="10">
        <v>-3.2981933840446902E-3</v>
      </c>
      <c r="F907" s="10" t="s">
        <v>243</v>
      </c>
      <c r="G907" s="10" t="s">
        <v>244</v>
      </c>
    </row>
    <row r="908" spans="1:7" x14ac:dyDescent="0.35">
      <c r="A908" s="100">
        <v>906</v>
      </c>
      <c r="B908" s="10" t="s">
        <v>249</v>
      </c>
      <c r="C908" s="10" t="s">
        <v>242</v>
      </c>
      <c r="D908" s="10">
        <v>2048</v>
      </c>
      <c r="E908" s="10">
        <v>-1.873992168622052E-3</v>
      </c>
      <c r="F908" s="10" t="s">
        <v>243</v>
      </c>
      <c r="G908" s="10" t="s">
        <v>244</v>
      </c>
    </row>
    <row r="909" spans="1:7" x14ac:dyDescent="0.35">
      <c r="A909" s="100">
        <v>907</v>
      </c>
      <c r="B909" s="10" t="s">
        <v>249</v>
      </c>
      <c r="C909" s="10" t="s">
        <v>242</v>
      </c>
      <c r="D909" s="10">
        <v>2049</v>
      </c>
      <c r="E909" s="10">
        <v>-9.1382882485557815E-6</v>
      </c>
      <c r="F909" s="10" t="s">
        <v>243</v>
      </c>
      <c r="G909" s="10" t="s">
        <v>244</v>
      </c>
    </row>
    <row r="910" spans="1:7" x14ac:dyDescent="0.35">
      <c r="A910" s="100">
        <v>908</v>
      </c>
      <c r="B910" s="10" t="s">
        <v>249</v>
      </c>
      <c r="C910" s="10" t="s">
        <v>242</v>
      </c>
      <c r="D910" s="10">
        <v>2050</v>
      </c>
      <c r="E910" s="10">
        <v>2.2698728429597641E-3</v>
      </c>
      <c r="F910" s="10" t="s">
        <v>243</v>
      </c>
      <c r="G910" s="10" t="s">
        <v>244</v>
      </c>
    </row>
    <row r="911" spans="1:7" x14ac:dyDescent="0.35">
      <c r="A911" s="100">
        <v>909</v>
      </c>
      <c r="B911" s="10" t="s">
        <v>249</v>
      </c>
      <c r="C911" s="10" t="s">
        <v>245</v>
      </c>
      <c r="D911" s="10">
        <v>1950</v>
      </c>
      <c r="E911" s="10">
        <v>0</v>
      </c>
      <c r="F911" s="10" t="s">
        <v>243</v>
      </c>
      <c r="G911" s="10" t="s">
        <v>244</v>
      </c>
    </row>
    <row r="912" spans="1:7" x14ac:dyDescent="0.35">
      <c r="A912" s="100">
        <v>910</v>
      </c>
      <c r="B912" s="10" t="s">
        <v>249</v>
      </c>
      <c r="C912" s="10" t="s">
        <v>245</v>
      </c>
      <c r="D912" s="10">
        <v>1951</v>
      </c>
      <c r="E912" s="10">
        <v>0</v>
      </c>
      <c r="F912" s="10" t="s">
        <v>243</v>
      </c>
      <c r="G912" s="10" t="s">
        <v>244</v>
      </c>
    </row>
    <row r="913" spans="1:7" x14ac:dyDescent="0.35">
      <c r="A913" s="100">
        <v>911</v>
      </c>
      <c r="B913" s="10" t="s">
        <v>249</v>
      </c>
      <c r="C913" s="10" t="s">
        <v>245</v>
      </c>
      <c r="D913" s="10">
        <v>1952</v>
      </c>
      <c r="E913" s="10">
        <v>0</v>
      </c>
      <c r="F913" s="10" t="s">
        <v>243</v>
      </c>
      <c r="G913" s="10" t="s">
        <v>244</v>
      </c>
    </row>
    <row r="914" spans="1:7" x14ac:dyDescent="0.35">
      <c r="A914" s="100">
        <v>912</v>
      </c>
      <c r="B914" s="10" t="s">
        <v>249</v>
      </c>
      <c r="C914" s="10" t="s">
        <v>245</v>
      </c>
      <c r="D914" s="10">
        <v>1953</v>
      </c>
      <c r="E914" s="10">
        <v>0</v>
      </c>
      <c r="F914" s="10" t="s">
        <v>243</v>
      </c>
      <c r="G914" s="10" t="s">
        <v>244</v>
      </c>
    </row>
    <row r="915" spans="1:7" x14ac:dyDescent="0.35">
      <c r="A915" s="100">
        <v>913</v>
      </c>
      <c r="B915" s="10" t="s">
        <v>249</v>
      </c>
      <c r="C915" s="10" t="s">
        <v>245</v>
      </c>
      <c r="D915" s="10">
        <v>1954</v>
      </c>
      <c r="E915" s="10">
        <v>0</v>
      </c>
      <c r="F915" s="10" t="s">
        <v>243</v>
      </c>
      <c r="G915" s="10" t="s">
        <v>244</v>
      </c>
    </row>
    <row r="916" spans="1:7" x14ac:dyDescent="0.35">
      <c r="A916" s="100">
        <v>914</v>
      </c>
      <c r="B916" s="10" t="s">
        <v>249</v>
      </c>
      <c r="C916" s="10" t="s">
        <v>245</v>
      </c>
      <c r="D916" s="10">
        <v>1955</v>
      </c>
      <c r="E916" s="10">
        <v>0</v>
      </c>
      <c r="F916" s="10" t="s">
        <v>243</v>
      </c>
      <c r="G916" s="10" t="s">
        <v>244</v>
      </c>
    </row>
    <row r="917" spans="1:7" x14ac:dyDescent="0.35">
      <c r="A917" s="100">
        <v>915</v>
      </c>
      <c r="B917" s="10" t="s">
        <v>249</v>
      </c>
      <c r="C917" s="10" t="s">
        <v>245</v>
      </c>
      <c r="D917" s="10">
        <v>1956</v>
      </c>
      <c r="E917" s="10">
        <v>0</v>
      </c>
      <c r="F917" s="10" t="s">
        <v>243</v>
      </c>
      <c r="G917" s="10" t="s">
        <v>244</v>
      </c>
    </row>
    <row r="918" spans="1:7" x14ac:dyDescent="0.35">
      <c r="A918" s="100">
        <v>916</v>
      </c>
      <c r="B918" s="10" t="s">
        <v>249</v>
      </c>
      <c r="C918" s="10" t="s">
        <v>245</v>
      </c>
      <c r="D918" s="10">
        <v>1957</v>
      </c>
      <c r="E918" s="10">
        <v>0</v>
      </c>
      <c r="F918" s="10" t="s">
        <v>243</v>
      </c>
      <c r="G918" s="10" t="s">
        <v>244</v>
      </c>
    </row>
    <row r="919" spans="1:7" x14ac:dyDescent="0.35">
      <c r="A919" s="100">
        <v>917</v>
      </c>
      <c r="B919" s="10" t="s">
        <v>249</v>
      </c>
      <c r="C919" s="10" t="s">
        <v>245</v>
      </c>
      <c r="D919" s="10">
        <v>1958</v>
      </c>
      <c r="E919" s="10">
        <v>0</v>
      </c>
      <c r="F919" s="10" t="s">
        <v>243</v>
      </c>
      <c r="G919" s="10" t="s">
        <v>244</v>
      </c>
    </row>
    <row r="920" spans="1:7" x14ac:dyDescent="0.35">
      <c r="A920" s="100">
        <v>918</v>
      </c>
      <c r="B920" s="10" t="s">
        <v>249</v>
      </c>
      <c r="C920" s="10" t="s">
        <v>245</v>
      </c>
      <c r="D920" s="10">
        <v>1959</v>
      </c>
      <c r="E920" s="10">
        <v>0</v>
      </c>
      <c r="F920" s="10" t="s">
        <v>243</v>
      </c>
      <c r="G920" s="10" t="s">
        <v>244</v>
      </c>
    </row>
    <row r="921" spans="1:7" x14ac:dyDescent="0.35">
      <c r="A921" s="100">
        <v>919</v>
      </c>
      <c r="B921" s="10" t="s">
        <v>249</v>
      </c>
      <c r="C921" s="10" t="s">
        <v>245</v>
      </c>
      <c r="D921" s="10">
        <v>1960</v>
      </c>
      <c r="E921" s="10">
        <v>0</v>
      </c>
      <c r="F921" s="10" t="s">
        <v>243</v>
      </c>
      <c r="G921" s="10" t="s">
        <v>244</v>
      </c>
    </row>
    <row r="922" spans="1:7" x14ac:dyDescent="0.35">
      <c r="A922" s="100">
        <v>920</v>
      </c>
      <c r="B922" s="10" t="s">
        <v>249</v>
      </c>
      <c r="C922" s="10" t="s">
        <v>245</v>
      </c>
      <c r="D922" s="10">
        <v>1961</v>
      </c>
      <c r="E922" s="10">
        <v>0</v>
      </c>
      <c r="F922" s="10" t="s">
        <v>243</v>
      </c>
      <c r="G922" s="10" t="s">
        <v>244</v>
      </c>
    </row>
    <row r="923" spans="1:7" x14ac:dyDescent="0.35">
      <c r="A923" s="100">
        <v>921</v>
      </c>
      <c r="B923" s="10" t="s">
        <v>249</v>
      </c>
      <c r="C923" s="10" t="s">
        <v>245</v>
      </c>
      <c r="D923" s="10">
        <v>1962</v>
      </c>
      <c r="E923" s="10">
        <v>0</v>
      </c>
      <c r="F923" s="10" t="s">
        <v>243</v>
      </c>
      <c r="G923" s="10" t="s">
        <v>244</v>
      </c>
    </row>
    <row r="924" spans="1:7" x14ac:dyDescent="0.35">
      <c r="A924" s="100">
        <v>922</v>
      </c>
      <c r="B924" s="10" t="s">
        <v>249</v>
      </c>
      <c r="C924" s="10" t="s">
        <v>245</v>
      </c>
      <c r="D924" s="10">
        <v>1963</v>
      </c>
      <c r="E924" s="10">
        <v>0</v>
      </c>
      <c r="F924" s="10" t="s">
        <v>243</v>
      </c>
      <c r="G924" s="10" t="s">
        <v>244</v>
      </c>
    </row>
    <row r="925" spans="1:7" x14ac:dyDescent="0.35">
      <c r="A925" s="100">
        <v>923</v>
      </c>
      <c r="B925" s="10" t="s">
        <v>249</v>
      </c>
      <c r="C925" s="10" t="s">
        <v>245</v>
      </c>
      <c r="D925" s="10">
        <v>1964</v>
      </c>
      <c r="E925" s="10">
        <v>0</v>
      </c>
      <c r="F925" s="10" t="s">
        <v>243</v>
      </c>
      <c r="G925" s="10" t="s">
        <v>244</v>
      </c>
    </row>
    <row r="926" spans="1:7" x14ac:dyDescent="0.35">
      <c r="A926" s="100">
        <v>924</v>
      </c>
      <c r="B926" s="10" t="s">
        <v>249</v>
      </c>
      <c r="C926" s="10" t="s">
        <v>245</v>
      </c>
      <c r="D926" s="10">
        <v>1965</v>
      </c>
      <c r="E926" s="10">
        <v>0</v>
      </c>
      <c r="F926" s="10" t="s">
        <v>243</v>
      </c>
      <c r="G926" s="10" t="s">
        <v>244</v>
      </c>
    </row>
    <row r="927" spans="1:7" x14ac:dyDescent="0.35">
      <c r="A927" s="100">
        <v>925</v>
      </c>
      <c r="B927" s="10" t="s">
        <v>249</v>
      </c>
      <c r="C927" s="10" t="s">
        <v>245</v>
      </c>
      <c r="D927" s="10">
        <v>1966</v>
      </c>
      <c r="E927" s="10">
        <v>0</v>
      </c>
      <c r="F927" s="10" t="s">
        <v>243</v>
      </c>
      <c r="G927" s="10" t="s">
        <v>244</v>
      </c>
    </row>
    <row r="928" spans="1:7" x14ac:dyDescent="0.35">
      <c r="A928" s="100">
        <v>926</v>
      </c>
      <c r="B928" s="10" t="s">
        <v>249</v>
      </c>
      <c r="C928" s="10" t="s">
        <v>245</v>
      </c>
      <c r="D928" s="10">
        <v>1967</v>
      </c>
      <c r="E928" s="10">
        <v>0</v>
      </c>
      <c r="F928" s="10" t="s">
        <v>243</v>
      </c>
      <c r="G928" s="10" t="s">
        <v>244</v>
      </c>
    </row>
    <row r="929" spans="1:7" x14ac:dyDescent="0.35">
      <c r="A929" s="100">
        <v>927</v>
      </c>
      <c r="B929" s="10" t="s">
        <v>249</v>
      </c>
      <c r="C929" s="10" t="s">
        <v>245</v>
      </c>
      <c r="D929" s="10">
        <v>1968</v>
      </c>
      <c r="E929" s="10">
        <v>0</v>
      </c>
      <c r="F929" s="10" t="s">
        <v>243</v>
      </c>
      <c r="G929" s="10" t="s">
        <v>244</v>
      </c>
    </row>
    <row r="930" spans="1:7" x14ac:dyDescent="0.35">
      <c r="A930" s="100">
        <v>928</v>
      </c>
      <c r="B930" s="10" t="s">
        <v>249</v>
      </c>
      <c r="C930" s="10" t="s">
        <v>245</v>
      </c>
      <c r="D930" s="10">
        <v>1969</v>
      </c>
      <c r="E930" s="10">
        <v>0</v>
      </c>
      <c r="F930" s="10" t="s">
        <v>243</v>
      </c>
      <c r="G930" s="10" t="s">
        <v>244</v>
      </c>
    </row>
    <row r="931" spans="1:7" x14ac:dyDescent="0.35">
      <c r="A931" s="100">
        <v>929</v>
      </c>
      <c r="B931" s="10" t="s">
        <v>249</v>
      </c>
      <c r="C931" s="10" t="s">
        <v>245</v>
      </c>
      <c r="D931" s="10">
        <v>1970</v>
      </c>
      <c r="E931" s="10">
        <v>0</v>
      </c>
      <c r="F931" s="10" t="s">
        <v>243</v>
      </c>
      <c r="G931" s="10" t="s">
        <v>244</v>
      </c>
    </row>
    <row r="932" spans="1:7" x14ac:dyDescent="0.35">
      <c r="A932" s="100">
        <v>930</v>
      </c>
      <c r="B932" s="10" t="s">
        <v>249</v>
      </c>
      <c r="C932" s="10" t="s">
        <v>245</v>
      </c>
      <c r="D932" s="10">
        <v>1971</v>
      </c>
      <c r="E932" s="10">
        <v>0</v>
      </c>
      <c r="F932" s="10" t="s">
        <v>243</v>
      </c>
      <c r="G932" s="10" t="s">
        <v>244</v>
      </c>
    </row>
    <row r="933" spans="1:7" x14ac:dyDescent="0.35">
      <c r="A933" s="100">
        <v>931</v>
      </c>
      <c r="B933" s="10" t="s">
        <v>249</v>
      </c>
      <c r="C933" s="10" t="s">
        <v>245</v>
      </c>
      <c r="D933" s="10">
        <v>1972</v>
      </c>
      <c r="E933" s="10">
        <v>0</v>
      </c>
      <c r="F933" s="10" t="s">
        <v>243</v>
      </c>
      <c r="G933" s="10" t="s">
        <v>244</v>
      </c>
    </row>
    <row r="934" spans="1:7" x14ac:dyDescent="0.35">
      <c r="A934" s="100">
        <v>932</v>
      </c>
      <c r="B934" s="10" t="s">
        <v>249</v>
      </c>
      <c r="C934" s="10" t="s">
        <v>245</v>
      </c>
      <c r="D934" s="10">
        <v>1973</v>
      </c>
      <c r="E934" s="10">
        <v>0</v>
      </c>
      <c r="F934" s="10" t="s">
        <v>243</v>
      </c>
      <c r="G934" s="10" t="s">
        <v>244</v>
      </c>
    </row>
    <row r="935" spans="1:7" x14ac:dyDescent="0.35">
      <c r="A935" s="100">
        <v>933</v>
      </c>
      <c r="B935" s="10" t="s">
        <v>249</v>
      </c>
      <c r="C935" s="10" t="s">
        <v>245</v>
      </c>
      <c r="D935" s="10">
        <v>1974</v>
      </c>
      <c r="E935" s="10">
        <v>0</v>
      </c>
      <c r="F935" s="10" t="s">
        <v>243</v>
      </c>
      <c r="G935" s="10" t="s">
        <v>244</v>
      </c>
    </row>
    <row r="936" spans="1:7" x14ac:dyDescent="0.35">
      <c r="A936" s="100">
        <v>934</v>
      </c>
      <c r="B936" s="10" t="s">
        <v>249</v>
      </c>
      <c r="C936" s="10" t="s">
        <v>245</v>
      </c>
      <c r="D936" s="10">
        <v>1975</v>
      </c>
      <c r="E936" s="10">
        <v>0</v>
      </c>
      <c r="F936" s="10" t="s">
        <v>243</v>
      </c>
      <c r="G936" s="10" t="s">
        <v>244</v>
      </c>
    </row>
    <row r="937" spans="1:7" x14ac:dyDescent="0.35">
      <c r="A937" s="100">
        <v>935</v>
      </c>
      <c r="B937" s="10" t="s">
        <v>249</v>
      </c>
      <c r="C937" s="10" t="s">
        <v>245</v>
      </c>
      <c r="D937" s="10">
        <v>1976</v>
      </c>
      <c r="E937" s="10">
        <v>0</v>
      </c>
      <c r="F937" s="10" t="s">
        <v>243</v>
      </c>
      <c r="G937" s="10" t="s">
        <v>244</v>
      </c>
    </row>
    <row r="938" spans="1:7" x14ac:dyDescent="0.35">
      <c r="A938" s="100">
        <v>936</v>
      </c>
      <c r="B938" s="10" t="s">
        <v>249</v>
      </c>
      <c r="C938" s="10" t="s">
        <v>245</v>
      </c>
      <c r="D938" s="10">
        <v>1977</v>
      </c>
      <c r="E938" s="10">
        <v>0</v>
      </c>
      <c r="F938" s="10" t="s">
        <v>243</v>
      </c>
      <c r="G938" s="10" t="s">
        <v>244</v>
      </c>
    </row>
    <row r="939" spans="1:7" x14ac:dyDescent="0.35">
      <c r="A939" s="100">
        <v>937</v>
      </c>
      <c r="B939" s="10" t="s">
        <v>249</v>
      </c>
      <c r="C939" s="10" t="s">
        <v>245</v>
      </c>
      <c r="D939" s="10">
        <v>1978</v>
      </c>
      <c r="E939" s="10">
        <v>0</v>
      </c>
      <c r="F939" s="10" t="s">
        <v>243</v>
      </c>
      <c r="G939" s="10" t="s">
        <v>244</v>
      </c>
    </row>
    <row r="940" spans="1:7" x14ac:dyDescent="0.35">
      <c r="A940" s="100">
        <v>938</v>
      </c>
      <c r="B940" s="10" t="s">
        <v>249</v>
      </c>
      <c r="C940" s="10" t="s">
        <v>245</v>
      </c>
      <c r="D940" s="10">
        <v>1979</v>
      </c>
      <c r="E940" s="10">
        <v>0</v>
      </c>
      <c r="F940" s="10" t="s">
        <v>243</v>
      </c>
      <c r="G940" s="10" t="s">
        <v>244</v>
      </c>
    </row>
    <row r="941" spans="1:7" x14ac:dyDescent="0.35">
      <c r="A941" s="100">
        <v>939</v>
      </c>
      <c r="B941" s="10" t="s">
        <v>249</v>
      </c>
      <c r="C941" s="10" t="s">
        <v>245</v>
      </c>
      <c r="D941" s="10">
        <v>1980</v>
      </c>
      <c r="E941" s="10">
        <v>0</v>
      </c>
      <c r="F941" s="10" t="s">
        <v>243</v>
      </c>
      <c r="G941" s="10" t="s">
        <v>244</v>
      </c>
    </row>
    <row r="942" spans="1:7" x14ac:dyDescent="0.35">
      <c r="A942" s="100">
        <v>940</v>
      </c>
      <c r="B942" s="10" t="s">
        <v>249</v>
      </c>
      <c r="C942" s="10" t="s">
        <v>245</v>
      </c>
      <c r="D942" s="10">
        <v>1981</v>
      </c>
      <c r="E942" s="10">
        <v>0</v>
      </c>
      <c r="F942" s="10" t="s">
        <v>243</v>
      </c>
      <c r="G942" s="10" t="s">
        <v>244</v>
      </c>
    </row>
    <row r="943" spans="1:7" x14ac:dyDescent="0.35">
      <c r="A943" s="100">
        <v>941</v>
      </c>
      <c r="B943" s="10" t="s">
        <v>249</v>
      </c>
      <c r="C943" s="10" t="s">
        <v>245</v>
      </c>
      <c r="D943" s="10">
        <v>1982</v>
      </c>
      <c r="E943" s="10">
        <v>0</v>
      </c>
      <c r="F943" s="10" t="s">
        <v>243</v>
      </c>
      <c r="G943" s="10" t="s">
        <v>244</v>
      </c>
    </row>
    <row r="944" spans="1:7" x14ac:dyDescent="0.35">
      <c r="A944" s="100">
        <v>942</v>
      </c>
      <c r="B944" s="10" t="s">
        <v>249</v>
      </c>
      <c r="C944" s="10" t="s">
        <v>245</v>
      </c>
      <c r="D944" s="10">
        <v>1983</v>
      </c>
      <c r="E944" s="10">
        <v>0</v>
      </c>
      <c r="F944" s="10" t="s">
        <v>243</v>
      </c>
      <c r="G944" s="10" t="s">
        <v>244</v>
      </c>
    </row>
    <row r="945" spans="1:7" x14ac:dyDescent="0.35">
      <c r="A945" s="100">
        <v>943</v>
      </c>
      <c r="B945" s="10" t="s">
        <v>249</v>
      </c>
      <c r="C945" s="10" t="s">
        <v>245</v>
      </c>
      <c r="D945" s="10">
        <v>1984</v>
      </c>
      <c r="E945" s="10">
        <v>0</v>
      </c>
      <c r="F945" s="10" t="s">
        <v>243</v>
      </c>
      <c r="G945" s="10" t="s">
        <v>244</v>
      </c>
    </row>
    <row r="946" spans="1:7" x14ac:dyDescent="0.35">
      <c r="A946" s="100">
        <v>944</v>
      </c>
      <c r="B946" s="10" t="s">
        <v>249</v>
      </c>
      <c r="C946" s="10" t="s">
        <v>245</v>
      </c>
      <c r="D946" s="10">
        <v>1985</v>
      </c>
      <c r="E946" s="10">
        <v>0</v>
      </c>
      <c r="F946" s="10" t="s">
        <v>243</v>
      </c>
      <c r="G946" s="10" t="s">
        <v>244</v>
      </c>
    </row>
    <row r="947" spans="1:7" x14ac:dyDescent="0.35">
      <c r="A947" s="100">
        <v>945</v>
      </c>
      <c r="B947" s="10" t="s">
        <v>249</v>
      </c>
      <c r="C947" s="10" t="s">
        <v>245</v>
      </c>
      <c r="D947" s="10">
        <v>1986</v>
      </c>
      <c r="E947" s="10">
        <v>0</v>
      </c>
      <c r="F947" s="10" t="s">
        <v>243</v>
      </c>
      <c r="G947" s="10" t="s">
        <v>244</v>
      </c>
    </row>
    <row r="948" spans="1:7" x14ac:dyDescent="0.35">
      <c r="A948" s="100">
        <v>946</v>
      </c>
      <c r="B948" s="10" t="s">
        <v>249</v>
      </c>
      <c r="C948" s="10" t="s">
        <v>245</v>
      </c>
      <c r="D948" s="10">
        <v>1987</v>
      </c>
      <c r="E948" s="10">
        <v>0</v>
      </c>
      <c r="F948" s="10" t="s">
        <v>243</v>
      </c>
      <c r="G948" s="10" t="s">
        <v>244</v>
      </c>
    </row>
    <row r="949" spans="1:7" x14ac:dyDescent="0.35">
      <c r="A949" s="100">
        <v>947</v>
      </c>
      <c r="B949" s="10" t="s">
        <v>249</v>
      </c>
      <c r="C949" s="10" t="s">
        <v>245</v>
      </c>
      <c r="D949" s="10">
        <v>1988</v>
      </c>
      <c r="E949" s="10">
        <v>0</v>
      </c>
      <c r="F949" s="10" t="s">
        <v>243</v>
      </c>
      <c r="G949" s="10" t="s">
        <v>244</v>
      </c>
    </row>
    <row r="950" spans="1:7" x14ac:dyDescent="0.35">
      <c r="A950" s="100">
        <v>948</v>
      </c>
      <c r="B950" s="10" t="s">
        <v>249</v>
      </c>
      <c r="C950" s="10" t="s">
        <v>245</v>
      </c>
      <c r="D950" s="10">
        <v>1989</v>
      </c>
      <c r="E950" s="10">
        <v>0</v>
      </c>
      <c r="F950" s="10" t="s">
        <v>243</v>
      </c>
      <c r="G950" s="10" t="s">
        <v>244</v>
      </c>
    </row>
    <row r="951" spans="1:7" x14ac:dyDescent="0.35">
      <c r="A951" s="100">
        <v>949</v>
      </c>
      <c r="B951" s="10" t="s">
        <v>249</v>
      </c>
      <c r="C951" s="10" t="s">
        <v>245</v>
      </c>
      <c r="D951" s="10">
        <v>1990</v>
      </c>
      <c r="E951" s="10">
        <v>0</v>
      </c>
      <c r="F951" s="10" t="s">
        <v>243</v>
      </c>
      <c r="G951" s="10" t="s">
        <v>244</v>
      </c>
    </row>
    <row r="952" spans="1:7" x14ac:dyDescent="0.35">
      <c r="A952" s="100">
        <v>950</v>
      </c>
      <c r="B952" s="10" t="s">
        <v>249</v>
      </c>
      <c r="C952" s="10" t="s">
        <v>245</v>
      </c>
      <c r="D952" s="10">
        <v>1991</v>
      </c>
      <c r="E952" s="10">
        <v>0</v>
      </c>
      <c r="F952" s="10" t="s">
        <v>243</v>
      </c>
      <c r="G952" s="10" t="s">
        <v>244</v>
      </c>
    </row>
    <row r="953" spans="1:7" x14ac:dyDescent="0.35">
      <c r="A953" s="100">
        <v>951</v>
      </c>
      <c r="B953" s="10" t="s">
        <v>249</v>
      </c>
      <c r="C953" s="10" t="s">
        <v>245</v>
      </c>
      <c r="D953" s="10">
        <v>1992</v>
      </c>
      <c r="E953" s="10">
        <v>0</v>
      </c>
      <c r="F953" s="10" t="s">
        <v>243</v>
      </c>
      <c r="G953" s="10" t="s">
        <v>244</v>
      </c>
    </row>
    <row r="954" spans="1:7" x14ac:dyDescent="0.35">
      <c r="A954" s="100">
        <v>952</v>
      </c>
      <c r="B954" s="10" t="s">
        <v>249</v>
      </c>
      <c r="C954" s="10" t="s">
        <v>245</v>
      </c>
      <c r="D954" s="10">
        <v>1993</v>
      </c>
      <c r="E954" s="10">
        <v>0</v>
      </c>
      <c r="F954" s="10" t="s">
        <v>243</v>
      </c>
      <c r="G954" s="10" t="s">
        <v>244</v>
      </c>
    </row>
    <row r="955" spans="1:7" x14ac:dyDescent="0.35">
      <c r="A955" s="100">
        <v>953</v>
      </c>
      <c r="B955" s="10" t="s">
        <v>249</v>
      </c>
      <c r="C955" s="10" t="s">
        <v>245</v>
      </c>
      <c r="D955" s="10">
        <v>1994</v>
      </c>
      <c r="E955" s="10">
        <v>0</v>
      </c>
      <c r="F955" s="10" t="s">
        <v>243</v>
      </c>
      <c r="G955" s="10" t="s">
        <v>244</v>
      </c>
    </row>
    <row r="956" spans="1:7" x14ac:dyDescent="0.35">
      <c r="A956" s="100">
        <v>954</v>
      </c>
      <c r="B956" s="10" t="s">
        <v>249</v>
      </c>
      <c r="C956" s="10" t="s">
        <v>245</v>
      </c>
      <c r="D956" s="10">
        <v>1995</v>
      </c>
      <c r="E956" s="10">
        <v>0</v>
      </c>
      <c r="F956" s="10" t="s">
        <v>243</v>
      </c>
      <c r="G956" s="10" t="s">
        <v>244</v>
      </c>
    </row>
    <row r="957" spans="1:7" x14ac:dyDescent="0.35">
      <c r="A957" s="100">
        <v>955</v>
      </c>
      <c r="B957" s="10" t="s">
        <v>249</v>
      </c>
      <c r="C957" s="10" t="s">
        <v>245</v>
      </c>
      <c r="D957" s="10">
        <v>1996</v>
      </c>
      <c r="E957" s="10">
        <v>0</v>
      </c>
      <c r="F957" s="10" t="s">
        <v>243</v>
      </c>
      <c r="G957" s="10" t="s">
        <v>244</v>
      </c>
    </row>
    <row r="958" spans="1:7" x14ac:dyDescent="0.35">
      <c r="A958" s="100">
        <v>956</v>
      </c>
      <c r="B958" s="10" t="s">
        <v>249</v>
      </c>
      <c r="C958" s="10" t="s">
        <v>245</v>
      </c>
      <c r="D958" s="10">
        <v>1997</v>
      </c>
      <c r="E958" s="10">
        <v>0</v>
      </c>
      <c r="F958" s="10" t="s">
        <v>243</v>
      </c>
      <c r="G958" s="10" t="s">
        <v>244</v>
      </c>
    </row>
    <row r="959" spans="1:7" x14ac:dyDescent="0.35">
      <c r="A959" s="100">
        <v>957</v>
      </c>
      <c r="B959" s="10" t="s">
        <v>249</v>
      </c>
      <c r="C959" s="10" t="s">
        <v>245</v>
      </c>
      <c r="D959" s="10">
        <v>1998</v>
      </c>
      <c r="E959" s="10">
        <v>0</v>
      </c>
      <c r="F959" s="10" t="s">
        <v>243</v>
      </c>
      <c r="G959" s="10" t="s">
        <v>244</v>
      </c>
    </row>
    <row r="960" spans="1:7" x14ac:dyDescent="0.35">
      <c r="A960" s="100">
        <v>958</v>
      </c>
      <c r="B960" s="10" t="s">
        <v>249</v>
      </c>
      <c r="C960" s="10" t="s">
        <v>245</v>
      </c>
      <c r="D960" s="10">
        <v>1999</v>
      </c>
      <c r="E960" s="10">
        <v>0</v>
      </c>
      <c r="F960" s="10" t="s">
        <v>243</v>
      </c>
      <c r="G960" s="10" t="s">
        <v>244</v>
      </c>
    </row>
    <row r="961" spans="1:7" x14ac:dyDescent="0.35">
      <c r="A961" s="100">
        <v>959</v>
      </c>
      <c r="B961" s="10" t="s">
        <v>249</v>
      </c>
      <c r="C961" s="10" t="s">
        <v>245</v>
      </c>
      <c r="D961" s="10">
        <v>2000</v>
      </c>
      <c r="E961" s="10">
        <v>0</v>
      </c>
      <c r="F961" s="10" t="s">
        <v>243</v>
      </c>
      <c r="G961" s="10" t="s">
        <v>244</v>
      </c>
    </row>
    <row r="962" spans="1:7" x14ac:dyDescent="0.35">
      <c r="A962" s="100">
        <v>960</v>
      </c>
      <c r="B962" s="10" t="s">
        <v>249</v>
      </c>
      <c r="C962" s="10" t="s">
        <v>245</v>
      </c>
      <c r="D962" s="10">
        <v>2001</v>
      </c>
      <c r="E962" s="10">
        <v>0</v>
      </c>
      <c r="F962" s="10" t="s">
        <v>243</v>
      </c>
      <c r="G962" s="10" t="s">
        <v>244</v>
      </c>
    </row>
    <row r="963" spans="1:7" x14ac:dyDescent="0.35">
      <c r="A963" s="100">
        <v>961</v>
      </c>
      <c r="B963" s="10" t="s">
        <v>249</v>
      </c>
      <c r="C963" s="10" t="s">
        <v>245</v>
      </c>
      <c r="D963" s="10">
        <v>2002</v>
      </c>
      <c r="E963" s="10">
        <v>0</v>
      </c>
      <c r="F963" s="10" t="s">
        <v>243</v>
      </c>
      <c r="G963" s="10" t="s">
        <v>244</v>
      </c>
    </row>
    <row r="964" spans="1:7" x14ac:dyDescent="0.35">
      <c r="A964" s="100">
        <v>962</v>
      </c>
      <c r="B964" s="10" t="s">
        <v>249</v>
      </c>
      <c r="C964" s="10" t="s">
        <v>245</v>
      </c>
      <c r="D964" s="10">
        <v>2003</v>
      </c>
      <c r="E964" s="10">
        <v>0</v>
      </c>
      <c r="F964" s="10" t="s">
        <v>243</v>
      </c>
      <c r="G964" s="10" t="s">
        <v>244</v>
      </c>
    </row>
    <row r="965" spans="1:7" x14ac:dyDescent="0.35">
      <c r="A965" s="100">
        <v>963</v>
      </c>
      <c r="B965" s="10" t="s">
        <v>249</v>
      </c>
      <c r="C965" s="10" t="s">
        <v>245</v>
      </c>
      <c r="D965" s="10">
        <v>2004</v>
      </c>
      <c r="E965" s="10">
        <v>0</v>
      </c>
      <c r="F965" s="10" t="s">
        <v>243</v>
      </c>
      <c r="G965" s="10" t="s">
        <v>244</v>
      </c>
    </row>
    <row r="966" spans="1:7" x14ac:dyDescent="0.35">
      <c r="A966" s="100">
        <v>964</v>
      </c>
      <c r="B966" s="10" t="s">
        <v>249</v>
      </c>
      <c r="C966" s="10" t="s">
        <v>245</v>
      </c>
      <c r="D966" s="10">
        <v>2005</v>
      </c>
      <c r="E966" s="10">
        <v>0</v>
      </c>
      <c r="F966" s="10" t="s">
        <v>243</v>
      </c>
      <c r="G966" s="10" t="s">
        <v>244</v>
      </c>
    </row>
    <row r="967" spans="1:7" x14ac:dyDescent="0.35">
      <c r="A967" s="100">
        <v>965</v>
      </c>
      <c r="B967" s="10" t="s">
        <v>249</v>
      </c>
      <c r="C967" s="10" t="s">
        <v>245</v>
      </c>
      <c r="D967" s="10">
        <v>2006</v>
      </c>
      <c r="E967" s="10">
        <v>0</v>
      </c>
      <c r="F967" s="10" t="s">
        <v>243</v>
      </c>
      <c r="G967" s="10" t="s">
        <v>244</v>
      </c>
    </row>
    <row r="968" spans="1:7" x14ac:dyDescent="0.35">
      <c r="A968" s="100">
        <v>966</v>
      </c>
      <c r="B968" s="10" t="s">
        <v>249</v>
      </c>
      <c r="C968" s="10" t="s">
        <v>245</v>
      </c>
      <c r="D968" s="10">
        <v>2007</v>
      </c>
      <c r="E968" s="10">
        <v>0</v>
      </c>
      <c r="F968" s="10" t="s">
        <v>243</v>
      </c>
      <c r="G968" s="10" t="s">
        <v>244</v>
      </c>
    </row>
    <row r="969" spans="1:7" x14ac:dyDescent="0.35">
      <c r="A969" s="100">
        <v>967</v>
      </c>
      <c r="B969" s="10" t="s">
        <v>249</v>
      </c>
      <c r="C969" s="10" t="s">
        <v>245</v>
      </c>
      <c r="D969" s="10">
        <v>2008</v>
      </c>
      <c r="E969" s="10">
        <v>0</v>
      </c>
      <c r="F969" s="10" t="s">
        <v>243</v>
      </c>
      <c r="G969" s="10" t="s">
        <v>244</v>
      </c>
    </row>
    <row r="970" spans="1:7" x14ac:dyDescent="0.35">
      <c r="A970" s="100">
        <v>968</v>
      </c>
      <c r="B970" s="10" t="s">
        <v>249</v>
      </c>
      <c r="C970" s="10" t="s">
        <v>245</v>
      </c>
      <c r="D970" s="10">
        <v>2009</v>
      </c>
      <c r="E970" s="10">
        <v>0</v>
      </c>
      <c r="F970" s="10" t="s">
        <v>243</v>
      </c>
      <c r="G970" s="10" t="s">
        <v>244</v>
      </c>
    </row>
    <row r="971" spans="1:7" x14ac:dyDescent="0.35">
      <c r="A971" s="100">
        <v>969</v>
      </c>
      <c r="B971" s="10" t="s">
        <v>249</v>
      </c>
      <c r="C971" s="10" t="s">
        <v>245</v>
      </c>
      <c r="D971" s="10">
        <v>2010</v>
      </c>
      <c r="E971" s="10">
        <v>0</v>
      </c>
      <c r="F971" s="10" t="s">
        <v>243</v>
      </c>
      <c r="G971" s="10" t="s">
        <v>244</v>
      </c>
    </row>
    <row r="972" spans="1:7" x14ac:dyDescent="0.35">
      <c r="A972" s="100">
        <v>970</v>
      </c>
      <c r="B972" s="10" t="s">
        <v>249</v>
      </c>
      <c r="C972" s="10" t="s">
        <v>245</v>
      </c>
      <c r="D972" s="10">
        <v>2011</v>
      </c>
      <c r="E972" s="10">
        <v>0</v>
      </c>
      <c r="F972" s="10" t="s">
        <v>243</v>
      </c>
      <c r="G972" s="10" t="s">
        <v>244</v>
      </c>
    </row>
    <row r="973" spans="1:7" x14ac:dyDescent="0.35">
      <c r="A973" s="100">
        <v>971</v>
      </c>
      <c r="B973" s="10" t="s">
        <v>249</v>
      </c>
      <c r="C973" s="10" t="s">
        <v>245</v>
      </c>
      <c r="D973" s="10">
        <v>2012</v>
      </c>
      <c r="E973" s="10">
        <v>0</v>
      </c>
      <c r="F973" s="10" t="s">
        <v>243</v>
      </c>
      <c r="G973" s="10" t="s">
        <v>244</v>
      </c>
    </row>
    <row r="974" spans="1:7" x14ac:dyDescent="0.35">
      <c r="A974" s="100">
        <v>972</v>
      </c>
      <c r="B974" s="10" t="s">
        <v>249</v>
      </c>
      <c r="C974" s="10" t="s">
        <v>245</v>
      </c>
      <c r="D974" s="10">
        <v>2013</v>
      </c>
      <c r="E974" s="10">
        <v>0</v>
      </c>
      <c r="F974" s="10" t="s">
        <v>243</v>
      </c>
      <c r="G974" s="10" t="s">
        <v>244</v>
      </c>
    </row>
    <row r="975" spans="1:7" x14ac:dyDescent="0.35">
      <c r="A975" s="100">
        <v>973</v>
      </c>
      <c r="B975" s="10" t="s">
        <v>249</v>
      </c>
      <c r="C975" s="10" t="s">
        <v>245</v>
      </c>
      <c r="D975" s="10">
        <v>2014</v>
      </c>
      <c r="E975" s="10">
        <v>9.3503618348922098E-4</v>
      </c>
      <c r="F975" s="10" t="s">
        <v>243</v>
      </c>
      <c r="G975" s="10" t="s">
        <v>244</v>
      </c>
    </row>
    <row r="976" spans="1:7" x14ac:dyDescent="0.35">
      <c r="A976" s="100">
        <v>974</v>
      </c>
      <c r="B976" s="10" t="s">
        <v>249</v>
      </c>
      <c r="C976" s="10" t="s">
        <v>245</v>
      </c>
      <c r="D976" s="10">
        <v>2015</v>
      </c>
      <c r="E976" s="10">
        <v>2.3070241700880881E-3</v>
      </c>
      <c r="F976" s="10" t="s">
        <v>243</v>
      </c>
      <c r="G976" s="10" t="s">
        <v>244</v>
      </c>
    </row>
    <row r="977" spans="1:7" x14ac:dyDescent="0.35">
      <c r="A977" s="100">
        <v>975</v>
      </c>
      <c r="B977" s="10" t="s">
        <v>249</v>
      </c>
      <c r="C977" s="10" t="s">
        <v>245</v>
      </c>
      <c r="D977" s="10">
        <v>2016</v>
      </c>
      <c r="E977" s="10">
        <v>4.3177303185337034E-3</v>
      </c>
      <c r="F977" s="10" t="s">
        <v>243</v>
      </c>
      <c r="G977" s="10" t="s">
        <v>244</v>
      </c>
    </row>
    <row r="978" spans="1:7" x14ac:dyDescent="0.35">
      <c r="A978" s="100">
        <v>976</v>
      </c>
      <c r="B978" s="10" t="s">
        <v>249</v>
      </c>
      <c r="C978" s="10" t="s">
        <v>245</v>
      </c>
      <c r="D978" s="10">
        <v>2017</v>
      </c>
      <c r="E978" s="10">
        <v>7.2593042583236674E-3</v>
      </c>
      <c r="F978" s="10" t="s">
        <v>243</v>
      </c>
      <c r="G978" s="10" t="s">
        <v>244</v>
      </c>
    </row>
    <row r="979" spans="1:7" x14ac:dyDescent="0.35">
      <c r="A979" s="100">
        <v>977</v>
      </c>
      <c r="B979" s="10" t="s">
        <v>249</v>
      </c>
      <c r="C979" s="10" t="s">
        <v>245</v>
      </c>
      <c r="D979" s="10">
        <v>2018</v>
      </c>
      <c r="E979" s="10">
        <v>1.155159476922636E-2</v>
      </c>
      <c r="F979" s="10" t="s">
        <v>243</v>
      </c>
      <c r="G979" s="10" t="s">
        <v>244</v>
      </c>
    </row>
    <row r="980" spans="1:7" x14ac:dyDescent="0.35">
      <c r="A980" s="100">
        <v>978</v>
      </c>
      <c r="B980" s="10" t="s">
        <v>249</v>
      </c>
      <c r="C980" s="10" t="s">
        <v>245</v>
      </c>
      <c r="D980" s="10">
        <v>2019</v>
      </c>
      <c r="E980" s="10">
        <v>1.7791276967326939E-2</v>
      </c>
      <c r="F980" s="10" t="s">
        <v>243</v>
      </c>
      <c r="G980" s="10" t="s">
        <v>244</v>
      </c>
    </row>
    <row r="981" spans="1:7" x14ac:dyDescent="0.35">
      <c r="A981" s="100">
        <v>979</v>
      </c>
      <c r="B981" s="10" t="s">
        <v>249</v>
      </c>
      <c r="C981" s="10" t="s">
        <v>245</v>
      </c>
      <c r="D981" s="10">
        <v>2020</v>
      </c>
      <c r="E981" s="10">
        <v>2.6812380126519781E-2</v>
      </c>
      <c r="F981" s="10" t="s">
        <v>243</v>
      </c>
      <c r="G981" s="10" t="s">
        <v>244</v>
      </c>
    </row>
    <row r="982" spans="1:7" x14ac:dyDescent="0.35">
      <c r="A982" s="100">
        <v>980</v>
      </c>
      <c r="B982" s="10" t="s">
        <v>249</v>
      </c>
      <c r="C982" s="10" t="s">
        <v>245</v>
      </c>
      <c r="D982" s="10">
        <v>2021</v>
      </c>
      <c r="E982" s="10">
        <v>3.9752121715985113E-2</v>
      </c>
      <c r="F982" s="10" t="s">
        <v>243</v>
      </c>
      <c r="G982" s="10" t="s">
        <v>244</v>
      </c>
    </row>
    <row r="983" spans="1:7" x14ac:dyDescent="0.35">
      <c r="A983" s="100">
        <v>981</v>
      </c>
      <c r="B983" s="10" t="s">
        <v>249</v>
      </c>
      <c r="C983" s="10" t="s">
        <v>245</v>
      </c>
      <c r="D983" s="10">
        <v>2022</v>
      </c>
      <c r="E983" s="10">
        <v>5.8103904608507582E-2</v>
      </c>
      <c r="F983" s="10" t="s">
        <v>243</v>
      </c>
      <c r="G983" s="10" t="s">
        <v>244</v>
      </c>
    </row>
    <row r="984" spans="1:7" x14ac:dyDescent="0.35">
      <c r="A984" s="100">
        <v>982</v>
      </c>
      <c r="B984" s="10" t="s">
        <v>249</v>
      </c>
      <c r="C984" s="10" t="s">
        <v>245</v>
      </c>
      <c r="D984" s="10">
        <v>2023</v>
      </c>
      <c r="E984" s="10">
        <v>8.3717999634712284E-2</v>
      </c>
      <c r="F984" s="10" t="s">
        <v>243</v>
      </c>
      <c r="G984" s="10" t="s">
        <v>244</v>
      </c>
    </row>
    <row r="985" spans="1:7" x14ac:dyDescent="0.35">
      <c r="A985" s="100">
        <v>983</v>
      </c>
      <c r="B985" s="10" t="s">
        <v>249</v>
      </c>
      <c r="C985" s="10" t="s">
        <v>245</v>
      </c>
      <c r="D985" s="10">
        <v>2024</v>
      </c>
      <c r="E985" s="10">
        <v>0.1186808830881929</v>
      </c>
      <c r="F985" s="10" t="s">
        <v>243</v>
      </c>
      <c r="G985" s="10" t="s">
        <v>244</v>
      </c>
    </row>
    <row r="986" spans="1:7" x14ac:dyDescent="0.35">
      <c r="A986" s="100">
        <v>984</v>
      </c>
      <c r="B986" s="10" t="s">
        <v>249</v>
      </c>
      <c r="C986" s="10" t="s">
        <v>245</v>
      </c>
      <c r="D986" s="10">
        <v>2025</v>
      </c>
      <c r="E986" s="10">
        <v>0.1649813728570303</v>
      </c>
      <c r="F986" s="10" t="s">
        <v>243</v>
      </c>
      <c r="G986" s="10" t="s">
        <v>244</v>
      </c>
    </row>
    <row r="987" spans="1:7" x14ac:dyDescent="0.35">
      <c r="A987" s="100">
        <v>985</v>
      </c>
      <c r="B987" s="10" t="s">
        <v>249</v>
      </c>
      <c r="C987" s="10" t="s">
        <v>245</v>
      </c>
      <c r="D987" s="10">
        <v>2026</v>
      </c>
      <c r="E987" s="10">
        <v>0.22389746744884739</v>
      </c>
      <c r="F987" s="10" t="s">
        <v>243</v>
      </c>
      <c r="G987" s="10" t="s">
        <v>244</v>
      </c>
    </row>
    <row r="988" spans="1:7" x14ac:dyDescent="0.35">
      <c r="A988" s="100">
        <v>986</v>
      </c>
      <c r="B988" s="10" t="s">
        <v>249</v>
      </c>
      <c r="C988" s="10" t="s">
        <v>245</v>
      </c>
      <c r="D988" s="10">
        <v>2027</v>
      </c>
      <c r="E988" s="10">
        <v>0.29517421362989621</v>
      </c>
      <c r="F988" s="10" t="s">
        <v>243</v>
      </c>
      <c r="G988" s="10" t="s">
        <v>244</v>
      </c>
    </row>
    <row r="989" spans="1:7" x14ac:dyDescent="0.35">
      <c r="A989" s="100">
        <v>987</v>
      </c>
      <c r="B989" s="10" t="s">
        <v>249</v>
      </c>
      <c r="C989" s="10" t="s">
        <v>245</v>
      </c>
      <c r="D989" s="10">
        <v>2028</v>
      </c>
      <c r="E989" s="10">
        <v>0.37631940097246608</v>
      </c>
      <c r="F989" s="10" t="s">
        <v>243</v>
      </c>
      <c r="G989" s="10" t="s">
        <v>244</v>
      </c>
    </row>
    <row r="990" spans="1:7" x14ac:dyDescent="0.35">
      <c r="A990" s="100">
        <v>988</v>
      </c>
      <c r="B990" s="10" t="s">
        <v>249</v>
      </c>
      <c r="C990" s="10" t="s">
        <v>245</v>
      </c>
      <c r="D990" s="10">
        <v>2029</v>
      </c>
      <c r="E990" s="10">
        <v>0.46254712355234662</v>
      </c>
      <c r="F990" s="10" t="s">
        <v>243</v>
      </c>
      <c r="G990" s="10" t="s">
        <v>244</v>
      </c>
    </row>
    <row r="991" spans="1:7" x14ac:dyDescent="0.35">
      <c r="A991" s="100">
        <v>989</v>
      </c>
      <c r="B991" s="10" t="s">
        <v>249</v>
      </c>
      <c r="C991" s="10" t="s">
        <v>245</v>
      </c>
      <c r="D991" s="10">
        <v>2030</v>
      </c>
      <c r="E991" s="10">
        <v>0.54771827255811656</v>
      </c>
      <c r="F991" s="10" t="s">
        <v>243</v>
      </c>
      <c r="G991" s="10" t="s">
        <v>244</v>
      </c>
    </row>
    <row r="992" spans="1:7" x14ac:dyDescent="0.35">
      <c r="A992" s="100">
        <v>990</v>
      </c>
      <c r="B992" s="10" t="s">
        <v>249</v>
      </c>
      <c r="C992" s="10" t="s">
        <v>245</v>
      </c>
      <c r="D992" s="10">
        <v>2031</v>
      </c>
      <c r="E992" s="10">
        <v>0.62598455963465349</v>
      </c>
      <c r="F992" s="10" t="s">
        <v>243</v>
      </c>
      <c r="G992" s="10" t="s">
        <v>244</v>
      </c>
    </row>
    <row r="993" spans="1:7" x14ac:dyDescent="0.35">
      <c r="A993" s="100">
        <v>991</v>
      </c>
      <c r="B993" s="10" t="s">
        <v>249</v>
      </c>
      <c r="C993" s="10" t="s">
        <v>245</v>
      </c>
      <c r="D993" s="10">
        <v>2032</v>
      </c>
      <c r="E993" s="10">
        <v>0.69327502740612013</v>
      </c>
      <c r="F993" s="10" t="s">
        <v>243</v>
      </c>
      <c r="G993" s="10" t="s">
        <v>244</v>
      </c>
    </row>
    <row r="994" spans="1:7" x14ac:dyDescent="0.35">
      <c r="A994" s="100">
        <v>992</v>
      </c>
      <c r="B994" s="10" t="s">
        <v>249</v>
      </c>
      <c r="C994" s="10" t="s">
        <v>245</v>
      </c>
      <c r="D994" s="10">
        <v>2033</v>
      </c>
      <c r="E994" s="10">
        <v>0.74789709707408603</v>
      </c>
      <c r="F994" s="10" t="s">
        <v>243</v>
      </c>
      <c r="G994" s="10" t="s">
        <v>244</v>
      </c>
    </row>
    <row r="995" spans="1:7" x14ac:dyDescent="0.35">
      <c r="A995" s="100">
        <v>993</v>
      </c>
      <c r="B995" s="10" t="s">
        <v>249</v>
      </c>
      <c r="C995" s="10" t="s">
        <v>245</v>
      </c>
      <c r="D995" s="10">
        <v>2034</v>
      </c>
      <c r="E995" s="10">
        <v>0.79020388710863088</v>
      </c>
      <c r="F995" s="10" t="s">
        <v>243</v>
      </c>
      <c r="G995" s="10" t="s">
        <v>244</v>
      </c>
    </row>
    <row r="996" spans="1:7" x14ac:dyDescent="0.35">
      <c r="A996" s="100">
        <v>994</v>
      </c>
      <c r="B996" s="10" t="s">
        <v>249</v>
      </c>
      <c r="C996" s="10" t="s">
        <v>245</v>
      </c>
      <c r="D996" s="10">
        <v>2035</v>
      </c>
      <c r="E996" s="10">
        <v>0.82179681556928763</v>
      </c>
      <c r="F996" s="10" t="s">
        <v>243</v>
      </c>
      <c r="G996" s="10" t="s">
        <v>244</v>
      </c>
    </row>
    <row r="997" spans="1:7" x14ac:dyDescent="0.35">
      <c r="A997" s="100">
        <v>995</v>
      </c>
      <c r="B997" s="10" t="s">
        <v>249</v>
      </c>
      <c r="C997" s="10" t="s">
        <v>245</v>
      </c>
      <c r="D997" s="10">
        <v>2036</v>
      </c>
      <c r="E997" s="10">
        <v>0.84475143431770305</v>
      </c>
      <c r="F997" s="10" t="s">
        <v>243</v>
      </c>
      <c r="G997" s="10" t="s">
        <v>244</v>
      </c>
    </row>
    <row r="998" spans="1:7" x14ac:dyDescent="0.35">
      <c r="A998" s="100">
        <v>996</v>
      </c>
      <c r="B998" s="10" t="s">
        <v>249</v>
      </c>
      <c r="C998" s="10" t="s">
        <v>245</v>
      </c>
      <c r="D998" s="10">
        <v>2037</v>
      </c>
      <c r="E998" s="10">
        <v>0.86109971471737068</v>
      </c>
      <c r="F998" s="10" t="s">
        <v>243</v>
      </c>
      <c r="G998" s="10" t="s">
        <v>244</v>
      </c>
    </row>
    <row r="999" spans="1:7" x14ac:dyDescent="0.35">
      <c r="A999" s="100">
        <v>997</v>
      </c>
      <c r="B999" s="10" t="s">
        <v>249</v>
      </c>
      <c r="C999" s="10" t="s">
        <v>245</v>
      </c>
      <c r="D999" s="10">
        <v>2038</v>
      </c>
      <c r="E999" s="10">
        <v>0.87257796609149796</v>
      </c>
      <c r="F999" s="10" t="s">
        <v>243</v>
      </c>
      <c r="G999" s="10" t="s">
        <v>244</v>
      </c>
    </row>
    <row r="1000" spans="1:7" x14ac:dyDescent="0.35">
      <c r="A1000" s="100">
        <v>998</v>
      </c>
      <c r="B1000" s="10" t="s">
        <v>249</v>
      </c>
      <c r="C1000" s="10" t="s">
        <v>245</v>
      </c>
      <c r="D1000" s="10">
        <v>2039</v>
      </c>
      <c r="E1000" s="10">
        <v>0.88055641099209769</v>
      </c>
      <c r="F1000" s="10" t="s">
        <v>243</v>
      </c>
      <c r="G1000" s="10" t="s">
        <v>244</v>
      </c>
    </row>
    <row r="1001" spans="1:7" x14ac:dyDescent="0.35">
      <c r="A1001" s="100">
        <v>999</v>
      </c>
      <c r="B1001" s="10" t="s">
        <v>249</v>
      </c>
      <c r="C1001" s="10" t="s">
        <v>245</v>
      </c>
      <c r="D1001" s="10">
        <v>2040</v>
      </c>
      <c r="E1001" s="10">
        <v>0.88606353355858003</v>
      </c>
      <c r="F1001" s="10" t="s">
        <v>243</v>
      </c>
      <c r="G1001" s="10" t="s">
        <v>244</v>
      </c>
    </row>
    <row r="1002" spans="1:7" x14ac:dyDescent="0.35">
      <c r="A1002" s="100">
        <v>1000</v>
      </c>
      <c r="B1002" s="10" t="s">
        <v>249</v>
      </c>
      <c r="C1002" s="10" t="s">
        <v>245</v>
      </c>
      <c r="D1002" s="10">
        <v>2041</v>
      </c>
      <c r="E1002" s="10">
        <v>0.88984650750114935</v>
      </c>
      <c r="F1002" s="10" t="s">
        <v>243</v>
      </c>
      <c r="G1002" s="10" t="s">
        <v>244</v>
      </c>
    </row>
    <row r="1003" spans="1:7" x14ac:dyDescent="0.35">
      <c r="A1003" s="100">
        <v>1001</v>
      </c>
      <c r="B1003" s="10" t="s">
        <v>249</v>
      </c>
      <c r="C1003" s="10" t="s">
        <v>245</v>
      </c>
      <c r="D1003" s="10">
        <v>2042</v>
      </c>
      <c r="E1003" s="10">
        <v>0.8924365076048183</v>
      </c>
      <c r="F1003" s="10" t="s">
        <v>243</v>
      </c>
      <c r="G1003" s="10" t="s">
        <v>244</v>
      </c>
    </row>
    <row r="1004" spans="1:7" x14ac:dyDescent="0.35">
      <c r="A1004" s="100">
        <v>1002</v>
      </c>
      <c r="B1004" s="10" t="s">
        <v>249</v>
      </c>
      <c r="C1004" s="10" t="s">
        <v>245</v>
      </c>
      <c r="D1004" s="10">
        <v>2043</v>
      </c>
      <c r="E1004" s="10">
        <v>0.8942057132460105</v>
      </c>
      <c r="F1004" s="10" t="s">
        <v>243</v>
      </c>
      <c r="G1004" s="10" t="s">
        <v>244</v>
      </c>
    </row>
    <row r="1005" spans="1:7" x14ac:dyDescent="0.35">
      <c r="A1005" s="100">
        <v>1003</v>
      </c>
      <c r="B1005" s="10" t="s">
        <v>249</v>
      </c>
      <c r="C1005" s="10" t="s">
        <v>245</v>
      </c>
      <c r="D1005" s="10">
        <v>2044</v>
      </c>
      <c r="E1005" s="10">
        <v>0.89541236453839479</v>
      </c>
      <c r="F1005" s="10" t="s">
        <v>243</v>
      </c>
      <c r="G1005" s="10" t="s">
        <v>244</v>
      </c>
    </row>
    <row r="1006" spans="1:7" x14ac:dyDescent="0.35">
      <c r="A1006" s="100">
        <v>1004</v>
      </c>
      <c r="B1006" s="10" t="s">
        <v>249</v>
      </c>
      <c r="C1006" s="10" t="s">
        <v>245</v>
      </c>
      <c r="D1006" s="10">
        <v>2045</v>
      </c>
      <c r="E1006" s="10">
        <v>0.89623446467342882</v>
      </c>
      <c r="F1006" s="10" t="s">
        <v>243</v>
      </c>
      <c r="G1006" s="10" t="s">
        <v>244</v>
      </c>
    </row>
    <row r="1007" spans="1:7" x14ac:dyDescent="0.35">
      <c r="A1007" s="100">
        <v>1005</v>
      </c>
      <c r="B1007" s="10" t="s">
        <v>249</v>
      </c>
      <c r="C1007" s="10" t="s">
        <v>245</v>
      </c>
      <c r="D1007" s="10">
        <v>2046</v>
      </c>
      <c r="E1007" s="10">
        <v>0.89679416278485535</v>
      </c>
      <c r="F1007" s="10" t="s">
        <v>243</v>
      </c>
      <c r="G1007" s="10" t="s">
        <v>244</v>
      </c>
    </row>
    <row r="1008" spans="1:7" x14ac:dyDescent="0.35">
      <c r="A1008" s="100">
        <v>1006</v>
      </c>
      <c r="B1008" s="10" t="s">
        <v>249</v>
      </c>
      <c r="C1008" s="10" t="s">
        <v>245</v>
      </c>
      <c r="D1008" s="10">
        <v>2047</v>
      </c>
      <c r="E1008" s="10">
        <v>0.8971750262274768</v>
      </c>
      <c r="F1008" s="10" t="s">
        <v>243</v>
      </c>
      <c r="G1008" s="10" t="s">
        <v>244</v>
      </c>
    </row>
    <row r="1009" spans="1:7" x14ac:dyDescent="0.35">
      <c r="A1009" s="100">
        <v>1007</v>
      </c>
      <c r="B1009" s="10" t="s">
        <v>249</v>
      </c>
      <c r="C1009" s="10" t="s">
        <v>245</v>
      </c>
      <c r="D1009" s="10">
        <v>2048</v>
      </c>
      <c r="E1009" s="10">
        <v>0.89743410946955338</v>
      </c>
      <c r="F1009" s="10" t="s">
        <v>243</v>
      </c>
      <c r="G1009" s="10" t="s">
        <v>244</v>
      </c>
    </row>
    <row r="1010" spans="1:7" x14ac:dyDescent="0.35">
      <c r="A1010" s="100">
        <v>1008</v>
      </c>
      <c r="B1010" s="10" t="s">
        <v>249</v>
      </c>
      <c r="C1010" s="10" t="s">
        <v>245</v>
      </c>
      <c r="D1010" s="10">
        <v>2049</v>
      </c>
      <c r="E1010" s="10">
        <v>0.8976103113076872</v>
      </c>
      <c r="F1010" s="10" t="s">
        <v>243</v>
      </c>
      <c r="G1010" s="10" t="s">
        <v>244</v>
      </c>
    </row>
    <row r="1011" spans="1:7" x14ac:dyDescent="0.35">
      <c r="A1011" s="100">
        <v>1009</v>
      </c>
      <c r="B1011" s="10" t="s">
        <v>249</v>
      </c>
      <c r="C1011" s="10" t="s">
        <v>245</v>
      </c>
      <c r="D1011" s="10">
        <v>2050</v>
      </c>
      <c r="E1011" s="10">
        <v>0.89773012715593747</v>
      </c>
      <c r="F1011" s="10" t="s">
        <v>243</v>
      </c>
      <c r="G1011" s="10" t="s">
        <v>244</v>
      </c>
    </row>
    <row r="1012" spans="1:7" x14ac:dyDescent="0.35">
      <c r="A1012" s="100">
        <v>1010</v>
      </c>
      <c r="B1012" s="10" t="s">
        <v>249</v>
      </c>
      <c r="C1012" s="10" t="s">
        <v>246</v>
      </c>
      <c r="D1012" s="10">
        <v>1950</v>
      </c>
      <c r="E1012" s="10">
        <v>0</v>
      </c>
      <c r="F1012" s="10" t="s">
        <v>243</v>
      </c>
      <c r="G1012" s="10" t="s">
        <v>244</v>
      </c>
    </row>
    <row r="1013" spans="1:7" x14ac:dyDescent="0.35">
      <c r="A1013" s="100">
        <v>1011</v>
      </c>
      <c r="B1013" s="10" t="s">
        <v>249</v>
      </c>
      <c r="C1013" s="10" t="s">
        <v>246</v>
      </c>
      <c r="D1013" s="10">
        <v>1951</v>
      </c>
      <c r="E1013" s="10">
        <v>0</v>
      </c>
      <c r="F1013" s="10" t="s">
        <v>243</v>
      </c>
      <c r="G1013" s="10" t="s">
        <v>244</v>
      </c>
    </row>
    <row r="1014" spans="1:7" x14ac:dyDescent="0.35">
      <c r="A1014" s="100">
        <v>1012</v>
      </c>
      <c r="B1014" s="10" t="s">
        <v>249</v>
      </c>
      <c r="C1014" s="10" t="s">
        <v>246</v>
      </c>
      <c r="D1014" s="10">
        <v>1952</v>
      </c>
      <c r="E1014" s="10">
        <v>0</v>
      </c>
      <c r="F1014" s="10" t="s">
        <v>243</v>
      </c>
      <c r="G1014" s="10" t="s">
        <v>244</v>
      </c>
    </row>
    <row r="1015" spans="1:7" x14ac:dyDescent="0.35">
      <c r="A1015" s="100">
        <v>1013</v>
      </c>
      <c r="B1015" s="10" t="s">
        <v>249</v>
      </c>
      <c r="C1015" s="10" t="s">
        <v>246</v>
      </c>
      <c r="D1015" s="10">
        <v>1953</v>
      </c>
      <c r="E1015" s="10">
        <v>0</v>
      </c>
      <c r="F1015" s="10" t="s">
        <v>243</v>
      </c>
      <c r="G1015" s="10" t="s">
        <v>244</v>
      </c>
    </row>
    <row r="1016" spans="1:7" x14ac:dyDescent="0.35">
      <c r="A1016" s="100">
        <v>1014</v>
      </c>
      <c r="B1016" s="10" t="s">
        <v>249</v>
      </c>
      <c r="C1016" s="10" t="s">
        <v>246</v>
      </c>
      <c r="D1016" s="10">
        <v>1954</v>
      </c>
      <c r="E1016" s="10">
        <v>0</v>
      </c>
      <c r="F1016" s="10" t="s">
        <v>243</v>
      </c>
      <c r="G1016" s="10" t="s">
        <v>244</v>
      </c>
    </row>
    <row r="1017" spans="1:7" x14ac:dyDescent="0.35">
      <c r="A1017" s="100">
        <v>1015</v>
      </c>
      <c r="B1017" s="10" t="s">
        <v>249</v>
      </c>
      <c r="C1017" s="10" t="s">
        <v>246</v>
      </c>
      <c r="D1017" s="10">
        <v>1955</v>
      </c>
      <c r="E1017" s="10">
        <v>0</v>
      </c>
      <c r="F1017" s="10" t="s">
        <v>243</v>
      </c>
      <c r="G1017" s="10" t="s">
        <v>244</v>
      </c>
    </row>
    <row r="1018" spans="1:7" x14ac:dyDescent="0.35">
      <c r="A1018" s="100">
        <v>1016</v>
      </c>
      <c r="B1018" s="10" t="s">
        <v>249</v>
      </c>
      <c r="C1018" s="10" t="s">
        <v>246</v>
      </c>
      <c r="D1018" s="10">
        <v>1956</v>
      </c>
      <c r="E1018" s="10">
        <v>0</v>
      </c>
      <c r="F1018" s="10" t="s">
        <v>243</v>
      </c>
      <c r="G1018" s="10" t="s">
        <v>244</v>
      </c>
    </row>
    <row r="1019" spans="1:7" x14ac:dyDescent="0.35">
      <c r="A1019" s="100">
        <v>1017</v>
      </c>
      <c r="B1019" s="10" t="s">
        <v>249</v>
      </c>
      <c r="C1019" s="10" t="s">
        <v>246</v>
      </c>
      <c r="D1019" s="10">
        <v>1957</v>
      </c>
      <c r="E1019" s="10">
        <v>0</v>
      </c>
      <c r="F1019" s="10" t="s">
        <v>243</v>
      </c>
      <c r="G1019" s="10" t="s">
        <v>244</v>
      </c>
    </row>
    <row r="1020" spans="1:7" x14ac:dyDescent="0.35">
      <c r="A1020" s="100">
        <v>1018</v>
      </c>
      <c r="B1020" s="10" t="s">
        <v>249</v>
      </c>
      <c r="C1020" s="10" t="s">
        <v>246</v>
      </c>
      <c r="D1020" s="10">
        <v>1958</v>
      </c>
      <c r="E1020" s="10">
        <v>0</v>
      </c>
      <c r="F1020" s="10" t="s">
        <v>243</v>
      </c>
      <c r="G1020" s="10" t="s">
        <v>244</v>
      </c>
    </row>
    <row r="1021" spans="1:7" x14ac:dyDescent="0.35">
      <c r="A1021" s="100">
        <v>1019</v>
      </c>
      <c r="B1021" s="10" t="s">
        <v>249</v>
      </c>
      <c r="C1021" s="10" t="s">
        <v>246</v>
      </c>
      <c r="D1021" s="10">
        <v>1959</v>
      </c>
      <c r="E1021" s="10">
        <v>0</v>
      </c>
      <c r="F1021" s="10" t="s">
        <v>243</v>
      </c>
      <c r="G1021" s="10" t="s">
        <v>244</v>
      </c>
    </row>
    <row r="1022" spans="1:7" x14ac:dyDescent="0.35">
      <c r="A1022" s="100">
        <v>1020</v>
      </c>
      <c r="B1022" s="10" t="s">
        <v>249</v>
      </c>
      <c r="C1022" s="10" t="s">
        <v>246</v>
      </c>
      <c r="D1022" s="10">
        <v>1960</v>
      </c>
      <c r="E1022" s="10">
        <v>0</v>
      </c>
      <c r="F1022" s="10" t="s">
        <v>243</v>
      </c>
      <c r="G1022" s="10" t="s">
        <v>244</v>
      </c>
    </row>
    <row r="1023" spans="1:7" x14ac:dyDescent="0.35">
      <c r="A1023" s="100">
        <v>1021</v>
      </c>
      <c r="B1023" s="10" t="s">
        <v>249</v>
      </c>
      <c r="C1023" s="10" t="s">
        <v>246</v>
      </c>
      <c r="D1023" s="10">
        <v>1961</v>
      </c>
      <c r="E1023" s="10">
        <v>0</v>
      </c>
      <c r="F1023" s="10" t="s">
        <v>243</v>
      </c>
      <c r="G1023" s="10" t="s">
        <v>244</v>
      </c>
    </row>
    <row r="1024" spans="1:7" x14ac:dyDescent="0.35">
      <c r="A1024" s="100">
        <v>1022</v>
      </c>
      <c r="B1024" s="10" t="s">
        <v>249</v>
      </c>
      <c r="C1024" s="10" t="s">
        <v>246</v>
      </c>
      <c r="D1024" s="10">
        <v>1962</v>
      </c>
      <c r="E1024" s="10">
        <v>0</v>
      </c>
      <c r="F1024" s="10" t="s">
        <v>243</v>
      </c>
      <c r="G1024" s="10" t="s">
        <v>244</v>
      </c>
    </row>
    <row r="1025" spans="1:7" x14ac:dyDescent="0.35">
      <c r="A1025" s="100">
        <v>1023</v>
      </c>
      <c r="B1025" s="10" t="s">
        <v>249</v>
      </c>
      <c r="C1025" s="10" t="s">
        <v>246</v>
      </c>
      <c r="D1025" s="10">
        <v>1963</v>
      </c>
      <c r="E1025" s="10">
        <v>0</v>
      </c>
      <c r="F1025" s="10" t="s">
        <v>243</v>
      </c>
      <c r="G1025" s="10" t="s">
        <v>244</v>
      </c>
    </row>
    <row r="1026" spans="1:7" x14ac:dyDescent="0.35">
      <c r="A1026" s="100">
        <v>1024</v>
      </c>
      <c r="B1026" s="10" t="s">
        <v>249</v>
      </c>
      <c r="C1026" s="10" t="s">
        <v>246</v>
      </c>
      <c r="D1026" s="10">
        <v>1964</v>
      </c>
      <c r="E1026" s="10">
        <v>0</v>
      </c>
      <c r="F1026" s="10" t="s">
        <v>243</v>
      </c>
      <c r="G1026" s="10" t="s">
        <v>244</v>
      </c>
    </row>
    <row r="1027" spans="1:7" x14ac:dyDescent="0.35">
      <c r="A1027" s="100">
        <v>1025</v>
      </c>
      <c r="B1027" s="10" t="s">
        <v>249</v>
      </c>
      <c r="C1027" s="10" t="s">
        <v>246</v>
      </c>
      <c r="D1027" s="10">
        <v>1965</v>
      </c>
      <c r="E1027" s="10">
        <v>0</v>
      </c>
      <c r="F1027" s="10" t="s">
        <v>243</v>
      </c>
      <c r="G1027" s="10" t="s">
        <v>244</v>
      </c>
    </row>
    <row r="1028" spans="1:7" x14ac:dyDescent="0.35">
      <c r="A1028" s="100">
        <v>1026</v>
      </c>
      <c r="B1028" s="10" t="s">
        <v>249</v>
      </c>
      <c r="C1028" s="10" t="s">
        <v>246</v>
      </c>
      <c r="D1028" s="10">
        <v>1966</v>
      </c>
      <c r="E1028" s="10">
        <v>0</v>
      </c>
      <c r="F1028" s="10" t="s">
        <v>243</v>
      </c>
      <c r="G1028" s="10" t="s">
        <v>244</v>
      </c>
    </row>
    <row r="1029" spans="1:7" x14ac:dyDescent="0.35">
      <c r="A1029" s="100">
        <v>1027</v>
      </c>
      <c r="B1029" s="10" t="s">
        <v>249</v>
      </c>
      <c r="C1029" s="10" t="s">
        <v>246</v>
      </c>
      <c r="D1029" s="10">
        <v>1967</v>
      </c>
      <c r="E1029" s="10">
        <v>0</v>
      </c>
      <c r="F1029" s="10" t="s">
        <v>243</v>
      </c>
      <c r="G1029" s="10" t="s">
        <v>244</v>
      </c>
    </row>
    <row r="1030" spans="1:7" x14ac:dyDescent="0.35">
      <c r="A1030" s="100">
        <v>1028</v>
      </c>
      <c r="B1030" s="10" t="s">
        <v>249</v>
      </c>
      <c r="C1030" s="10" t="s">
        <v>246</v>
      </c>
      <c r="D1030" s="10">
        <v>1968</v>
      </c>
      <c r="E1030" s="10">
        <v>0</v>
      </c>
      <c r="F1030" s="10" t="s">
        <v>243</v>
      </c>
      <c r="G1030" s="10" t="s">
        <v>244</v>
      </c>
    </row>
    <row r="1031" spans="1:7" x14ac:dyDescent="0.35">
      <c r="A1031" s="100">
        <v>1029</v>
      </c>
      <c r="B1031" s="10" t="s">
        <v>249</v>
      </c>
      <c r="C1031" s="10" t="s">
        <v>246</v>
      </c>
      <c r="D1031" s="10">
        <v>1969</v>
      </c>
      <c r="E1031" s="10">
        <v>0</v>
      </c>
      <c r="F1031" s="10" t="s">
        <v>243</v>
      </c>
      <c r="G1031" s="10" t="s">
        <v>244</v>
      </c>
    </row>
    <row r="1032" spans="1:7" x14ac:dyDescent="0.35">
      <c r="A1032" s="100">
        <v>1030</v>
      </c>
      <c r="B1032" s="10" t="s">
        <v>249</v>
      </c>
      <c r="C1032" s="10" t="s">
        <v>246</v>
      </c>
      <c r="D1032" s="10">
        <v>1970</v>
      </c>
      <c r="E1032" s="10">
        <v>0</v>
      </c>
      <c r="F1032" s="10" t="s">
        <v>243</v>
      </c>
      <c r="G1032" s="10" t="s">
        <v>244</v>
      </c>
    </row>
    <row r="1033" spans="1:7" x14ac:dyDescent="0.35">
      <c r="A1033" s="100">
        <v>1031</v>
      </c>
      <c r="B1033" s="10" t="s">
        <v>249</v>
      </c>
      <c r="C1033" s="10" t="s">
        <v>246</v>
      </c>
      <c r="D1033" s="10">
        <v>1971</v>
      </c>
      <c r="E1033" s="10">
        <v>0</v>
      </c>
      <c r="F1033" s="10" t="s">
        <v>243</v>
      </c>
      <c r="G1033" s="10" t="s">
        <v>244</v>
      </c>
    </row>
    <row r="1034" spans="1:7" x14ac:dyDescent="0.35">
      <c r="A1034" s="100">
        <v>1032</v>
      </c>
      <c r="B1034" s="10" t="s">
        <v>249</v>
      </c>
      <c r="C1034" s="10" t="s">
        <v>246</v>
      </c>
      <c r="D1034" s="10">
        <v>1972</v>
      </c>
      <c r="E1034" s="10">
        <v>0</v>
      </c>
      <c r="F1034" s="10" t="s">
        <v>243</v>
      </c>
      <c r="G1034" s="10" t="s">
        <v>244</v>
      </c>
    </row>
    <row r="1035" spans="1:7" x14ac:dyDescent="0.35">
      <c r="A1035" s="100">
        <v>1033</v>
      </c>
      <c r="B1035" s="10" t="s">
        <v>249</v>
      </c>
      <c r="C1035" s="10" t="s">
        <v>246</v>
      </c>
      <c r="D1035" s="10">
        <v>1973</v>
      </c>
      <c r="E1035" s="10">
        <v>0</v>
      </c>
      <c r="F1035" s="10" t="s">
        <v>243</v>
      </c>
      <c r="G1035" s="10" t="s">
        <v>244</v>
      </c>
    </row>
    <row r="1036" spans="1:7" x14ac:dyDescent="0.35">
      <c r="A1036" s="100">
        <v>1034</v>
      </c>
      <c r="B1036" s="10" t="s">
        <v>249</v>
      </c>
      <c r="C1036" s="10" t="s">
        <v>246</v>
      </c>
      <c r="D1036" s="10">
        <v>1974</v>
      </c>
      <c r="E1036" s="10">
        <v>0</v>
      </c>
      <c r="F1036" s="10" t="s">
        <v>243</v>
      </c>
      <c r="G1036" s="10" t="s">
        <v>244</v>
      </c>
    </row>
    <row r="1037" spans="1:7" x14ac:dyDescent="0.35">
      <c r="A1037" s="100">
        <v>1035</v>
      </c>
      <c r="B1037" s="10" t="s">
        <v>249</v>
      </c>
      <c r="C1037" s="10" t="s">
        <v>246</v>
      </c>
      <c r="D1037" s="10">
        <v>1975</v>
      </c>
      <c r="E1037" s="10">
        <v>0</v>
      </c>
      <c r="F1037" s="10" t="s">
        <v>243</v>
      </c>
      <c r="G1037" s="10" t="s">
        <v>244</v>
      </c>
    </row>
    <row r="1038" spans="1:7" x14ac:dyDescent="0.35">
      <c r="A1038" s="100">
        <v>1036</v>
      </c>
      <c r="B1038" s="10" t="s">
        <v>249</v>
      </c>
      <c r="C1038" s="10" t="s">
        <v>246</v>
      </c>
      <c r="D1038" s="10">
        <v>1976</v>
      </c>
      <c r="E1038" s="10">
        <v>0</v>
      </c>
      <c r="F1038" s="10" t="s">
        <v>243</v>
      </c>
      <c r="G1038" s="10" t="s">
        <v>244</v>
      </c>
    </row>
    <row r="1039" spans="1:7" x14ac:dyDescent="0.35">
      <c r="A1039" s="100">
        <v>1037</v>
      </c>
      <c r="B1039" s="10" t="s">
        <v>249</v>
      </c>
      <c r="C1039" s="10" t="s">
        <v>246</v>
      </c>
      <c r="D1039" s="10">
        <v>1977</v>
      </c>
      <c r="E1039" s="10">
        <v>0</v>
      </c>
      <c r="F1039" s="10" t="s">
        <v>243</v>
      </c>
      <c r="G1039" s="10" t="s">
        <v>244</v>
      </c>
    </row>
    <row r="1040" spans="1:7" x14ac:dyDescent="0.35">
      <c r="A1040" s="100">
        <v>1038</v>
      </c>
      <c r="B1040" s="10" t="s">
        <v>249</v>
      </c>
      <c r="C1040" s="10" t="s">
        <v>246</v>
      </c>
      <c r="D1040" s="10">
        <v>1978</v>
      </c>
      <c r="E1040" s="10">
        <v>0</v>
      </c>
      <c r="F1040" s="10" t="s">
        <v>243</v>
      </c>
      <c r="G1040" s="10" t="s">
        <v>244</v>
      </c>
    </row>
    <row r="1041" spans="1:7" x14ac:dyDescent="0.35">
      <c r="A1041" s="100">
        <v>1039</v>
      </c>
      <c r="B1041" s="10" t="s">
        <v>249</v>
      </c>
      <c r="C1041" s="10" t="s">
        <v>246</v>
      </c>
      <c r="D1041" s="10">
        <v>1979</v>
      </c>
      <c r="E1041" s="10">
        <v>0</v>
      </c>
      <c r="F1041" s="10" t="s">
        <v>243</v>
      </c>
      <c r="G1041" s="10" t="s">
        <v>244</v>
      </c>
    </row>
    <row r="1042" spans="1:7" x14ac:dyDescent="0.35">
      <c r="A1042" s="100">
        <v>1040</v>
      </c>
      <c r="B1042" s="10" t="s">
        <v>249</v>
      </c>
      <c r="C1042" s="10" t="s">
        <v>246</v>
      </c>
      <c r="D1042" s="10">
        <v>1980</v>
      </c>
      <c r="E1042" s="10">
        <v>0</v>
      </c>
      <c r="F1042" s="10" t="s">
        <v>243</v>
      </c>
      <c r="G1042" s="10" t="s">
        <v>244</v>
      </c>
    </row>
    <row r="1043" spans="1:7" x14ac:dyDescent="0.35">
      <c r="A1043" s="100">
        <v>1041</v>
      </c>
      <c r="B1043" s="10" t="s">
        <v>249</v>
      </c>
      <c r="C1043" s="10" t="s">
        <v>246</v>
      </c>
      <c r="D1043" s="10">
        <v>1981</v>
      </c>
      <c r="E1043" s="10">
        <v>0</v>
      </c>
      <c r="F1043" s="10" t="s">
        <v>243</v>
      </c>
      <c r="G1043" s="10" t="s">
        <v>244</v>
      </c>
    </row>
    <row r="1044" spans="1:7" x14ac:dyDescent="0.35">
      <c r="A1044" s="100">
        <v>1042</v>
      </c>
      <c r="B1044" s="10" t="s">
        <v>249</v>
      </c>
      <c r="C1044" s="10" t="s">
        <v>246</v>
      </c>
      <c r="D1044" s="10">
        <v>1982</v>
      </c>
      <c r="E1044" s="10">
        <v>0</v>
      </c>
      <c r="F1044" s="10" t="s">
        <v>243</v>
      </c>
      <c r="G1044" s="10" t="s">
        <v>244</v>
      </c>
    </row>
    <row r="1045" spans="1:7" x14ac:dyDescent="0.35">
      <c r="A1045" s="100">
        <v>1043</v>
      </c>
      <c r="B1045" s="10" t="s">
        <v>249</v>
      </c>
      <c r="C1045" s="10" t="s">
        <v>246</v>
      </c>
      <c r="D1045" s="10">
        <v>1983</v>
      </c>
      <c r="E1045" s="10">
        <v>0</v>
      </c>
      <c r="F1045" s="10" t="s">
        <v>243</v>
      </c>
      <c r="G1045" s="10" t="s">
        <v>244</v>
      </c>
    </row>
    <row r="1046" spans="1:7" x14ac:dyDescent="0.35">
      <c r="A1046" s="100">
        <v>1044</v>
      </c>
      <c r="B1046" s="10" t="s">
        <v>249</v>
      </c>
      <c r="C1046" s="10" t="s">
        <v>246</v>
      </c>
      <c r="D1046" s="10">
        <v>1984</v>
      </c>
      <c r="E1046" s="10">
        <v>0</v>
      </c>
      <c r="F1046" s="10" t="s">
        <v>243</v>
      </c>
      <c r="G1046" s="10" t="s">
        <v>244</v>
      </c>
    </row>
    <row r="1047" spans="1:7" x14ac:dyDescent="0.35">
      <c r="A1047" s="100">
        <v>1045</v>
      </c>
      <c r="B1047" s="10" t="s">
        <v>249</v>
      </c>
      <c r="C1047" s="10" t="s">
        <v>246</v>
      </c>
      <c r="D1047" s="10">
        <v>1985</v>
      </c>
      <c r="E1047" s="10">
        <v>0</v>
      </c>
      <c r="F1047" s="10" t="s">
        <v>243</v>
      </c>
      <c r="G1047" s="10" t="s">
        <v>244</v>
      </c>
    </row>
    <row r="1048" spans="1:7" x14ac:dyDescent="0.35">
      <c r="A1048" s="100">
        <v>1046</v>
      </c>
      <c r="B1048" s="10" t="s">
        <v>249</v>
      </c>
      <c r="C1048" s="10" t="s">
        <v>246</v>
      </c>
      <c r="D1048" s="10">
        <v>1986</v>
      </c>
      <c r="E1048" s="10">
        <v>0</v>
      </c>
      <c r="F1048" s="10" t="s">
        <v>243</v>
      </c>
      <c r="G1048" s="10" t="s">
        <v>244</v>
      </c>
    </row>
    <row r="1049" spans="1:7" x14ac:dyDescent="0.35">
      <c r="A1049" s="100">
        <v>1047</v>
      </c>
      <c r="B1049" s="10" t="s">
        <v>249</v>
      </c>
      <c r="C1049" s="10" t="s">
        <v>246</v>
      </c>
      <c r="D1049" s="10">
        <v>1987</v>
      </c>
      <c r="E1049" s="10">
        <v>0</v>
      </c>
      <c r="F1049" s="10" t="s">
        <v>243</v>
      </c>
      <c r="G1049" s="10" t="s">
        <v>244</v>
      </c>
    </row>
    <row r="1050" spans="1:7" x14ac:dyDescent="0.35">
      <c r="A1050" s="100">
        <v>1048</v>
      </c>
      <c r="B1050" s="10" t="s">
        <v>249</v>
      </c>
      <c r="C1050" s="10" t="s">
        <v>246</v>
      </c>
      <c r="D1050" s="10">
        <v>1988</v>
      </c>
      <c r="E1050" s="10">
        <v>0</v>
      </c>
      <c r="F1050" s="10" t="s">
        <v>243</v>
      </c>
      <c r="G1050" s="10" t="s">
        <v>244</v>
      </c>
    </row>
    <row r="1051" spans="1:7" x14ac:dyDescent="0.35">
      <c r="A1051" s="100">
        <v>1049</v>
      </c>
      <c r="B1051" s="10" t="s">
        <v>249</v>
      </c>
      <c r="C1051" s="10" t="s">
        <v>246</v>
      </c>
      <c r="D1051" s="10">
        <v>1989</v>
      </c>
      <c r="E1051" s="10">
        <v>0</v>
      </c>
      <c r="F1051" s="10" t="s">
        <v>243</v>
      </c>
      <c r="G1051" s="10" t="s">
        <v>244</v>
      </c>
    </row>
    <row r="1052" spans="1:7" x14ac:dyDescent="0.35">
      <c r="A1052" s="100">
        <v>1050</v>
      </c>
      <c r="B1052" s="10" t="s">
        <v>249</v>
      </c>
      <c r="C1052" s="10" t="s">
        <v>246</v>
      </c>
      <c r="D1052" s="10">
        <v>1990</v>
      </c>
      <c r="E1052" s="10">
        <v>0</v>
      </c>
      <c r="F1052" s="10" t="s">
        <v>243</v>
      </c>
      <c r="G1052" s="10" t="s">
        <v>244</v>
      </c>
    </row>
    <row r="1053" spans="1:7" x14ac:dyDescent="0.35">
      <c r="A1053" s="100">
        <v>1051</v>
      </c>
      <c r="B1053" s="10" t="s">
        <v>249</v>
      </c>
      <c r="C1053" s="10" t="s">
        <v>246</v>
      </c>
      <c r="D1053" s="10">
        <v>1991</v>
      </c>
      <c r="E1053" s="10">
        <v>0</v>
      </c>
      <c r="F1053" s="10" t="s">
        <v>243</v>
      </c>
      <c r="G1053" s="10" t="s">
        <v>244</v>
      </c>
    </row>
    <row r="1054" spans="1:7" x14ac:dyDescent="0.35">
      <c r="A1054" s="100">
        <v>1052</v>
      </c>
      <c r="B1054" s="10" t="s">
        <v>249</v>
      </c>
      <c r="C1054" s="10" t="s">
        <v>246</v>
      </c>
      <c r="D1054" s="10">
        <v>1992</v>
      </c>
      <c r="E1054" s="10">
        <v>0</v>
      </c>
      <c r="F1054" s="10" t="s">
        <v>243</v>
      </c>
      <c r="G1054" s="10" t="s">
        <v>244</v>
      </c>
    </row>
    <row r="1055" spans="1:7" x14ac:dyDescent="0.35">
      <c r="A1055" s="100">
        <v>1053</v>
      </c>
      <c r="B1055" s="10" t="s">
        <v>249</v>
      </c>
      <c r="C1055" s="10" t="s">
        <v>246</v>
      </c>
      <c r="D1055" s="10">
        <v>1993</v>
      </c>
      <c r="E1055" s="10">
        <v>0</v>
      </c>
      <c r="F1055" s="10" t="s">
        <v>243</v>
      </c>
      <c r="G1055" s="10" t="s">
        <v>244</v>
      </c>
    </row>
    <row r="1056" spans="1:7" x14ac:dyDescent="0.35">
      <c r="A1056" s="100">
        <v>1054</v>
      </c>
      <c r="B1056" s="10" t="s">
        <v>249</v>
      </c>
      <c r="C1056" s="10" t="s">
        <v>246</v>
      </c>
      <c r="D1056" s="10">
        <v>1994</v>
      </c>
      <c r="E1056" s="10">
        <v>0</v>
      </c>
      <c r="F1056" s="10" t="s">
        <v>243</v>
      </c>
      <c r="G1056" s="10" t="s">
        <v>244</v>
      </c>
    </row>
    <row r="1057" spans="1:7" x14ac:dyDescent="0.35">
      <c r="A1057" s="100">
        <v>1055</v>
      </c>
      <c r="B1057" s="10" t="s">
        <v>249</v>
      </c>
      <c r="C1057" s="10" t="s">
        <v>246</v>
      </c>
      <c r="D1057" s="10">
        <v>1995</v>
      </c>
      <c r="E1057" s="10">
        <v>0</v>
      </c>
      <c r="F1057" s="10" t="s">
        <v>243</v>
      </c>
      <c r="G1057" s="10" t="s">
        <v>244</v>
      </c>
    </row>
    <row r="1058" spans="1:7" x14ac:dyDescent="0.35">
      <c r="A1058" s="100">
        <v>1056</v>
      </c>
      <c r="B1058" s="10" t="s">
        <v>249</v>
      </c>
      <c r="C1058" s="10" t="s">
        <v>246</v>
      </c>
      <c r="D1058" s="10">
        <v>1996</v>
      </c>
      <c r="E1058" s="10">
        <v>0</v>
      </c>
      <c r="F1058" s="10" t="s">
        <v>243</v>
      </c>
      <c r="G1058" s="10" t="s">
        <v>244</v>
      </c>
    </row>
    <row r="1059" spans="1:7" x14ac:dyDescent="0.35">
      <c r="A1059" s="100">
        <v>1057</v>
      </c>
      <c r="B1059" s="10" t="s">
        <v>249</v>
      </c>
      <c r="C1059" s="10" t="s">
        <v>246</v>
      </c>
      <c r="D1059" s="10">
        <v>1997</v>
      </c>
      <c r="E1059" s="10">
        <v>0</v>
      </c>
      <c r="F1059" s="10" t="s">
        <v>243</v>
      </c>
      <c r="G1059" s="10" t="s">
        <v>244</v>
      </c>
    </row>
    <row r="1060" spans="1:7" x14ac:dyDescent="0.35">
      <c r="A1060" s="100">
        <v>1058</v>
      </c>
      <c r="B1060" s="10" t="s">
        <v>249</v>
      </c>
      <c r="C1060" s="10" t="s">
        <v>246</v>
      </c>
      <c r="D1060" s="10">
        <v>1998</v>
      </c>
      <c r="E1060" s="10">
        <v>0</v>
      </c>
      <c r="F1060" s="10" t="s">
        <v>243</v>
      </c>
      <c r="G1060" s="10" t="s">
        <v>244</v>
      </c>
    </row>
    <row r="1061" spans="1:7" x14ac:dyDescent="0.35">
      <c r="A1061" s="100">
        <v>1059</v>
      </c>
      <c r="B1061" s="10" t="s">
        <v>249</v>
      </c>
      <c r="C1061" s="10" t="s">
        <v>246</v>
      </c>
      <c r="D1061" s="10">
        <v>1999</v>
      </c>
      <c r="E1061" s="10">
        <v>0</v>
      </c>
      <c r="F1061" s="10" t="s">
        <v>243</v>
      </c>
      <c r="G1061" s="10" t="s">
        <v>244</v>
      </c>
    </row>
    <row r="1062" spans="1:7" x14ac:dyDescent="0.35">
      <c r="A1062" s="100">
        <v>1060</v>
      </c>
      <c r="B1062" s="10" t="s">
        <v>249</v>
      </c>
      <c r="C1062" s="10" t="s">
        <v>246</v>
      </c>
      <c r="D1062" s="10">
        <v>2000</v>
      </c>
      <c r="E1062" s="10">
        <v>0</v>
      </c>
      <c r="F1062" s="10" t="s">
        <v>243</v>
      </c>
      <c r="G1062" s="10" t="s">
        <v>244</v>
      </c>
    </row>
    <row r="1063" spans="1:7" x14ac:dyDescent="0.35">
      <c r="A1063" s="100">
        <v>1061</v>
      </c>
      <c r="B1063" s="10" t="s">
        <v>249</v>
      </c>
      <c r="C1063" s="10" t="s">
        <v>246</v>
      </c>
      <c r="D1063" s="10">
        <v>2001</v>
      </c>
      <c r="E1063" s="10">
        <v>0</v>
      </c>
      <c r="F1063" s="10" t="s">
        <v>243</v>
      </c>
      <c r="G1063" s="10" t="s">
        <v>244</v>
      </c>
    </row>
    <row r="1064" spans="1:7" x14ac:dyDescent="0.35">
      <c r="A1064" s="100">
        <v>1062</v>
      </c>
      <c r="B1064" s="10" t="s">
        <v>249</v>
      </c>
      <c r="C1064" s="10" t="s">
        <v>246</v>
      </c>
      <c r="D1064" s="10">
        <v>2002</v>
      </c>
      <c r="E1064" s="10">
        <v>0</v>
      </c>
      <c r="F1064" s="10" t="s">
        <v>243</v>
      </c>
      <c r="G1064" s="10" t="s">
        <v>244</v>
      </c>
    </row>
    <row r="1065" spans="1:7" x14ac:dyDescent="0.35">
      <c r="A1065" s="100">
        <v>1063</v>
      </c>
      <c r="B1065" s="10" t="s">
        <v>249</v>
      </c>
      <c r="C1065" s="10" t="s">
        <v>246</v>
      </c>
      <c r="D1065" s="10">
        <v>2003</v>
      </c>
      <c r="E1065" s="10">
        <v>0</v>
      </c>
      <c r="F1065" s="10" t="s">
        <v>243</v>
      </c>
      <c r="G1065" s="10" t="s">
        <v>244</v>
      </c>
    </row>
    <row r="1066" spans="1:7" x14ac:dyDescent="0.35">
      <c r="A1066" s="100">
        <v>1064</v>
      </c>
      <c r="B1066" s="10" t="s">
        <v>249</v>
      </c>
      <c r="C1066" s="10" t="s">
        <v>246</v>
      </c>
      <c r="D1066" s="10">
        <v>2004</v>
      </c>
      <c r="E1066" s="10">
        <v>0</v>
      </c>
      <c r="F1066" s="10" t="s">
        <v>243</v>
      </c>
      <c r="G1066" s="10" t="s">
        <v>244</v>
      </c>
    </row>
    <row r="1067" spans="1:7" x14ac:dyDescent="0.35">
      <c r="A1067" s="100">
        <v>1065</v>
      </c>
      <c r="B1067" s="10" t="s">
        <v>249</v>
      </c>
      <c r="C1067" s="10" t="s">
        <v>246</v>
      </c>
      <c r="D1067" s="10">
        <v>2005</v>
      </c>
      <c r="E1067" s="10">
        <v>0</v>
      </c>
      <c r="F1067" s="10" t="s">
        <v>243</v>
      </c>
      <c r="G1067" s="10" t="s">
        <v>244</v>
      </c>
    </row>
    <row r="1068" spans="1:7" x14ac:dyDescent="0.35">
      <c r="A1068" s="100">
        <v>1066</v>
      </c>
      <c r="B1068" s="10" t="s">
        <v>249</v>
      </c>
      <c r="C1068" s="10" t="s">
        <v>246</v>
      </c>
      <c r="D1068" s="10">
        <v>2006</v>
      </c>
      <c r="E1068" s="10">
        <v>0</v>
      </c>
      <c r="F1068" s="10" t="s">
        <v>243</v>
      </c>
      <c r="G1068" s="10" t="s">
        <v>244</v>
      </c>
    </row>
    <row r="1069" spans="1:7" x14ac:dyDescent="0.35">
      <c r="A1069" s="100">
        <v>1067</v>
      </c>
      <c r="B1069" s="10" t="s">
        <v>249</v>
      </c>
      <c r="C1069" s="10" t="s">
        <v>246</v>
      </c>
      <c r="D1069" s="10">
        <v>2007</v>
      </c>
      <c r="E1069" s="10">
        <v>0</v>
      </c>
      <c r="F1069" s="10" t="s">
        <v>243</v>
      </c>
      <c r="G1069" s="10" t="s">
        <v>244</v>
      </c>
    </row>
    <row r="1070" spans="1:7" x14ac:dyDescent="0.35">
      <c r="A1070" s="100">
        <v>1068</v>
      </c>
      <c r="B1070" s="10" t="s">
        <v>249</v>
      </c>
      <c r="C1070" s="10" t="s">
        <v>246</v>
      </c>
      <c r="D1070" s="10">
        <v>2008</v>
      </c>
      <c r="E1070" s="10">
        <v>0</v>
      </c>
      <c r="F1070" s="10" t="s">
        <v>243</v>
      </c>
      <c r="G1070" s="10" t="s">
        <v>244</v>
      </c>
    </row>
    <row r="1071" spans="1:7" x14ac:dyDescent="0.35">
      <c r="A1071" s="100">
        <v>1069</v>
      </c>
      <c r="B1071" s="10" t="s">
        <v>249</v>
      </c>
      <c r="C1071" s="10" t="s">
        <v>246</v>
      </c>
      <c r="D1071" s="10">
        <v>2009</v>
      </c>
      <c r="E1071" s="10">
        <v>0</v>
      </c>
      <c r="F1071" s="10" t="s">
        <v>243</v>
      </c>
      <c r="G1071" s="10" t="s">
        <v>244</v>
      </c>
    </row>
    <row r="1072" spans="1:7" x14ac:dyDescent="0.35">
      <c r="A1072" s="100">
        <v>1070</v>
      </c>
      <c r="B1072" s="10" t="s">
        <v>249</v>
      </c>
      <c r="C1072" s="10" t="s">
        <v>246</v>
      </c>
      <c r="D1072" s="10">
        <v>2010</v>
      </c>
      <c r="E1072" s="10">
        <v>0</v>
      </c>
      <c r="F1072" s="10" t="s">
        <v>243</v>
      </c>
      <c r="G1072" s="10" t="s">
        <v>244</v>
      </c>
    </row>
    <row r="1073" spans="1:7" x14ac:dyDescent="0.35">
      <c r="A1073" s="100">
        <v>1071</v>
      </c>
      <c r="B1073" s="10" t="s">
        <v>249</v>
      </c>
      <c r="C1073" s="10" t="s">
        <v>246</v>
      </c>
      <c r="D1073" s="10">
        <v>2011</v>
      </c>
      <c r="E1073" s="10">
        <v>0</v>
      </c>
      <c r="F1073" s="10" t="s">
        <v>243</v>
      </c>
      <c r="G1073" s="10" t="s">
        <v>244</v>
      </c>
    </row>
    <row r="1074" spans="1:7" x14ac:dyDescent="0.35">
      <c r="A1074" s="100">
        <v>1072</v>
      </c>
      <c r="B1074" s="10" t="s">
        <v>249</v>
      </c>
      <c r="C1074" s="10" t="s">
        <v>246</v>
      </c>
      <c r="D1074" s="10">
        <v>2012</v>
      </c>
      <c r="E1074" s="10">
        <v>0</v>
      </c>
      <c r="F1074" s="10" t="s">
        <v>243</v>
      </c>
      <c r="G1074" s="10" t="s">
        <v>244</v>
      </c>
    </row>
    <row r="1075" spans="1:7" x14ac:dyDescent="0.35">
      <c r="A1075" s="100">
        <v>1073</v>
      </c>
      <c r="B1075" s="10" t="s">
        <v>249</v>
      </c>
      <c r="C1075" s="10" t="s">
        <v>246</v>
      </c>
      <c r="D1075" s="10">
        <v>2013</v>
      </c>
      <c r="E1075" s="10">
        <v>0</v>
      </c>
      <c r="F1075" s="10" t="s">
        <v>243</v>
      </c>
      <c r="G1075" s="10" t="s">
        <v>244</v>
      </c>
    </row>
    <row r="1076" spans="1:7" x14ac:dyDescent="0.35">
      <c r="A1076" s="100">
        <v>1074</v>
      </c>
      <c r="B1076" s="10" t="s">
        <v>249</v>
      </c>
      <c r="C1076" s="10" t="s">
        <v>246</v>
      </c>
      <c r="D1076" s="10">
        <v>2014</v>
      </c>
      <c r="E1076" s="10">
        <v>0</v>
      </c>
      <c r="F1076" s="10" t="s">
        <v>243</v>
      </c>
      <c r="G1076" s="10" t="s">
        <v>244</v>
      </c>
    </row>
    <row r="1077" spans="1:7" x14ac:dyDescent="0.35">
      <c r="A1077" s="100">
        <v>1075</v>
      </c>
      <c r="B1077" s="10" t="s">
        <v>249</v>
      </c>
      <c r="C1077" s="10" t="s">
        <v>246</v>
      </c>
      <c r="D1077" s="10">
        <v>2015</v>
      </c>
      <c r="E1077" s="10">
        <v>0</v>
      </c>
      <c r="F1077" s="10" t="s">
        <v>243</v>
      </c>
      <c r="G1077" s="10" t="s">
        <v>244</v>
      </c>
    </row>
    <row r="1078" spans="1:7" x14ac:dyDescent="0.35">
      <c r="A1078" s="100">
        <v>1076</v>
      </c>
      <c r="B1078" s="10" t="s">
        <v>249</v>
      </c>
      <c r="C1078" s="10" t="s">
        <v>246</v>
      </c>
      <c r="D1078" s="10">
        <v>2016</v>
      </c>
      <c r="E1078" s="10">
        <v>0</v>
      </c>
      <c r="F1078" s="10" t="s">
        <v>243</v>
      </c>
      <c r="G1078" s="10" t="s">
        <v>244</v>
      </c>
    </row>
    <row r="1079" spans="1:7" x14ac:dyDescent="0.35">
      <c r="A1079" s="100">
        <v>1077</v>
      </c>
      <c r="B1079" s="10" t="s">
        <v>249</v>
      </c>
      <c r="C1079" s="10" t="s">
        <v>246</v>
      </c>
      <c r="D1079" s="10">
        <v>2017</v>
      </c>
      <c r="E1079" s="10">
        <v>0</v>
      </c>
      <c r="F1079" s="10" t="s">
        <v>243</v>
      </c>
      <c r="G1079" s="10" t="s">
        <v>244</v>
      </c>
    </row>
    <row r="1080" spans="1:7" x14ac:dyDescent="0.35">
      <c r="A1080" s="100">
        <v>1078</v>
      </c>
      <c r="B1080" s="10" t="s">
        <v>249</v>
      </c>
      <c r="C1080" s="10" t="s">
        <v>246</v>
      </c>
      <c r="D1080" s="10">
        <v>2018</v>
      </c>
      <c r="E1080" s="10">
        <v>2.8152492723165778E-4</v>
      </c>
      <c r="F1080" s="10" t="s">
        <v>243</v>
      </c>
      <c r="G1080" s="10" t="s">
        <v>244</v>
      </c>
    </row>
    <row r="1081" spans="1:7" x14ac:dyDescent="0.35">
      <c r="A1081" s="100">
        <v>1079</v>
      </c>
      <c r="B1081" s="10" t="s">
        <v>249</v>
      </c>
      <c r="C1081" s="10" t="s">
        <v>246</v>
      </c>
      <c r="D1081" s="10">
        <v>2019</v>
      </c>
      <c r="E1081" s="10">
        <v>8.0000000004929461E-3</v>
      </c>
      <c r="F1081" s="10" t="s">
        <v>243</v>
      </c>
      <c r="G1081" s="10" t="s">
        <v>244</v>
      </c>
    </row>
    <row r="1082" spans="1:7" x14ac:dyDescent="0.35">
      <c r="A1082" s="100">
        <v>1080</v>
      </c>
      <c r="B1082" s="10" t="s">
        <v>249</v>
      </c>
      <c r="C1082" s="10" t="s">
        <v>246</v>
      </c>
      <c r="D1082" s="10">
        <v>2020</v>
      </c>
      <c r="E1082" s="10">
        <v>1.5219941349869259E-2</v>
      </c>
      <c r="F1082" s="10" t="s">
        <v>243</v>
      </c>
      <c r="G1082" s="10" t="s">
        <v>244</v>
      </c>
    </row>
    <row r="1083" spans="1:7" x14ac:dyDescent="0.35">
      <c r="A1083" s="100">
        <v>1081</v>
      </c>
      <c r="B1083" s="10" t="s">
        <v>249</v>
      </c>
      <c r="C1083" s="10" t="s">
        <v>246</v>
      </c>
      <c r="D1083" s="10">
        <v>2021</v>
      </c>
      <c r="E1083" s="10">
        <v>2.1941348974451099E-2</v>
      </c>
      <c r="F1083" s="10" t="s">
        <v>243</v>
      </c>
      <c r="G1083" s="10" t="s">
        <v>244</v>
      </c>
    </row>
    <row r="1084" spans="1:7" x14ac:dyDescent="0.35">
      <c r="A1084" s="100">
        <v>1082</v>
      </c>
      <c r="B1084" s="10" t="s">
        <v>249</v>
      </c>
      <c r="C1084" s="10" t="s">
        <v>246</v>
      </c>
      <c r="D1084" s="10">
        <v>2022</v>
      </c>
      <c r="E1084" s="10">
        <v>2.816422287469322E-2</v>
      </c>
      <c r="F1084" s="10" t="s">
        <v>243</v>
      </c>
      <c r="G1084" s="10" t="s">
        <v>244</v>
      </c>
    </row>
    <row r="1085" spans="1:7" x14ac:dyDescent="0.35">
      <c r="A1085" s="100">
        <v>1083</v>
      </c>
      <c r="B1085" s="10" t="s">
        <v>249</v>
      </c>
      <c r="C1085" s="10" t="s">
        <v>246</v>
      </c>
      <c r="D1085" s="10">
        <v>2023</v>
      </c>
      <c r="E1085" s="10">
        <v>3.3888563050823002E-2</v>
      </c>
      <c r="F1085" s="10" t="s">
        <v>243</v>
      </c>
      <c r="G1085" s="10" t="s">
        <v>244</v>
      </c>
    </row>
    <row r="1086" spans="1:7" x14ac:dyDescent="0.35">
      <c r="A1086" s="100">
        <v>1084</v>
      </c>
      <c r="B1086" s="10" t="s">
        <v>249</v>
      </c>
      <c r="C1086" s="10" t="s">
        <v>246</v>
      </c>
      <c r="D1086" s="10">
        <v>2024</v>
      </c>
      <c r="E1086" s="10">
        <v>3.9114369502385671E-2</v>
      </c>
      <c r="F1086" s="10" t="s">
        <v>243</v>
      </c>
      <c r="G1086" s="10" t="s">
        <v>244</v>
      </c>
    </row>
    <row r="1087" spans="1:7" x14ac:dyDescent="0.35">
      <c r="A1087" s="100">
        <v>1085</v>
      </c>
      <c r="B1087" s="10" t="s">
        <v>249</v>
      </c>
      <c r="C1087" s="10" t="s">
        <v>246</v>
      </c>
      <c r="D1087" s="10">
        <v>2025</v>
      </c>
      <c r="E1087" s="10">
        <v>4.3841642229835998E-2</v>
      </c>
      <c r="F1087" s="10" t="s">
        <v>243</v>
      </c>
      <c r="G1087" s="10" t="s">
        <v>244</v>
      </c>
    </row>
    <row r="1088" spans="1:7" x14ac:dyDescent="0.35">
      <c r="A1088" s="100">
        <v>1086</v>
      </c>
      <c r="B1088" s="10" t="s">
        <v>249</v>
      </c>
      <c r="C1088" s="10" t="s">
        <v>246</v>
      </c>
      <c r="D1088" s="10">
        <v>2026</v>
      </c>
      <c r="E1088" s="10">
        <v>4.8070381232946602E-2</v>
      </c>
      <c r="F1088" s="10" t="s">
        <v>243</v>
      </c>
      <c r="G1088" s="10" t="s">
        <v>244</v>
      </c>
    </row>
    <row r="1089" spans="1:7" x14ac:dyDescent="0.35">
      <c r="A1089" s="100">
        <v>1087</v>
      </c>
      <c r="B1089" s="10" t="s">
        <v>249</v>
      </c>
      <c r="C1089" s="10" t="s">
        <v>246</v>
      </c>
      <c r="D1089" s="10">
        <v>2027</v>
      </c>
      <c r="E1089" s="10">
        <v>5.180058651149011E-2</v>
      </c>
      <c r="F1089" s="10" t="s">
        <v>243</v>
      </c>
      <c r="G1089" s="10" t="s">
        <v>244</v>
      </c>
    </row>
    <row r="1090" spans="1:7" x14ac:dyDescent="0.35">
      <c r="A1090" s="100">
        <v>1088</v>
      </c>
      <c r="B1090" s="10" t="s">
        <v>249</v>
      </c>
      <c r="C1090" s="10" t="s">
        <v>246</v>
      </c>
      <c r="D1090" s="10">
        <v>2028</v>
      </c>
      <c r="E1090" s="10">
        <v>5.5032258065921269E-2</v>
      </c>
      <c r="F1090" s="10" t="s">
        <v>243</v>
      </c>
      <c r="G1090" s="10" t="s">
        <v>244</v>
      </c>
    </row>
    <row r="1091" spans="1:7" x14ac:dyDescent="0.35">
      <c r="A1091" s="100">
        <v>1089</v>
      </c>
      <c r="B1091" s="10" t="s">
        <v>249</v>
      </c>
      <c r="C1091" s="10" t="s">
        <v>246</v>
      </c>
      <c r="D1091" s="10">
        <v>2029</v>
      </c>
      <c r="E1091" s="10">
        <v>5.7765395895785332E-2</v>
      </c>
      <c r="F1091" s="10" t="s">
        <v>243</v>
      </c>
      <c r="G1091" s="10" t="s">
        <v>244</v>
      </c>
    </row>
    <row r="1092" spans="1:7" x14ac:dyDescent="0.35">
      <c r="A1092" s="100">
        <v>1090</v>
      </c>
      <c r="B1092" s="10" t="s">
        <v>249</v>
      </c>
      <c r="C1092" s="10" t="s">
        <v>246</v>
      </c>
      <c r="D1092" s="10">
        <v>2030</v>
      </c>
      <c r="E1092" s="10">
        <v>6.0000000001309672E-2</v>
      </c>
      <c r="F1092" s="10" t="s">
        <v>243</v>
      </c>
      <c r="G1092" s="10" t="s">
        <v>244</v>
      </c>
    </row>
    <row r="1093" spans="1:7" x14ac:dyDescent="0.35">
      <c r="A1093" s="100">
        <v>1091</v>
      </c>
      <c r="B1093" s="10" t="s">
        <v>249</v>
      </c>
      <c r="C1093" s="10" t="s">
        <v>246</v>
      </c>
      <c r="D1093" s="10">
        <v>2031</v>
      </c>
      <c r="E1093" s="10">
        <v>6.1736070382721657E-2</v>
      </c>
      <c r="F1093" s="10" t="s">
        <v>243</v>
      </c>
      <c r="G1093" s="10" t="s">
        <v>244</v>
      </c>
    </row>
    <row r="1094" spans="1:7" x14ac:dyDescent="0.35">
      <c r="A1094" s="100">
        <v>1092</v>
      </c>
      <c r="B1094" s="10" t="s">
        <v>249</v>
      </c>
      <c r="C1094" s="10" t="s">
        <v>246</v>
      </c>
      <c r="D1094" s="10">
        <v>2032</v>
      </c>
      <c r="E1094" s="10">
        <v>6.2973607039566559E-2</v>
      </c>
      <c r="F1094" s="10" t="s">
        <v>243</v>
      </c>
      <c r="G1094" s="10" t="s">
        <v>244</v>
      </c>
    </row>
    <row r="1095" spans="1:7" x14ac:dyDescent="0.35">
      <c r="A1095" s="100">
        <v>1093</v>
      </c>
      <c r="B1095" s="10" t="s">
        <v>249</v>
      </c>
      <c r="C1095" s="10" t="s">
        <v>246</v>
      </c>
      <c r="D1095" s="10">
        <v>2033</v>
      </c>
      <c r="E1095" s="10">
        <v>6.3712609972071732E-2</v>
      </c>
      <c r="F1095" s="10" t="s">
        <v>243</v>
      </c>
      <c r="G1095" s="10" t="s">
        <v>244</v>
      </c>
    </row>
    <row r="1096" spans="1:7" x14ac:dyDescent="0.35">
      <c r="A1096" s="100">
        <v>1094</v>
      </c>
      <c r="B1096" s="10" t="s">
        <v>249</v>
      </c>
      <c r="C1096" s="10" t="s">
        <v>246</v>
      </c>
      <c r="D1096" s="10">
        <v>2034</v>
      </c>
      <c r="E1096" s="10">
        <v>6.3953079180464556E-2</v>
      </c>
      <c r="F1096" s="10" t="s">
        <v>243</v>
      </c>
      <c r="G1096" s="10" t="s">
        <v>244</v>
      </c>
    </row>
    <row r="1097" spans="1:7" x14ac:dyDescent="0.35">
      <c r="A1097" s="100">
        <v>1095</v>
      </c>
      <c r="B1097" s="10" t="s">
        <v>249</v>
      </c>
      <c r="C1097" s="10" t="s">
        <v>246</v>
      </c>
      <c r="D1097" s="10">
        <v>2035</v>
      </c>
      <c r="E1097" s="10">
        <v>6.3695014664290284E-2</v>
      </c>
      <c r="F1097" s="10" t="s">
        <v>243</v>
      </c>
      <c r="G1097" s="10" t="s">
        <v>244</v>
      </c>
    </row>
    <row r="1098" spans="1:7" x14ac:dyDescent="0.35">
      <c r="A1098" s="100">
        <v>1096</v>
      </c>
      <c r="B1098" s="10" t="s">
        <v>249</v>
      </c>
      <c r="C1098" s="10" t="s">
        <v>246</v>
      </c>
      <c r="D1098" s="10">
        <v>2036</v>
      </c>
      <c r="E1098" s="10">
        <v>6.2938416423776289E-2</v>
      </c>
      <c r="F1098" s="10" t="s">
        <v>243</v>
      </c>
      <c r="G1098" s="10" t="s">
        <v>244</v>
      </c>
    </row>
    <row r="1099" spans="1:7" x14ac:dyDescent="0.35">
      <c r="A1099" s="100">
        <v>1097</v>
      </c>
      <c r="B1099" s="10" t="s">
        <v>249</v>
      </c>
      <c r="C1099" s="10" t="s">
        <v>246</v>
      </c>
      <c r="D1099" s="10">
        <v>2037</v>
      </c>
      <c r="E1099" s="10">
        <v>6.1683284458922572E-2</v>
      </c>
      <c r="F1099" s="10" t="s">
        <v>243</v>
      </c>
      <c r="G1099" s="10" t="s">
        <v>244</v>
      </c>
    </row>
    <row r="1100" spans="1:7" x14ac:dyDescent="0.35">
      <c r="A1100" s="100">
        <v>1098</v>
      </c>
      <c r="B1100" s="10" t="s">
        <v>249</v>
      </c>
      <c r="C1100" s="10" t="s">
        <v>246</v>
      </c>
      <c r="D1100" s="10">
        <v>2038</v>
      </c>
      <c r="E1100" s="10">
        <v>5.9929618769729132E-2</v>
      </c>
      <c r="F1100" s="10" t="s">
        <v>243</v>
      </c>
      <c r="G1100" s="10" t="s">
        <v>244</v>
      </c>
    </row>
    <row r="1101" spans="1:7" x14ac:dyDescent="0.35">
      <c r="A1101" s="100">
        <v>1099</v>
      </c>
      <c r="B1101" s="10" t="s">
        <v>249</v>
      </c>
      <c r="C1101" s="10" t="s">
        <v>246</v>
      </c>
      <c r="D1101" s="10">
        <v>2039</v>
      </c>
      <c r="E1101" s="10">
        <v>5.7677419356423343E-2</v>
      </c>
      <c r="F1101" s="10" t="s">
        <v>243</v>
      </c>
      <c r="G1101" s="10" t="s">
        <v>244</v>
      </c>
    </row>
    <row r="1102" spans="1:7" x14ac:dyDescent="0.35">
      <c r="A1102" s="100">
        <v>1100</v>
      </c>
      <c r="B1102" s="10" t="s">
        <v>249</v>
      </c>
      <c r="C1102" s="10" t="s">
        <v>246</v>
      </c>
      <c r="D1102" s="10">
        <v>2040</v>
      </c>
      <c r="E1102" s="10">
        <v>5.4926686218550458E-2</v>
      </c>
      <c r="F1102" s="10" t="s">
        <v>243</v>
      </c>
      <c r="G1102" s="10" t="s">
        <v>244</v>
      </c>
    </row>
    <row r="1103" spans="1:7" x14ac:dyDescent="0.35">
      <c r="A1103" s="100">
        <v>1101</v>
      </c>
      <c r="B1103" s="10" t="s">
        <v>249</v>
      </c>
      <c r="C1103" s="10" t="s">
        <v>246</v>
      </c>
      <c r="D1103" s="10">
        <v>2041</v>
      </c>
      <c r="E1103" s="10">
        <v>5.1677419356110477E-2</v>
      </c>
      <c r="F1103" s="10" t="s">
        <v>243</v>
      </c>
      <c r="G1103" s="10" t="s">
        <v>244</v>
      </c>
    </row>
    <row r="1104" spans="1:7" x14ac:dyDescent="0.35">
      <c r="A1104" s="100">
        <v>1102</v>
      </c>
      <c r="B1104" s="10" t="s">
        <v>249</v>
      </c>
      <c r="C1104" s="10" t="s">
        <v>246</v>
      </c>
      <c r="D1104" s="10">
        <v>2042</v>
      </c>
      <c r="E1104" s="10">
        <v>4.792961876978552E-2</v>
      </c>
      <c r="F1104" s="10" t="s">
        <v>243</v>
      </c>
      <c r="G1104" s="10" t="s">
        <v>244</v>
      </c>
    </row>
    <row r="1105" spans="1:7" x14ac:dyDescent="0.35">
      <c r="A1105" s="100">
        <v>1103</v>
      </c>
      <c r="B1105" s="10" t="s">
        <v>249</v>
      </c>
      <c r="C1105" s="10" t="s">
        <v>246</v>
      </c>
      <c r="D1105" s="10">
        <v>2043</v>
      </c>
      <c r="E1105" s="10">
        <v>4.3683284458893468E-2</v>
      </c>
      <c r="F1105" s="10" t="s">
        <v>243</v>
      </c>
      <c r="G1105" s="10" t="s">
        <v>244</v>
      </c>
    </row>
    <row r="1106" spans="1:7" x14ac:dyDescent="0.35">
      <c r="A1106" s="100">
        <v>1104</v>
      </c>
      <c r="B1106" s="10" t="s">
        <v>249</v>
      </c>
      <c r="C1106" s="10" t="s">
        <v>246</v>
      </c>
      <c r="D1106" s="10">
        <v>2044</v>
      </c>
      <c r="E1106" s="10">
        <v>3.8938416423889073E-2</v>
      </c>
      <c r="F1106" s="10" t="s">
        <v>243</v>
      </c>
      <c r="G1106" s="10" t="s">
        <v>244</v>
      </c>
    </row>
    <row r="1107" spans="1:7" x14ac:dyDescent="0.35">
      <c r="A1107" s="100">
        <v>1105</v>
      </c>
      <c r="B1107" s="10" t="s">
        <v>249</v>
      </c>
      <c r="C1107" s="10" t="s">
        <v>246</v>
      </c>
      <c r="D1107" s="10">
        <v>2045</v>
      </c>
      <c r="E1107" s="10">
        <v>3.3695014664090188E-2</v>
      </c>
      <c r="F1107" s="10" t="s">
        <v>243</v>
      </c>
      <c r="G1107" s="10" t="s">
        <v>244</v>
      </c>
    </row>
    <row r="1108" spans="1:7" x14ac:dyDescent="0.35">
      <c r="A1108" s="100">
        <v>1106</v>
      </c>
      <c r="B1108" s="10" t="s">
        <v>249</v>
      </c>
      <c r="C1108" s="10" t="s">
        <v>246</v>
      </c>
      <c r="D1108" s="10">
        <v>2046</v>
      </c>
      <c r="E1108" s="10">
        <v>2.7953079180178971E-2</v>
      </c>
      <c r="F1108" s="10" t="s">
        <v>243</v>
      </c>
      <c r="G1108" s="10" t="s">
        <v>244</v>
      </c>
    </row>
    <row r="1109" spans="1:7" x14ac:dyDescent="0.35">
      <c r="A1109" s="100">
        <v>1107</v>
      </c>
      <c r="B1109" s="10" t="s">
        <v>249</v>
      </c>
      <c r="C1109" s="10" t="s">
        <v>246</v>
      </c>
      <c r="D1109" s="10">
        <v>2047</v>
      </c>
      <c r="E1109" s="10">
        <v>2.1712609971928028E-2</v>
      </c>
      <c r="F1109" s="10" t="s">
        <v>243</v>
      </c>
      <c r="G1109" s="10" t="s">
        <v>244</v>
      </c>
    </row>
    <row r="1110" spans="1:7" x14ac:dyDescent="0.35">
      <c r="A1110" s="100">
        <v>1108</v>
      </c>
      <c r="B1110" s="10" t="s">
        <v>249</v>
      </c>
      <c r="C1110" s="10" t="s">
        <v>246</v>
      </c>
      <c r="D1110" s="10">
        <v>2048</v>
      </c>
      <c r="E1110" s="10">
        <v>1.497360703933737E-2</v>
      </c>
      <c r="F1110" s="10" t="s">
        <v>243</v>
      </c>
      <c r="G1110" s="10" t="s">
        <v>244</v>
      </c>
    </row>
    <row r="1111" spans="1:7" x14ac:dyDescent="0.35">
      <c r="A1111" s="100">
        <v>1109</v>
      </c>
      <c r="B1111" s="10" t="s">
        <v>249</v>
      </c>
      <c r="C1111" s="10" t="s">
        <v>246</v>
      </c>
      <c r="D1111" s="10">
        <v>2049</v>
      </c>
      <c r="E1111" s="10">
        <v>7.7360703824069788E-3</v>
      </c>
      <c r="F1111" s="10" t="s">
        <v>243</v>
      </c>
      <c r="G1111" s="10" t="s">
        <v>244</v>
      </c>
    </row>
    <row r="1112" spans="1:7" x14ac:dyDescent="0.35">
      <c r="A1112" s="100">
        <v>1110</v>
      </c>
      <c r="B1112" s="10" t="s">
        <v>249</v>
      </c>
      <c r="C1112" s="10" t="s">
        <v>246</v>
      </c>
      <c r="D1112" s="10">
        <v>2050</v>
      </c>
      <c r="E1112" s="10">
        <v>1.1368683772161601E-12</v>
      </c>
      <c r="F1112" s="10" t="s">
        <v>243</v>
      </c>
      <c r="G1112" s="10" t="s">
        <v>244</v>
      </c>
    </row>
    <row r="1113" spans="1:7" x14ac:dyDescent="0.35">
      <c r="A1113" s="100">
        <v>1111</v>
      </c>
      <c r="B1113" s="10" t="s">
        <v>249</v>
      </c>
      <c r="C1113" s="10" t="s">
        <v>247</v>
      </c>
      <c r="D1113" s="10">
        <v>1950</v>
      </c>
      <c r="E1113" s="10">
        <v>0</v>
      </c>
      <c r="F1113" s="10" t="s">
        <v>243</v>
      </c>
      <c r="G1113" s="10" t="s">
        <v>244</v>
      </c>
    </row>
    <row r="1114" spans="1:7" x14ac:dyDescent="0.35">
      <c r="A1114" s="100">
        <v>1112</v>
      </c>
      <c r="B1114" s="10" t="s">
        <v>249</v>
      </c>
      <c r="C1114" s="10" t="s">
        <v>247</v>
      </c>
      <c r="D1114" s="10">
        <v>1951</v>
      </c>
      <c r="E1114" s="10">
        <v>0</v>
      </c>
      <c r="F1114" s="10" t="s">
        <v>243</v>
      </c>
      <c r="G1114" s="10" t="s">
        <v>244</v>
      </c>
    </row>
    <row r="1115" spans="1:7" x14ac:dyDescent="0.35">
      <c r="A1115" s="100">
        <v>1113</v>
      </c>
      <c r="B1115" s="10" t="s">
        <v>249</v>
      </c>
      <c r="C1115" s="10" t="s">
        <v>247</v>
      </c>
      <c r="D1115" s="10">
        <v>1952</v>
      </c>
      <c r="E1115" s="10">
        <v>0</v>
      </c>
      <c r="F1115" s="10" t="s">
        <v>243</v>
      </c>
      <c r="G1115" s="10" t="s">
        <v>244</v>
      </c>
    </row>
    <row r="1116" spans="1:7" x14ac:dyDescent="0.35">
      <c r="A1116" s="100">
        <v>1114</v>
      </c>
      <c r="B1116" s="10" t="s">
        <v>249</v>
      </c>
      <c r="C1116" s="10" t="s">
        <v>247</v>
      </c>
      <c r="D1116" s="10">
        <v>1953</v>
      </c>
      <c r="E1116" s="10">
        <v>0</v>
      </c>
      <c r="F1116" s="10" t="s">
        <v>243</v>
      </c>
      <c r="G1116" s="10" t="s">
        <v>244</v>
      </c>
    </row>
    <row r="1117" spans="1:7" x14ac:dyDescent="0.35">
      <c r="A1117" s="100">
        <v>1115</v>
      </c>
      <c r="B1117" s="10" t="s">
        <v>249</v>
      </c>
      <c r="C1117" s="10" t="s">
        <v>247</v>
      </c>
      <c r="D1117" s="10">
        <v>1954</v>
      </c>
      <c r="E1117" s="10">
        <v>0</v>
      </c>
      <c r="F1117" s="10" t="s">
        <v>243</v>
      </c>
      <c r="G1117" s="10" t="s">
        <v>244</v>
      </c>
    </row>
    <row r="1118" spans="1:7" x14ac:dyDescent="0.35">
      <c r="A1118" s="100">
        <v>1116</v>
      </c>
      <c r="B1118" s="10" t="s">
        <v>249</v>
      </c>
      <c r="C1118" s="10" t="s">
        <v>247</v>
      </c>
      <c r="D1118" s="10">
        <v>1955</v>
      </c>
      <c r="E1118" s="10">
        <v>0</v>
      </c>
      <c r="F1118" s="10" t="s">
        <v>243</v>
      </c>
      <c r="G1118" s="10" t="s">
        <v>244</v>
      </c>
    </row>
    <row r="1119" spans="1:7" x14ac:dyDescent="0.35">
      <c r="A1119" s="100">
        <v>1117</v>
      </c>
      <c r="B1119" s="10" t="s">
        <v>249</v>
      </c>
      <c r="C1119" s="10" t="s">
        <v>247</v>
      </c>
      <c r="D1119" s="10">
        <v>1956</v>
      </c>
      <c r="E1119" s="10">
        <v>0</v>
      </c>
      <c r="F1119" s="10" t="s">
        <v>243</v>
      </c>
      <c r="G1119" s="10" t="s">
        <v>244</v>
      </c>
    </row>
    <row r="1120" spans="1:7" x14ac:dyDescent="0.35">
      <c r="A1120" s="100">
        <v>1118</v>
      </c>
      <c r="B1120" s="10" t="s">
        <v>249</v>
      </c>
      <c r="C1120" s="10" t="s">
        <v>247</v>
      </c>
      <c r="D1120" s="10">
        <v>1957</v>
      </c>
      <c r="E1120" s="10">
        <v>0</v>
      </c>
      <c r="F1120" s="10" t="s">
        <v>243</v>
      </c>
      <c r="G1120" s="10" t="s">
        <v>244</v>
      </c>
    </row>
    <row r="1121" spans="1:7" x14ac:dyDescent="0.35">
      <c r="A1121" s="100">
        <v>1119</v>
      </c>
      <c r="B1121" s="10" t="s">
        <v>249</v>
      </c>
      <c r="C1121" s="10" t="s">
        <v>247</v>
      </c>
      <c r="D1121" s="10">
        <v>1958</v>
      </c>
      <c r="E1121" s="10">
        <v>0</v>
      </c>
      <c r="F1121" s="10" t="s">
        <v>243</v>
      </c>
      <c r="G1121" s="10" t="s">
        <v>244</v>
      </c>
    </row>
    <row r="1122" spans="1:7" x14ac:dyDescent="0.35">
      <c r="A1122" s="100">
        <v>1120</v>
      </c>
      <c r="B1122" s="10" t="s">
        <v>249</v>
      </c>
      <c r="C1122" s="10" t="s">
        <v>247</v>
      </c>
      <c r="D1122" s="10">
        <v>1959</v>
      </c>
      <c r="E1122" s="10">
        <v>0</v>
      </c>
      <c r="F1122" s="10" t="s">
        <v>243</v>
      </c>
      <c r="G1122" s="10" t="s">
        <v>244</v>
      </c>
    </row>
    <row r="1123" spans="1:7" x14ac:dyDescent="0.35">
      <c r="A1123" s="100">
        <v>1121</v>
      </c>
      <c r="B1123" s="10" t="s">
        <v>249</v>
      </c>
      <c r="C1123" s="10" t="s">
        <v>247</v>
      </c>
      <c r="D1123" s="10">
        <v>1960</v>
      </c>
      <c r="E1123" s="10">
        <v>0</v>
      </c>
      <c r="F1123" s="10" t="s">
        <v>243</v>
      </c>
      <c r="G1123" s="10" t="s">
        <v>244</v>
      </c>
    </row>
    <row r="1124" spans="1:7" x14ac:dyDescent="0.35">
      <c r="A1124" s="100">
        <v>1122</v>
      </c>
      <c r="B1124" s="10" t="s">
        <v>249</v>
      </c>
      <c r="C1124" s="10" t="s">
        <v>247</v>
      </c>
      <c r="D1124" s="10">
        <v>1961</v>
      </c>
      <c r="E1124" s="10">
        <v>0</v>
      </c>
      <c r="F1124" s="10" t="s">
        <v>243</v>
      </c>
      <c r="G1124" s="10" t="s">
        <v>244</v>
      </c>
    </row>
    <row r="1125" spans="1:7" x14ac:dyDescent="0.35">
      <c r="A1125" s="100">
        <v>1123</v>
      </c>
      <c r="B1125" s="10" t="s">
        <v>249</v>
      </c>
      <c r="C1125" s="10" t="s">
        <v>247</v>
      </c>
      <c r="D1125" s="10">
        <v>1962</v>
      </c>
      <c r="E1125" s="10">
        <v>0</v>
      </c>
      <c r="F1125" s="10" t="s">
        <v>243</v>
      </c>
      <c r="G1125" s="10" t="s">
        <v>244</v>
      </c>
    </row>
    <row r="1126" spans="1:7" x14ac:dyDescent="0.35">
      <c r="A1126" s="100">
        <v>1124</v>
      </c>
      <c r="B1126" s="10" t="s">
        <v>249</v>
      </c>
      <c r="C1126" s="10" t="s">
        <v>247</v>
      </c>
      <c r="D1126" s="10">
        <v>1963</v>
      </c>
      <c r="E1126" s="10">
        <v>0</v>
      </c>
      <c r="F1126" s="10" t="s">
        <v>243</v>
      </c>
      <c r="G1126" s="10" t="s">
        <v>244</v>
      </c>
    </row>
    <row r="1127" spans="1:7" x14ac:dyDescent="0.35">
      <c r="A1127" s="100">
        <v>1125</v>
      </c>
      <c r="B1127" s="10" t="s">
        <v>249</v>
      </c>
      <c r="C1127" s="10" t="s">
        <v>247</v>
      </c>
      <c r="D1127" s="10">
        <v>1964</v>
      </c>
      <c r="E1127" s="10">
        <v>0</v>
      </c>
      <c r="F1127" s="10" t="s">
        <v>243</v>
      </c>
      <c r="G1127" s="10" t="s">
        <v>244</v>
      </c>
    </row>
    <row r="1128" spans="1:7" x14ac:dyDescent="0.35">
      <c r="A1128" s="100">
        <v>1126</v>
      </c>
      <c r="B1128" s="10" t="s">
        <v>249</v>
      </c>
      <c r="C1128" s="10" t="s">
        <v>247</v>
      </c>
      <c r="D1128" s="10">
        <v>1965</v>
      </c>
      <c r="E1128" s="10">
        <v>0</v>
      </c>
      <c r="F1128" s="10" t="s">
        <v>243</v>
      </c>
      <c r="G1128" s="10" t="s">
        <v>244</v>
      </c>
    </row>
    <row r="1129" spans="1:7" x14ac:dyDescent="0.35">
      <c r="A1129" s="100">
        <v>1127</v>
      </c>
      <c r="B1129" s="10" t="s">
        <v>249</v>
      </c>
      <c r="C1129" s="10" t="s">
        <v>247</v>
      </c>
      <c r="D1129" s="10">
        <v>1966</v>
      </c>
      <c r="E1129" s="10">
        <v>0</v>
      </c>
      <c r="F1129" s="10" t="s">
        <v>243</v>
      </c>
      <c r="G1129" s="10" t="s">
        <v>244</v>
      </c>
    </row>
    <row r="1130" spans="1:7" x14ac:dyDescent="0.35">
      <c r="A1130" s="100">
        <v>1128</v>
      </c>
      <c r="B1130" s="10" t="s">
        <v>249</v>
      </c>
      <c r="C1130" s="10" t="s">
        <v>247</v>
      </c>
      <c r="D1130" s="10">
        <v>1967</v>
      </c>
      <c r="E1130" s="10">
        <v>0</v>
      </c>
      <c r="F1130" s="10" t="s">
        <v>243</v>
      </c>
      <c r="G1130" s="10" t="s">
        <v>244</v>
      </c>
    </row>
    <row r="1131" spans="1:7" x14ac:dyDescent="0.35">
      <c r="A1131" s="100">
        <v>1129</v>
      </c>
      <c r="B1131" s="10" t="s">
        <v>249</v>
      </c>
      <c r="C1131" s="10" t="s">
        <v>247</v>
      </c>
      <c r="D1131" s="10">
        <v>1968</v>
      </c>
      <c r="E1131" s="10">
        <v>0</v>
      </c>
      <c r="F1131" s="10" t="s">
        <v>243</v>
      </c>
      <c r="G1131" s="10" t="s">
        <v>244</v>
      </c>
    </row>
    <row r="1132" spans="1:7" x14ac:dyDescent="0.35">
      <c r="A1132" s="100">
        <v>1130</v>
      </c>
      <c r="B1132" s="10" t="s">
        <v>249</v>
      </c>
      <c r="C1132" s="10" t="s">
        <v>247</v>
      </c>
      <c r="D1132" s="10">
        <v>1969</v>
      </c>
      <c r="E1132" s="10">
        <v>0</v>
      </c>
      <c r="F1132" s="10" t="s">
        <v>243</v>
      </c>
      <c r="G1132" s="10" t="s">
        <v>244</v>
      </c>
    </row>
    <row r="1133" spans="1:7" x14ac:dyDescent="0.35">
      <c r="A1133" s="100">
        <v>1131</v>
      </c>
      <c r="B1133" s="10" t="s">
        <v>249</v>
      </c>
      <c r="C1133" s="10" t="s">
        <v>247</v>
      </c>
      <c r="D1133" s="10">
        <v>1970</v>
      </c>
      <c r="E1133" s="10">
        <v>0</v>
      </c>
      <c r="F1133" s="10" t="s">
        <v>243</v>
      </c>
      <c r="G1133" s="10" t="s">
        <v>244</v>
      </c>
    </row>
    <row r="1134" spans="1:7" x14ac:dyDescent="0.35">
      <c r="A1134" s="100">
        <v>1132</v>
      </c>
      <c r="B1134" s="10" t="s">
        <v>249</v>
      </c>
      <c r="C1134" s="10" t="s">
        <v>247</v>
      </c>
      <c r="D1134" s="10">
        <v>1971</v>
      </c>
      <c r="E1134" s="10">
        <v>0</v>
      </c>
      <c r="F1134" s="10" t="s">
        <v>243</v>
      </c>
      <c r="G1134" s="10" t="s">
        <v>244</v>
      </c>
    </row>
    <row r="1135" spans="1:7" x14ac:dyDescent="0.35">
      <c r="A1135" s="100">
        <v>1133</v>
      </c>
      <c r="B1135" s="10" t="s">
        <v>249</v>
      </c>
      <c r="C1135" s="10" t="s">
        <v>247</v>
      </c>
      <c r="D1135" s="10">
        <v>1972</v>
      </c>
      <c r="E1135" s="10">
        <v>0</v>
      </c>
      <c r="F1135" s="10" t="s">
        <v>243</v>
      </c>
      <c r="G1135" s="10" t="s">
        <v>244</v>
      </c>
    </row>
    <row r="1136" spans="1:7" x14ac:dyDescent="0.35">
      <c r="A1136" s="100">
        <v>1134</v>
      </c>
      <c r="B1136" s="10" t="s">
        <v>249</v>
      </c>
      <c r="C1136" s="10" t="s">
        <v>247</v>
      </c>
      <c r="D1136" s="10">
        <v>1973</v>
      </c>
      <c r="E1136" s="10">
        <v>0</v>
      </c>
      <c r="F1136" s="10" t="s">
        <v>243</v>
      </c>
      <c r="G1136" s="10" t="s">
        <v>244</v>
      </c>
    </row>
    <row r="1137" spans="1:7" x14ac:dyDescent="0.35">
      <c r="A1137" s="100">
        <v>1135</v>
      </c>
      <c r="B1137" s="10" t="s">
        <v>249</v>
      </c>
      <c r="C1137" s="10" t="s">
        <v>247</v>
      </c>
      <c r="D1137" s="10">
        <v>1974</v>
      </c>
      <c r="E1137" s="10">
        <v>0</v>
      </c>
      <c r="F1137" s="10" t="s">
        <v>243</v>
      </c>
      <c r="G1137" s="10" t="s">
        <v>244</v>
      </c>
    </row>
    <row r="1138" spans="1:7" x14ac:dyDescent="0.35">
      <c r="A1138" s="100">
        <v>1136</v>
      </c>
      <c r="B1138" s="10" t="s">
        <v>249</v>
      </c>
      <c r="C1138" s="10" t="s">
        <v>247</v>
      </c>
      <c r="D1138" s="10">
        <v>1975</v>
      </c>
      <c r="E1138" s="10">
        <v>0</v>
      </c>
      <c r="F1138" s="10" t="s">
        <v>243</v>
      </c>
      <c r="G1138" s="10" t="s">
        <v>244</v>
      </c>
    </row>
    <row r="1139" spans="1:7" x14ac:dyDescent="0.35">
      <c r="A1139" s="100">
        <v>1137</v>
      </c>
      <c r="B1139" s="10" t="s">
        <v>249</v>
      </c>
      <c r="C1139" s="10" t="s">
        <v>247</v>
      </c>
      <c r="D1139" s="10">
        <v>1976</v>
      </c>
      <c r="E1139" s="10">
        <v>0</v>
      </c>
      <c r="F1139" s="10" t="s">
        <v>243</v>
      </c>
      <c r="G1139" s="10" t="s">
        <v>244</v>
      </c>
    </row>
    <row r="1140" spans="1:7" x14ac:dyDescent="0.35">
      <c r="A1140" s="100">
        <v>1138</v>
      </c>
      <c r="B1140" s="10" t="s">
        <v>249</v>
      </c>
      <c r="C1140" s="10" t="s">
        <v>247</v>
      </c>
      <c r="D1140" s="10">
        <v>1977</v>
      </c>
      <c r="E1140" s="10">
        <v>0</v>
      </c>
      <c r="F1140" s="10" t="s">
        <v>243</v>
      </c>
      <c r="G1140" s="10" t="s">
        <v>244</v>
      </c>
    </row>
    <row r="1141" spans="1:7" x14ac:dyDescent="0.35">
      <c r="A1141" s="100">
        <v>1139</v>
      </c>
      <c r="B1141" s="10" t="s">
        <v>249</v>
      </c>
      <c r="C1141" s="10" t="s">
        <v>247</v>
      </c>
      <c r="D1141" s="10">
        <v>1978</v>
      </c>
      <c r="E1141" s="10">
        <v>0</v>
      </c>
      <c r="F1141" s="10" t="s">
        <v>243</v>
      </c>
      <c r="G1141" s="10" t="s">
        <v>244</v>
      </c>
    </row>
    <row r="1142" spans="1:7" x14ac:dyDescent="0.35">
      <c r="A1142" s="100">
        <v>1140</v>
      </c>
      <c r="B1142" s="10" t="s">
        <v>249</v>
      </c>
      <c r="C1142" s="10" t="s">
        <v>247</v>
      </c>
      <c r="D1142" s="10">
        <v>1979</v>
      </c>
      <c r="E1142" s="10">
        <v>0</v>
      </c>
      <c r="F1142" s="10" t="s">
        <v>243</v>
      </c>
      <c r="G1142" s="10" t="s">
        <v>244</v>
      </c>
    </row>
    <row r="1143" spans="1:7" x14ac:dyDescent="0.35">
      <c r="A1143" s="100">
        <v>1141</v>
      </c>
      <c r="B1143" s="10" t="s">
        <v>249</v>
      </c>
      <c r="C1143" s="10" t="s">
        <v>247</v>
      </c>
      <c r="D1143" s="10">
        <v>1980</v>
      </c>
      <c r="E1143" s="10">
        <v>0</v>
      </c>
      <c r="F1143" s="10" t="s">
        <v>243</v>
      </c>
      <c r="G1143" s="10" t="s">
        <v>244</v>
      </c>
    </row>
    <row r="1144" spans="1:7" x14ac:dyDescent="0.35">
      <c r="A1144" s="100">
        <v>1142</v>
      </c>
      <c r="B1144" s="10" t="s">
        <v>249</v>
      </c>
      <c r="C1144" s="10" t="s">
        <v>247</v>
      </c>
      <c r="D1144" s="10">
        <v>1981</v>
      </c>
      <c r="E1144" s="10">
        <v>0</v>
      </c>
      <c r="F1144" s="10" t="s">
        <v>243</v>
      </c>
      <c r="G1144" s="10" t="s">
        <v>244</v>
      </c>
    </row>
    <row r="1145" spans="1:7" x14ac:dyDescent="0.35">
      <c r="A1145" s="100">
        <v>1143</v>
      </c>
      <c r="B1145" s="10" t="s">
        <v>249</v>
      </c>
      <c r="C1145" s="10" t="s">
        <v>247</v>
      </c>
      <c r="D1145" s="10">
        <v>1982</v>
      </c>
      <c r="E1145" s="10">
        <v>0</v>
      </c>
      <c r="F1145" s="10" t="s">
        <v>243</v>
      </c>
      <c r="G1145" s="10" t="s">
        <v>244</v>
      </c>
    </row>
    <row r="1146" spans="1:7" x14ac:dyDescent="0.35">
      <c r="A1146" s="100">
        <v>1144</v>
      </c>
      <c r="B1146" s="10" t="s">
        <v>249</v>
      </c>
      <c r="C1146" s="10" t="s">
        <v>247</v>
      </c>
      <c r="D1146" s="10">
        <v>1983</v>
      </c>
      <c r="E1146" s="10">
        <v>0</v>
      </c>
      <c r="F1146" s="10" t="s">
        <v>243</v>
      </c>
      <c r="G1146" s="10" t="s">
        <v>244</v>
      </c>
    </row>
    <row r="1147" spans="1:7" x14ac:dyDescent="0.35">
      <c r="A1147" s="100">
        <v>1145</v>
      </c>
      <c r="B1147" s="10" t="s">
        <v>249</v>
      </c>
      <c r="C1147" s="10" t="s">
        <v>247</v>
      </c>
      <c r="D1147" s="10">
        <v>1984</v>
      </c>
      <c r="E1147" s="10">
        <v>0</v>
      </c>
      <c r="F1147" s="10" t="s">
        <v>243</v>
      </c>
      <c r="G1147" s="10" t="s">
        <v>244</v>
      </c>
    </row>
    <row r="1148" spans="1:7" x14ac:dyDescent="0.35">
      <c r="A1148" s="100">
        <v>1146</v>
      </c>
      <c r="B1148" s="10" t="s">
        <v>249</v>
      </c>
      <c r="C1148" s="10" t="s">
        <v>247</v>
      </c>
      <c r="D1148" s="10">
        <v>1985</v>
      </c>
      <c r="E1148" s="10">
        <v>0</v>
      </c>
      <c r="F1148" s="10" t="s">
        <v>243</v>
      </c>
      <c r="G1148" s="10" t="s">
        <v>244</v>
      </c>
    </row>
    <row r="1149" spans="1:7" x14ac:dyDescent="0.35">
      <c r="A1149" s="100">
        <v>1147</v>
      </c>
      <c r="B1149" s="10" t="s">
        <v>249</v>
      </c>
      <c r="C1149" s="10" t="s">
        <v>247</v>
      </c>
      <c r="D1149" s="10">
        <v>1986</v>
      </c>
      <c r="E1149" s="10">
        <v>0</v>
      </c>
      <c r="F1149" s="10" t="s">
        <v>243</v>
      </c>
      <c r="G1149" s="10" t="s">
        <v>244</v>
      </c>
    </row>
    <row r="1150" spans="1:7" x14ac:dyDescent="0.35">
      <c r="A1150" s="100">
        <v>1148</v>
      </c>
      <c r="B1150" s="10" t="s">
        <v>249</v>
      </c>
      <c r="C1150" s="10" t="s">
        <v>247</v>
      </c>
      <c r="D1150" s="10">
        <v>1987</v>
      </c>
      <c r="E1150" s="10">
        <v>0</v>
      </c>
      <c r="F1150" s="10" t="s">
        <v>243</v>
      </c>
      <c r="G1150" s="10" t="s">
        <v>244</v>
      </c>
    </row>
    <row r="1151" spans="1:7" x14ac:dyDescent="0.35">
      <c r="A1151" s="100">
        <v>1149</v>
      </c>
      <c r="B1151" s="10" t="s">
        <v>249</v>
      </c>
      <c r="C1151" s="10" t="s">
        <v>247</v>
      </c>
      <c r="D1151" s="10">
        <v>1988</v>
      </c>
      <c r="E1151" s="10">
        <v>0</v>
      </c>
      <c r="F1151" s="10" t="s">
        <v>243</v>
      </c>
      <c r="G1151" s="10" t="s">
        <v>244</v>
      </c>
    </row>
    <row r="1152" spans="1:7" x14ac:dyDescent="0.35">
      <c r="A1152" s="100">
        <v>1150</v>
      </c>
      <c r="B1152" s="10" t="s">
        <v>249</v>
      </c>
      <c r="C1152" s="10" t="s">
        <v>247</v>
      </c>
      <c r="D1152" s="10">
        <v>1989</v>
      </c>
      <c r="E1152" s="10">
        <v>0</v>
      </c>
      <c r="F1152" s="10" t="s">
        <v>243</v>
      </c>
      <c r="G1152" s="10" t="s">
        <v>244</v>
      </c>
    </row>
    <row r="1153" spans="1:7" x14ac:dyDescent="0.35">
      <c r="A1153" s="100">
        <v>1151</v>
      </c>
      <c r="B1153" s="10" t="s">
        <v>249</v>
      </c>
      <c r="C1153" s="10" t="s">
        <v>247</v>
      </c>
      <c r="D1153" s="10">
        <v>1990</v>
      </c>
      <c r="E1153" s="10">
        <v>0</v>
      </c>
      <c r="F1153" s="10" t="s">
        <v>243</v>
      </c>
      <c r="G1153" s="10" t="s">
        <v>244</v>
      </c>
    </row>
    <row r="1154" spans="1:7" x14ac:dyDescent="0.35">
      <c r="A1154" s="100">
        <v>1152</v>
      </c>
      <c r="B1154" s="10" t="s">
        <v>249</v>
      </c>
      <c r="C1154" s="10" t="s">
        <v>247</v>
      </c>
      <c r="D1154" s="10">
        <v>1991</v>
      </c>
      <c r="E1154" s="10">
        <v>0</v>
      </c>
      <c r="F1154" s="10" t="s">
        <v>243</v>
      </c>
      <c r="G1154" s="10" t="s">
        <v>244</v>
      </c>
    </row>
    <row r="1155" spans="1:7" x14ac:dyDescent="0.35">
      <c r="A1155" s="100">
        <v>1153</v>
      </c>
      <c r="B1155" s="10" t="s">
        <v>249</v>
      </c>
      <c r="C1155" s="10" t="s">
        <v>247</v>
      </c>
      <c r="D1155" s="10">
        <v>1992</v>
      </c>
      <c r="E1155" s="10">
        <v>0</v>
      </c>
      <c r="F1155" s="10" t="s">
        <v>243</v>
      </c>
      <c r="G1155" s="10" t="s">
        <v>244</v>
      </c>
    </row>
    <row r="1156" spans="1:7" x14ac:dyDescent="0.35">
      <c r="A1156" s="100">
        <v>1154</v>
      </c>
      <c r="B1156" s="10" t="s">
        <v>249</v>
      </c>
      <c r="C1156" s="10" t="s">
        <v>247</v>
      </c>
      <c r="D1156" s="10">
        <v>1993</v>
      </c>
      <c r="E1156" s="10">
        <v>0</v>
      </c>
      <c r="F1156" s="10" t="s">
        <v>243</v>
      </c>
      <c r="G1156" s="10" t="s">
        <v>244</v>
      </c>
    </row>
    <row r="1157" spans="1:7" x14ac:dyDescent="0.35">
      <c r="A1157" s="100">
        <v>1155</v>
      </c>
      <c r="B1157" s="10" t="s">
        <v>249</v>
      </c>
      <c r="C1157" s="10" t="s">
        <v>247</v>
      </c>
      <c r="D1157" s="10">
        <v>1994</v>
      </c>
      <c r="E1157" s="10">
        <v>0</v>
      </c>
      <c r="F1157" s="10" t="s">
        <v>243</v>
      </c>
      <c r="G1157" s="10" t="s">
        <v>244</v>
      </c>
    </row>
    <row r="1158" spans="1:7" x14ac:dyDescent="0.35">
      <c r="A1158" s="100">
        <v>1156</v>
      </c>
      <c r="B1158" s="10" t="s">
        <v>249</v>
      </c>
      <c r="C1158" s="10" t="s">
        <v>247</v>
      </c>
      <c r="D1158" s="10">
        <v>1995</v>
      </c>
      <c r="E1158" s="10">
        <v>0</v>
      </c>
      <c r="F1158" s="10" t="s">
        <v>243</v>
      </c>
      <c r="G1158" s="10" t="s">
        <v>244</v>
      </c>
    </row>
    <row r="1159" spans="1:7" x14ac:dyDescent="0.35">
      <c r="A1159" s="100">
        <v>1157</v>
      </c>
      <c r="B1159" s="10" t="s">
        <v>249</v>
      </c>
      <c r="C1159" s="10" t="s">
        <v>247</v>
      </c>
      <c r="D1159" s="10">
        <v>1996</v>
      </c>
      <c r="E1159" s="10">
        <v>0</v>
      </c>
      <c r="F1159" s="10" t="s">
        <v>243</v>
      </c>
      <c r="G1159" s="10" t="s">
        <v>244</v>
      </c>
    </row>
    <row r="1160" spans="1:7" x14ac:dyDescent="0.35">
      <c r="A1160" s="100">
        <v>1158</v>
      </c>
      <c r="B1160" s="10" t="s">
        <v>249</v>
      </c>
      <c r="C1160" s="10" t="s">
        <v>247</v>
      </c>
      <c r="D1160" s="10">
        <v>1997</v>
      </c>
      <c r="E1160" s="10">
        <v>0</v>
      </c>
      <c r="F1160" s="10" t="s">
        <v>243</v>
      </c>
      <c r="G1160" s="10" t="s">
        <v>244</v>
      </c>
    </row>
    <row r="1161" spans="1:7" x14ac:dyDescent="0.35">
      <c r="A1161" s="100">
        <v>1159</v>
      </c>
      <c r="B1161" s="10" t="s">
        <v>249</v>
      </c>
      <c r="C1161" s="10" t="s">
        <v>247</v>
      </c>
      <c r="D1161" s="10">
        <v>1998</v>
      </c>
      <c r="E1161" s="10">
        <v>0</v>
      </c>
      <c r="F1161" s="10" t="s">
        <v>243</v>
      </c>
      <c r="G1161" s="10" t="s">
        <v>244</v>
      </c>
    </row>
    <row r="1162" spans="1:7" x14ac:dyDescent="0.35">
      <c r="A1162" s="100">
        <v>1160</v>
      </c>
      <c r="B1162" s="10" t="s">
        <v>249</v>
      </c>
      <c r="C1162" s="10" t="s">
        <v>247</v>
      </c>
      <c r="D1162" s="10">
        <v>1999</v>
      </c>
      <c r="E1162" s="10">
        <v>0</v>
      </c>
      <c r="F1162" s="10" t="s">
        <v>243</v>
      </c>
      <c r="G1162" s="10" t="s">
        <v>244</v>
      </c>
    </row>
    <row r="1163" spans="1:7" x14ac:dyDescent="0.35">
      <c r="A1163" s="100">
        <v>1161</v>
      </c>
      <c r="B1163" s="10" t="s">
        <v>249</v>
      </c>
      <c r="C1163" s="10" t="s">
        <v>247</v>
      </c>
      <c r="D1163" s="10">
        <v>2000</v>
      </c>
      <c r="E1163" s="10">
        <v>0</v>
      </c>
      <c r="F1163" s="10" t="s">
        <v>243</v>
      </c>
      <c r="G1163" s="10" t="s">
        <v>244</v>
      </c>
    </row>
    <row r="1164" spans="1:7" x14ac:dyDescent="0.35">
      <c r="A1164" s="100">
        <v>1162</v>
      </c>
      <c r="B1164" s="10" t="s">
        <v>249</v>
      </c>
      <c r="C1164" s="10" t="s">
        <v>247</v>
      </c>
      <c r="D1164" s="10">
        <v>2001</v>
      </c>
      <c r="E1164" s="10">
        <v>0</v>
      </c>
      <c r="F1164" s="10" t="s">
        <v>243</v>
      </c>
      <c r="G1164" s="10" t="s">
        <v>244</v>
      </c>
    </row>
    <row r="1165" spans="1:7" x14ac:dyDescent="0.35">
      <c r="A1165" s="100">
        <v>1163</v>
      </c>
      <c r="B1165" s="10" t="s">
        <v>249</v>
      </c>
      <c r="C1165" s="10" t="s">
        <v>247</v>
      </c>
      <c r="D1165" s="10">
        <v>2002</v>
      </c>
      <c r="E1165" s="10">
        <v>0</v>
      </c>
      <c r="F1165" s="10" t="s">
        <v>243</v>
      </c>
      <c r="G1165" s="10" t="s">
        <v>244</v>
      </c>
    </row>
    <row r="1166" spans="1:7" x14ac:dyDescent="0.35">
      <c r="A1166" s="100">
        <v>1164</v>
      </c>
      <c r="B1166" s="10" t="s">
        <v>249</v>
      </c>
      <c r="C1166" s="10" t="s">
        <v>247</v>
      </c>
      <c r="D1166" s="10">
        <v>2003</v>
      </c>
      <c r="E1166" s="10">
        <v>0</v>
      </c>
      <c r="F1166" s="10" t="s">
        <v>243</v>
      </c>
      <c r="G1166" s="10" t="s">
        <v>244</v>
      </c>
    </row>
    <row r="1167" spans="1:7" x14ac:dyDescent="0.35">
      <c r="A1167" s="100">
        <v>1165</v>
      </c>
      <c r="B1167" s="10" t="s">
        <v>249</v>
      </c>
      <c r="C1167" s="10" t="s">
        <v>247</v>
      </c>
      <c r="D1167" s="10">
        <v>2004</v>
      </c>
      <c r="E1167" s="10">
        <v>0</v>
      </c>
      <c r="F1167" s="10" t="s">
        <v>243</v>
      </c>
      <c r="G1167" s="10" t="s">
        <v>244</v>
      </c>
    </row>
    <row r="1168" spans="1:7" x14ac:dyDescent="0.35">
      <c r="A1168" s="100">
        <v>1166</v>
      </c>
      <c r="B1168" s="10" t="s">
        <v>249</v>
      </c>
      <c r="C1168" s="10" t="s">
        <v>247</v>
      </c>
      <c r="D1168" s="10">
        <v>2005</v>
      </c>
      <c r="E1168" s="10">
        <v>0</v>
      </c>
      <c r="F1168" s="10" t="s">
        <v>243</v>
      </c>
      <c r="G1168" s="10" t="s">
        <v>244</v>
      </c>
    </row>
    <row r="1169" spans="1:7" x14ac:dyDescent="0.35">
      <c r="A1169" s="100">
        <v>1167</v>
      </c>
      <c r="B1169" s="10" t="s">
        <v>249</v>
      </c>
      <c r="C1169" s="10" t="s">
        <v>247</v>
      </c>
      <c r="D1169" s="10">
        <v>2006</v>
      </c>
      <c r="E1169" s="10">
        <v>0</v>
      </c>
      <c r="F1169" s="10" t="s">
        <v>243</v>
      </c>
      <c r="G1169" s="10" t="s">
        <v>244</v>
      </c>
    </row>
    <row r="1170" spans="1:7" x14ac:dyDescent="0.35">
      <c r="A1170" s="100">
        <v>1168</v>
      </c>
      <c r="B1170" s="10" t="s">
        <v>249</v>
      </c>
      <c r="C1170" s="10" t="s">
        <v>247</v>
      </c>
      <c r="D1170" s="10">
        <v>2007</v>
      </c>
      <c r="E1170" s="10">
        <v>0</v>
      </c>
      <c r="F1170" s="10" t="s">
        <v>243</v>
      </c>
      <c r="G1170" s="10" t="s">
        <v>244</v>
      </c>
    </row>
    <row r="1171" spans="1:7" x14ac:dyDescent="0.35">
      <c r="A1171" s="100">
        <v>1169</v>
      </c>
      <c r="B1171" s="10" t="s">
        <v>249</v>
      </c>
      <c r="C1171" s="10" t="s">
        <v>247</v>
      </c>
      <c r="D1171" s="10">
        <v>2008</v>
      </c>
      <c r="E1171" s="10">
        <v>0</v>
      </c>
      <c r="F1171" s="10" t="s">
        <v>243</v>
      </c>
      <c r="G1171" s="10" t="s">
        <v>244</v>
      </c>
    </row>
    <row r="1172" spans="1:7" x14ac:dyDescent="0.35">
      <c r="A1172" s="100">
        <v>1170</v>
      </c>
      <c r="B1172" s="10" t="s">
        <v>249</v>
      </c>
      <c r="C1172" s="10" t="s">
        <v>247</v>
      </c>
      <c r="D1172" s="10">
        <v>2009</v>
      </c>
      <c r="E1172" s="10">
        <v>0</v>
      </c>
      <c r="F1172" s="10" t="s">
        <v>243</v>
      </c>
      <c r="G1172" s="10" t="s">
        <v>244</v>
      </c>
    </row>
    <row r="1173" spans="1:7" x14ac:dyDescent="0.35">
      <c r="A1173" s="100">
        <v>1171</v>
      </c>
      <c r="B1173" s="10" t="s">
        <v>249</v>
      </c>
      <c r="C1173" s="10" t="s">
        <v>247</v>
      </c>
      <c r="D1173" s="10">
        <v>2010</v>
      </c>
      <c r="E1173" s="10">
        <v>0</v>
      </c>
      <c r="F1173" s="10" t="s">
        <v>243</v>
      </c>
      <c r="G1173" s="10" t="s">
        <v>244</v>
      </c>
    </row>
    <row r="1174" spans="1:7" x14ac:dyDescent="0.35">
      <c r="A1174" s="100">
        <v>1172</v>
      </c>
      <c r="B1174" s="10" t="s">
        <v>249</v>
      </c>
      <c r="C1174" s="10" t="s">
        <v>247</v>
      </c>
      <c r="D1174" s="10">
        <v>2011</v>
      </c>
      <c r="E1174" s="10">
        <v>0</v>
      </c>
      <c r="F1174" s="10" t="s">
        <v>243</v>
      </c>
      <c r="G1174" s="10" t="s">
        <v>244</v>
      </c>
    </row>
    <row r="1175" spans="1:7" x14ac:dyDescent="0.35">
      <c r="A1175" s="100">
        <v>1173</v>
      </c>
      <c r="B1175" s="10" t="s">
        <v>249</v>
      </c>
      <c r="C1175" s="10" t="s">
        <v>247</v>
      </c>
      <c r="D1175" s="10">
        <v>2012</v>
      </c>
      <c r="E1175" s="10">
        <v>0</v>
      </c>
      <c r="F1175" s="10" t="s">
        <v>243</v>
      </c>
      <c r="G1175" s="10" t="s">
        <v>244</v>
      </c>
    </row>
    <row r="1176" spans="1:7" x14ac:dyDescent="0.35">
      <c r="A1176" s="100">
        <v>1174</v>
      </c>
      <c r="B1176" s="10" t="s">
        <v>249</v>
      </c>
      <c r="C1176" s="10" t="s">
        <v>247</v>
      </c>
      <c r="D1176" s="10">
        <v>2013</v>
      </c>
      <c r="E1176" s="10">
        <v>0</v>
      </c>
      <c r="F1176" s="10" t="s">
        <v>243</v>
      </c>
      <c r="G1176" s="10" t="s">
        <v>244</v>
      </c>
    </row>
    <row r="1177" spans="1:7" x14ac:dyDescent="0.35">
      <c r="A1177" s="100">
        <v>1175</v>
      </c>
      <c r="B1177" s="10" t="s">
        <v>249</v>
      </c>
      <c r="C1177" s="10" t="s">
        <v>247</v>
      </c>
      <c r="D1177" s="10">
        <v>2014</v>
      </c>
      <c r="E1177" s="10">
        <v>0</v>
      </c>
      <c r="F1177" s="10" t="s">
        <v>243</v>
      </c>
      <c r="G1177" s="10" t="s">
        <v>244</v>
      </c>
    </row>
    <row r="1178" spans="1:7" x14ac:dyDescent="0.35">
      <c r="A1178" s="100">
        <v>1176</v>
      </c>
      <c r="B1178" s="10" t="s">
        <v>249</v>
      </c>
      <c r="C1178" s="10" t="s">
        <v>247</v>
      </c>
      <c r="D1178" s="10">
        <v>2015</v>
      </c>
      <c r="E1178" s="10">
        <v>0</v>
      </c>
      <c r="F1178" s="10" t="s">
        <v>243</v>
      </c>
      <c r="G1178" s="10" t="s">
        <v>244</v>
      </c>
    </row>
    <row r="1179" spans="1:7" x14ac:dyDescent="0.35">
      <c r="A1179" s="100">
        <v>1177</v>
      </c>
      <c r="B1179" s="10" t="s">
        <v>249</v>
      </c>
      <c r="C1179" s="10" t="s">
        <v>247</v>
      </c>
      <c r="D1179" s="10">
        <v>2016</v>
      </c>
      <c r="E1179" s="10">
        <v>0</v>
      </c>
      <c r="F1179" s="10" t="s">
        <v>243</v>
      </c>
      <c r="G1179" s="10" t="s">
        <v>244</v>
      </c>
    </row>
    <row r="1180" spans="1:7" x14ac:dyDescent="0.35">
      <c r="A1180" s="100">
        <v>1178</v>
      </c>
      <c r="B1180" s="10" t="s">
        <v>249</v>
      </c>
      <c r="C1180" s="10" t="s">
        <v>247</v>
      </c>
      <c r="D1180" s="10">
        <v>2017</v>
      </c>
      <c r="E1180" s="10">
        <v>0</v>
      </c>
      <c r="F1180" s="10" t="s">
        <v>243</v>
      </c>
      <c r="G1180" s="10" t="s">
        <v>244</v>
      </c>
    </row>
    <row r="1181" spans="1:7" x14ac:dyDescent="0.35">
      <c r="A1181" s="100">
        <v>1179</v>
      </c>
      <c r="B1181" s="10" t="s">
        <v>249</v>
      </c>
      <c r="C1181" s="10" t="s">
        <v>247</v>
      </c>
      <c r="D1181" s="10">
        <v>2018</v>
      </c>
      <c r="E1181" s="10">
        <v>0</v>
      </c>
      <c r="F1181" s="10" t="s">
        <v>243</v>
      </c>
      <c r="G1181" s="10" t="s">
        <v>244</v>
      </c>
    </row>
    <row r="1182" spans="1:7" x14ac:dyDescent="0.35">
      <c r="A1182" s="100">
        <v>1180</v>
      </c>
      <c r="B1182" s="10" t="s">
        <v>249</v>
      </c>
      <c r="C1182" s="10" t="s">
        <v>247</v>
      </c>
      <c r="D1182" s="10">
        <v>2019</v>
      </c>
      <c r="E1182" s="10">
        <v>5.6843418860808009E-14</v>
      </c>
      <c r="F1182" s="10" t="s">
        <v>243</v>
      </c>
      <c r="G1182" s="10" t="s">
        <v>244</v>
      </c>
    </row>
    <row r="1183" spans="1:7" x14ac:dyDescent="0.35">
      <c r="A1183" s="100">
        <v>1181</v>
      </c>
      <c r="B1183" s="10" t="s">
        <v>249</v>
      </c>
      <c r="C1183" s="10" t="s">
        <v>247</v>
      </c>
      <c r="D1183" s="10">
        <v>2020</v>
      </c>
      <c r="E1183" s="10">
        <v>1.114369501522106E-3</v>
      </c>
      <c r="F1183" s="10" t="s">
        <v>243</v>
      </c>
      <c r="G1183" s="10" t="s">
        <v>244</v>
      </c>
    </row>
    <row r="1184" spans="1:7" x14ac:dyDescent="0.35">
      <c r="A1184" s="100">
        <v>1182</v>
      </c>
      <c r="B1184" s="10" t="s">
        <v>249</v>
      </c>
      <c r="C1184" s="10" t="s">
        <v>247</v>
      </c>
      <c r="D1184" s="10">
        <v>2021</v>
      </c>
      <c r="E1184" s="10">
        <v>2.3695014663189799E-3</v>
      </c>
      <c r="F1184" s="10" t="s">
        <v>243</v>
      </c>
      <c r="G1184" s="10" t="s">
        <v>244</v>
      </c>
    </row>
    <row r="1185" spans="1:7" x14ac:dyDescent="0.35">
      <c r="A1185" s="100">
        <v>1183</v>
      </c>
      <c r="B1185" s="10" t="s">
        <v>249</v>
      </c>
      <c r="C1185" s="10" t="s">
        <v>247</v>
      </c>
      <c r="D1185" s="10">
        <v>2022</v>
      </c>
      <c r="E1185" s="10">
        <v>3.7653958944474648E-3</v>
      </c>
      <c r="F1185" s="10" t="s">
        <v>243</v>
      </c>
      <c r="G1185" s="10" t="s">
        <v>244</v>
      </c>
    </row>
    <row r="1186" spans="1:7" x14ac:dyDescent="0.35">
      <c r="A1186" s="100">
        <v>1184</v>
      </c>
      <c r="B1186" s="10" t="s">
        <v>249</v>
      </c>
      <c r="C1186" s="10" t="s">
        <v>247</v>
      </c>
      <c r="D1186" s="10">
        <v>2023</v>
      </c>
      <c r="E1186" s="10">
        <v>5.3020527858507194E-3</v>
      </c>
      <c r="F1186" s="10" t="s">
        <v>243</v>
      </c>
      <c r="G1186" s="10" t="s">
        <v>244</v>
      </c>
    </row>
    <row r="1187" spans="1:7" x14ac:dyDescent="0.35">
      <c r="A1187" s="100">
        <v>1185</v>
      </c>
      <c r="B1187" s="10" t="s">
        <v>249</v>
      </c>
      <c r="C1187" s="10" t="s">
        <v>247</v>
      </c>
      <c r="D1187" s="10">
        <v>2024</v>
      </c>
      <c r="E1187" s="10">
        <v>6.9794721406992721E-3</v>
      </c>
      <c r="F1187" s="10" t="s">
        <v>243</v>
      </c>
      <c r="G1187" s="10" t="s">
        <v>244</v>
      </c>
    </row>
    <row r="1188" spans="1:7" x14ac:dyDescent="0.35">
      <c r="A1188" s="100">
        <v>1186</v>
      </c>
      <c r="B1188" s="10" t="s">
        <v>249</v>
      </c>
      <c r="C1188" s="10" t="s">
        <v>247</v>
      </c>
      <c r="D1188" s="10">
        <v>2025</v>
      </c>
      <c r="E1188" s="10">
        <v>8.7976539588794367E-3</v>
      </c>
      <c r="F1188" s="10" t="s">
        <v>243</v>
      </c>
      <c r="G1188" s="10" t="s">
        <v>244</v>
      </c>
    </row>
    <row r="1189" spans="1:7" x14ac:dyDescent="0.35">
      <c r="A1189" s="100">
        <v>1187</v>
      </c>
      <c r="B1189" s="10" t="s">
        <v>249</v>
      </c>
      <c r="C1189" s="10" t="s">
        <v>247</v>
      </c>
      <c r="D1189" s="10">
        <v>2026</v>
      </c>
      <c r="E1189" s="10">
        <v>1.075659824039121E-2</v>
      </c>
      <c r="F1189" s="10" t="s">
        <v>243</v>
      </c>
      <c r="G1189" s="10" t="s">
        <v>244</v>
      </c>
    </row>
    <row r="1190" spans="1:7" x14ac:dyDescent="0.35">
      <c r="A1190" s="100">
        <v>1188</v>
      </c>
      <c r="B1190" s="10" t="s">
        <v>249</v>
      </c>
      <c r="C1190" s="10" t="s">
        <v>247</v>
      </c>
      <c r="D1190" s="10">
        <v>2027</v>
      </c>
      <c r="E1190" s="10">
        <v>1.2856304985234599E-2</v>
      </c>
      <c r="F1190" s="10" t="s">
        <v>243</v>
      </c>
      <c r="G1190" s="10" t="s">
        <v>244</v>
      </c>
    </row>
    <row r="1191" spans="1:7" x14ac:dyDescent="0.35">
      <c r="A1191" s="100">
        <v>1189</v>
      </c>
      <c r="B1191" s="10" t="s">
        <v>249</v>
      </c>
      <c r="C1191" s="10" t="s">
        <v>247</v>
      </c>
      <c r="D1191" s="10">
        <v>2028</v>
      </c>
      <c r="E1191" s="10">
        <v>1.5096774193466439E-2</v>
      </c>
      <c r="F1191" s="10" t="s">
        <v>243</v>
      </c>
      <c r="G1191" s="10" t="s">
        <v>244</v>
      </c>
    </row>
    <row r="1192" spans="1:7" x14ac:dyDescent="0.35">
      <c r="A1192" s="100">
        <v>1190</v>
      </c>
      <c r="B1192" s="10" t="s">
        <v>249</v>
      </c>
      <c r="C1192" s="10" t="s">
        <v>247</v>
      </c>
      <c r="D1192" s="10">
        <v>2029</v>
      </c>
      <c r="E1192" s="10">
        <v>1.747800586497306E-2</v>
      </c>
      <c r="F1192" s="10" t="s">
        <v>243</v>
      </c>
      <c r="G1192" s="10" t="s">
        <v>244</v>
      </c>
    </row>
    <row r="1193" spans="1:7" x14ac:dyDescent="0.35">
      <c r="A1193" s="100">
        <v>1191</v>
      </c>
      <c r="B1193" s="10" t="s">
        <v>249</v>
      </c>
      <c r="C1193" s="10" t="s">
        <v>247</v>
      </c>
      <c r="D1193" s="10">
        <v>2030</v>
      </c>
      <c r="E1193" s="10">
        <v>1.999999999986812E-2</v>
      </c>
      <c r="F1193" s="10" t="s">
        <v>243</v>
      </c>
      <c r="G1193" s="10" t="s">
        <v>244</v>
      </c>
    </row>
    <row r="1194" spans="1:7" x14ac:dyDescent="0.35">
      <c r="A1194" s="100">
        <v>1192</v>
      </c>
      <c r="B1194" s="10" t="s">
        <v>249</v>
      </c>
      <c r="C1194" s="10" t="s">
        <v>247</v>
      </c>
      <c r="D1194" s="10">
        <v>2031</v>
      </c>
      <c r="E1194" s="10">
        <v>2.2662756598094799E-2</v>
      </c>
      <c r="F1194" s="10" t="s">
        <v>243</v>
      </c>
      <c r="G1194" s="10" t="s">
        <v>244</v>
      </c>
    </row>
    <row r="1195" spans="1:7" x14ac:dyDescent="0.35">
      <c r="A1195" s="100">
        <v>1193</v>
      </c>
      <c r="B1195" s="10" t="s">
        <v>249</v>
      </c>
      <c r="C1195" s="10" t="s">
        <v>247</v>
      </c>
      <c r="D1195" s="10">
        <v>2032</v>
      </c>
      <c r="E1195" s="10">
        <v>2.5466275659653089E-2</v>
      </c>
      <c r="F1195" s="10" t="s">
        <v>243</v>
      </c>
      <c r="G1195" s="10" t="s">
        <v>244</v>
      </c>
    </row>
    <row r="1196" spans="1:7" x14ac:dyDescent="0.35">
      <c r="A1196" s="100">
        <v>1194</v>
      </c>
      <c r="B1196" s="10" t="s">
        <v>249</v>
      </c>
      <c r="C1196" s="10" t="s">
        <v>247</v>
      </c>
      <c r="D1196" s="10">
        <v>2033</v>
      </c>
      <c r="E1196" s="10">
        <v>2.8410557184599838E-2</v>
      </c>
      <c r="F1196" s="10" t="s">
        <v>243</v>
      </c>
      <c r="G1196" s="10" t="s">
        <v>244</v>
      </c>
    </row>
    <row r="1197" spans="1:7" x14ac:dyDescent="0.35">
      <c r="A1197" s="100">
        <v>1195</v>
      </c>
      <c r="B1197" s="10" t="s">
        <v>249</v>
      </c>
      <c r="C1197" s="10" t="s">
        <v>247</v>
      </c>
      <c r="D1197" s="10">
        <v>2034</v>
      </c>
      <c r="E1197" s="10">
        <v>3.1495601172878203E-2</v>
      </c>
      <c r="F1197" s="10" t="s">
        <v>243</v>
      </c>
      <c r="G1197" s="10" t="s">
        <v>244</v>
      </c>
    </row>
    <row r="1198" spans="1:7" x14ac:dyDescent="0.35">
      <c r="A1198" s="100">
        <v>1196</v>
      </c>
      <c r="B1198" s="10" t="s">
        <v>249</v>
      </c>
      <c r="C1198" s="10" t="s">
        <v>247</v>
      </c>
      <c r="D1198" s="10">
        <v>2035</v>
      </c>
      <c r="E1198" s="10">
        <v>3.4721407624431322E-2</v>
      </c>
      <c r="F1198" s="10" t="s">
        <v>243</v>
      </c>
      <c r="G1198" s="10" t="s">
        <v>244</v>
      </c>
    </row>
    <row r="1199" spans="1:7" x14ac:dyDescent="0.35">
      <c r="A1199" s="100">
        <v>1197</v>
      </c>
      <c r="B1199" s="10" t="s">
        <v>249</v>
      </c>
      <c r="C1199" s="10" t="s">
        <v>247</v>
      </c>
      <c r="D1199" s="10">
        <v>2036</v>
      </c>
      <c r="E1199" s="10">
        <v>3.8087976539429753E-2</v>
      </c>
      <c r="F1199" s="10" t="s">
        <v>243</v>
      </c>
      <c r="G1199" s="10" t="s">
        <v>244</v>
      </c>
    </row>
    <row r="1200" spans="1:7" x14ac:dyDescent="0.35">
      <c r="A1200" s="100">
        <v>1198</v>
      </c>
      <c r="B1200" s="10" t="s">
        <v>249</v>
      </c>
      <c r="C1200" s="10" t="s">
        <v>247</v>
      </c>
      <c r="D1200" s="10">
        <v>2037</v>
      </c>
      <c r="E1200" s="10">
        <v>4.1595307917702939E-2</v>
      </c>
      <c r="F1200" s="10" t="s">
        <v>243</v>
      </c>
      <c r="G1200" s="10" t="s">
        <v>244</v>
      </c>
    </row>
    <row r="1201" spans="1:7" x14ac:dyDescent="0.35">
      <c r="A1201" s="100">
        <v>1199</v>
      </c>
      <c r="B1201" s="10" t="s">
        <v>249</v>
      </c>
      <c r="C1201" s="10" t="s">
        <v>247</v>
      </c>
      <c r="D1201" s="10">
        <v>2038</v>
      </c>
      <c r="E1201" s="10">
        <v>4.5243401759364588E-2</v>
      </c>
      <c r="F1201" s="10" t="s">
        <v>243</v>
      </c>
      <c r="G1201" s="10" t="s">
        <v>244</v>
      </c>
    </row>
    <row r="1202" spans="1:7" x14ac:dyDescent="0.35">
      <c r="A1202" s="100">
        <v>1200</v>
      </c>
      <c r="B1202" s="10" t="s">
        <v>249</v>
      </c>
      <c r="C1202" s="10" t="s">
        <v>247</v>
      </c>
      <c r="D1202" s="10">
        <v>2039</v>
      </c>
      <c r="E1202" s="10">
        <v>4.9032258064357848E-2</v>
      </c>
      <c r="F1202" s="10" t="s">
        <v>243</v>
      </c>
      <c r="G1202" s="10" t="s">
        <v>244</v>
      </c>
    </row>
    <row r="1203" spans="1:7" x14ac:dyDescent="0.35">
      <c r="A1203" s="100">
        <v>1201</v>
      </c>
      <c r="B1203" s="10" t="s">
        <v>249</v>
      </c>
      <c r="C1203" s="10" t="s">
        <v>247</v>
      </c>
      <c r="D1203" s="10">
        <v>2040</v>
      </c>
      <c r="E1203" s="10">
        <v>5.2961876832682719E-2</v>
      </c>
      <c r="F1203" s="10" t="s">
        <v>243</v>
      </c>
      <c r="G1203" s="10" t="s">
        <v>244</v>
      </c>
    </row>
    <row r="1204" spans="1:7" x14ac:dyDescent="0.35">
      <c r="A1204" s="100">
        <v>1202</v>
      </c>
      <c r="B1204" s="10" t="s">
        <v>249</v>
      </c>
      <c r="C1204" s="10" t="s">
        <v>247</v>
      </c>
      <c r="D1204" s="10">
        <v>2041</v>
      </c>
      <c r="E1204" s="10">
        <v>5.7032258064339203E-2</v>
      </c>
      <c r="F1204" s="10" t="s">
        <v>243</v>
      </c>
      <c r="G1204" s="10" t="s">
        <v>244</v>
      </c>
    </row>
    <row r="1205" spans="1:7" x14ac:dyDescent="0.35">
      <c r="A1205" s="100">
        <v>1203</v>
      </c>
      <c r="B1205" s="10" t="s">
        <v>249</v>
      </c>
      <c r="C1205" s="10" t="s">
        <v>247</v>
      </c>
      <c r="D1205" s="10">
        <v>2042</v>
      </c>
      <c r="E1205" s="10">
        <v>6.1243401759327298E-2</v>
      </c>
      <c r="F1205" s="10" t="s">
        <v>243</v>
      </c>
      <c r="G1205" s="10" t="s">
        <v>244</v>
      </c>
    </row>
    <row r="1206" spans="1:7" x14ac:dyDescent="0.35">
      <c r="A1206" s="100">
        <v>1204</v>
      </c>
      <c r="B1206" s="10" t="s">
        <v>249</v>
      </c>
      <c r="C1206" s="10" t="s">
        <v>247</v>
      </c>
      <c r="D1206" s="10">
        <v>2043</v>
      </c>
      <c r="E1206" s="10">
        <v>6.5595307917760692E-2</v>
      </c>
      <c r="F1206" s="10" t="s">
        <v>243</v>
      </c>
      <c r="G1206" s="10" t="s">
        <v>244</v>
      </c>
    </row>
    <row r="1207" spans="1:7" x14ac:dyDescent="0.35">
      <c r="A1207" s="100">
        <v>1205</v>
      </c>
      <c r="B1207" s="10" t="s">
        <v>249</v>
      </c>
      <c r="C1207" s="10" t="s">
        <v>247</v>
      </c>
      <c r="D1207" s="10">
        <v>2044</v>
      </c>
      <c r="E1207" s="10">
        <v>7.0087976539412011E-2</v>
      </c>
      <c r="F1207" s="10" t="s">
        <v>243</v>
      </c>
      <c r="G1207" s="10" t="s">
        <v>244</v>
      </c>
    </row>
    <row r="1208" spans="1:7" x14ac:dyDescent="0.35">
      <c r="A1208" s="100">
        <v>1206</v>
      </c>
      <c r="B1208" s="10" t="s">
        <v>249</v>
      </c>
      <c r="C1208" s="10" t="s">
        <v>247</v>
      </c>
      <c r="D1208" s="10">
        <v>2045</v>
      </c>
      <c r="E1208" s="10">
        <v>7.4721407624508629E-2</v>
      </c>
      <c r="F1208" s="10" t="s">
        <v>243</v>
      </c>
      <c r="G1208" s="10" t="s">
        <v>244</v>
      </c>
    </row>
    <row r="1209" spans="1:7" x14ac:dyDescent="0.35">
      <c r="A1209" s="100">
        <v>1207</v>
      </c>
      <c r="B1209" s="10" t="s">
        <v>249</v>
      </c>
      <c r="C1209" s="10" t="s">
        <v>247</v>
      </c>
      <c r="D1209" s="10">
        <v>2046</v>
      </c>
      <c r="E1209" s="10">
        <v>7.9495601172880015E-2</v>
      </c>
      <c r="F1209" s="10" t="s">
        <v>243</v>
      </c>
      <c r="G1209" s="10" t="s">
        <v>244</v>
      </c>
    </row>
    <row r="1210" spans="1:7" x14ac:dyDescent="0.35">
      <c r="A1210" s="100">
        <v>1208</v>
      </c>
      <c r="B1210" s="10" t="s">
        <v>249</v>
      </c>
      <c r="C1210" s="10" t="s">
        <v>247</v>
      </c>
      <c r="D1210" s="10">
        <v>2047</v>
      </c>
      <c r="E1210" s="10">
        <v>8.4410557184639856E-2</v>
      </c>
      <c r="F1210" s="10" t="s">
        <v>243</v>
      </c>
      <c r="G1210" s="10" t="s">
        <v>244</v>
      </c>
    </row>
    <row r="1211" spans="1:7" x14ac:dyDescent="0.35">
      <c r="A1211" s="100">
        <v>1209</v>
      </c>
      <c r="B1211" s="10" t="s">
        <v>249</v>
      </c>
      <c r="C1211" s="10" t="s">
        <v>247</v>
      </c>
      <c r="D1211" s="10">
        <v>2048</v>
      </c>
      <c r="E1211" s="10">
        <v>8.9466275659731309E-2</v>
      </c>
      <c r="F1211" s="10" t="s">
        <v>243</v>
      </c>
      <c r="G1211" s="10" t="s">
        <v>244</v>
      </c>
    </row>
    <row r="1212" spans="1:7" x14ac:dyDescent="0.35">
      <c r="A1212" s="100">
        <v>1210</v>
      </c>
      <c r="B1212" s="10" t="s">
        <v>249</v>
      </c>
      <c r="C1212" s="10" t="s">
        <v>247</v>
      </c>
      <c r="D1212" s="10">
        <v>2049</v>
      </c>
      <c r="E1212" s="10">
        <v>9.4662756598154374E-2</v>
      </c>
      <c r="F1212" s="10" t="s">
        <v>243</v>
      </c>
      <c r="G1212" s="10" t="s">
        <v>244</v>
      </c>
    </row>
    <row r="1213" spans="1:7" x14ac:dyDescent="0.35">
      <c r="A1213" s="100">
        <v>1211</v>
      </c>
      <c r="B1213" s="10" t="s">
        <v>249</v>
      </c>
      <c r="C1213" s="10" t="s">
        <v>247</v>
      </c>
      <c r="D1213" s="10">
        <v>2050</v>
      </c>
      <c r="E1213" s="10">
        <v>9.9999999999965894E-2</v>
      </c>
      <c r="F1213" s="10" t="s">
        <v>243</v>
      </c>
      <c r="G1213" s="10" t="s">
        <v>244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6CCB9-2096-47B4-9CBE-5E12A5CCBB79}">
  <sheetPr>
    <tabColor theme="4" tint="0.79998168889431442"/>
  </sheetPr>
  <dimension ref="A1:E304"/>
  <sheetViews>
    <sheetView workbookViewId="0">
      <selection sqref="A1:XFD1048576"/>
    </sheetView>
  </sheetViews>
  <sheetFormatPr baseColWidth="10" defaultRowHeight="14.5" x14ac:dyDescent="0.35"/>
  <cols>
    <col min="1" max="1" width="10.90625" style="2"/>
    <col min="2" max="2" width="13.36328125" bestFit="1" customWidth="1"/>
    <col min="3" max="3" width="4.90625" bestFit="1" customWidth="1"/>
    <col min="5" max="5" width="31.90625" bestFit="1" customWidth="1"/>
  </cols>
  <sheetData>
    <row r="1" spans="1:5" s="2" customFormat="1" x14ac:dyDescent="0.35">
      <c r="A1" s="86"/>
      <c r="B1" s="80" t="s">
        <v>250</v>
      </c>
      <c r="C1" s="80" t="s">
        <v>251</v>
      </c>
      <c r="D1" s="80" t="s">
        <v>238</v>
      </c>
      <c r="E1" s="80" t="s">
        <v>4</v>
      </c>
    </row>
    <row r="2" spans="1:5" x14ac:dyDescent="0.35">
      <c r="A2" s="86">
        <v>505</v>
      </c>
      <c r="B2" s="10" t="s">
        <v>252</v>
      </c>
      <c r="C2" s="10">
        <v>1950</v>
      </c>
      <c r="D2" s="10">
        <v>401135127.83424318</v>
      </c>
      <c r="E2" s="10" t="s">
        <v>243</v>
      </c>
    </row>
    <row r="3" spans="1:5" x14ac:dyDescent="0.35">
      <c r="A3" s="86">
        <v>506</v>
      </c>
      <c r="B3" s="10" t="s">
        <v>252</v>
      </c>
      <c r="C3" s="10">
        <v>1951</v>
      </c>
      <c r="D3" s="10">
        <v>405839449.27503759</v>
      </c>
      <c r="E3" s="10" t="s">
        <v>243</v>
      </c>
    </row>
    <row r="4" spans="1:5" x14ac:dyDescent="0.35">
      <c r="A4" s="86">
        <v>507</v>
      </c>
      <c r="B4" s="10" t="s">
        <v>252</v>
      </c>
      <c r="C4" s="10">
        <v>1952</v>
      </c>
      <c r="D4" s="10">
        <v>410948779.62046689</v>
      </c>
      <c r="E4" s="10" t="s">
        <v>243</v>
      </c>
    </row>
    <row r="5" spans="1:5" x14ac:dyDescent="0.35">
      <c r="A5" s="86">
        <v>508</v>
      </c>
      <c r="B5" s="10" t="s">
        <v>252</v>
      </c>
      <c r="C5" s="10">
        <v>1953</v>
      </c>
      <c r="D5" s="10">
        <v>416358180.6311366</v>
      </c>
      <c r="E5" s="10" t="s">
        <v>243</v>
      </c>
    </row>
    <row r="6" spans="1:5" x14ac:dyDescent="0.35">
      <c r="A6" s="86">
        <v>509</v>
      </c>
      <c r="B6" s="10" t="s">
        <v>252</v>
      </c>
      <c r="C6" s="10">
        <v>1954</v>
      </c>
      <c r="D6" s="10">
        <v>421977784.08686441</v>
      </c>
      <c r="E6" s="10" t="s">
        <v>243</v>
      </c>
    </row>
    <row r="7" spans="1:5" x14ac:dyDescent="0.35">
      <c r="A7" s="86">
        <v>510</v>
      </c>
      <c r="B7" s="10" t="s">
        <v>252</v>
      </c>
      <c r="C7" s="10">
        <v>1955</v>
      </c>
      <c r="D7" s="10">
        <v>427732790.02429742</v>
      </c>
      <c r="E7" s="10" t="s">
        <v>243</v>
      </c>
    </row>
    <row r="8" spans="1:5" x14ac:dyDescent="0.35">
      <c r="A8" s="86">
        <v>511</v>
      </c>
      <c r="B8" s="10" t="s">
        <v>252</v>
      </c>
      <c r="C8" s="10">
        <v>1956</v>
      </c>
      <c r="D8" s="10">
        <v>433564047.80537421</v>
      </c>
      <c r="E8" s="10" t="s">
        <v>243</v>
      </c>
    </row>
    <row r="9" spans="1:5" x14ac:dyDescent="0.35">
      <c r="A9" s="86">
        <v>512</v>
      </c>
      <c r="B9" s="10" t="s">
        <v>252</v>
      </c>
      <c r="C9" s="10">
        <v>1957</v>
      </c>
      <c r="D9" s="10">
        <v>439427323.82451469</v>
      </c>
      <c r="E9" s="10" t="s">
        <v>243</v>
      </c>
    </row>
    <row r="10" spans="1:5" x14ac:dyDescent="0.35">
      <c r="A10" s="86">
        <v>513</v>
      </c>
      <c r="B10" s="10" t="s">
        <v>252</v>
      </c>
      <c r="C10" s="10">
        <v>1958</v>
      </c>
      <c r="D10" s="10">
        <v>445292087.32707018</v>
      </c>
      <c r="E10" s="10" t="s">
        <v>243</v>
      </c>
    </row>
    <row r="11" spans="1:5" x14ac:dyDescent="0.35">
      <c r="A11" s="86">
        <v>514</v>
      </c>
      <c r="B11" s="10" t="s">
        <v>252</v>
      </c>
      <c r="C11" s="10">
        <v>1959</v>
      </c>
      <c r="D11" s="10">
        <v>451138971.39508849</v>
      </c>
      <c r="E11" s="10" t="s">
        <v>243</v>
      </c>
    </row>
    <row r="12" spans="1:5" x14ac:dyDescent="0.35">
      <c r="A12" s="86">
        <v>515</v>
      </c>
      <c r="B12" s="10" t="s">
        <v>252</v>
      </c>
      <c r="C12" s="10">
        <v>1960</v>
      </c>
      <c r="D12" s="10">
        <v>456952683.21759218</v>
      </c>
      <c r="E12" s="10" t="s">
        <v>243</v>
      </c>
    </row>
    <row r="13" spans="1:5" x14ac:dyDescent="0.35">
      <c r="A13" s="86">
        <v>516</v>
      </c>
      <c r="B13" s="10" t="s">
        <v>252</v>
      </c>
      <c r="C13" s="10">
        <v>1961</v>
      </c>
      <c r="D13" s="10">
        <v>462714482.26548302</v>
      </c>
      <c r="E13" s="10" t="s">
        <v>243</v>
      </c>
    </row>
    <row r="14" spans="1:5" x14ac:dyDescent="0.35">
      <c r="A14" s="86">
        <v>517</v>
      </c>
      <c r="B14" s="10" t="s">
        <v>252</v>
      </c>
      <c r="C14" s="10">
        <v>1962</v>
      </c>
      <c r="D14" s="10">
        <v>468395492.40114152</v>
      </c>
      <c r="E14" s="10" t="s">
        <v>243</v>
      </c>
    </row>
    <row r="15" spans="1:5" x14ac:dyDescent="0.35">
      <c r="A15" s="86">
        <v>518</v>
      </c>
      <c r="B15" s="10" t="s">
        <v>252</v>
      </c>
      <c r="C15" s="10">
        <v>1963</v>
      </c>
      <c r="D15" s="10">
        <v>473953833.1752516</v>
      </c>
      <c r="E15" s="10" t="s">
        <v>243</v>
      </c>
    </row>
    <row r="16" spans="1:5" x14ac:dyDescent="0.35">
      <c r="A16" s="86">
        <v>519</v>
      </c>
      <c r="B16" s="10" t="s">
        <v>252</v>
      </c>
      <c r="C16" s="10">
        <v>1964</v>
      </c>
      <c r="D16" s="10">
        <v>479342572.53109592</v>
      </c>
      <c r="E16" s="10" t="s">
        <v>243</v>
      </c>
    </row>
    <row r="17" spans="1:5" x14ac:dyDescent="0.35">
      <c r="A17" s="86">
        <v>520</v>
      </c>
      <c r="B17" s="10" t="s">
        <v>252</v>
      </c>
      <c r="C17" s="10">
        <v>1965</v>
      </c>
      <c r="D17" s="10">
        <v>484533151.51708049</v>
      </c>
      <c r="E17" s="10" t="s">
        <v>243</v>
      </c>
    </row>
    <row r="18" spans="1:5" x14ac:dyDescent="0.35">
      <c r="A18" s="86">
        <v>521</v>
      </c>
      <c r="B18" s="10" t="s">
        <v>252</v>
      </c>
      <c r="C18" s="10">
        <v>1966</v>
      </c>
      <c r="D18" s="10">
        <v>489500336.02810383</v>
      </c>
      <c r="E18" s="10" t="s">
        <v>243</v>
      </c>
    </row>
    <row r="19" spans="1:5" x14ac:dyDescent="0.35">
      <c r="A19" s="86">
        <v>522</v>
      </c>
      <c r="B19" s="10" t="s">
        <v>252</v>
      </c>
      <c r="C19" s="10">
        <v>1967</v>
      </c>
      <c r="D19" s="10">
        <v>494262819.49332172</v>
      </c>
      <c r="E19" s="10" t="s">
        <v>243</v>
      </c>
    </row>
    <row r="20" spans="1:5" x14ac:dyDescent="0.35">
      <c r="A20" s="86">
        <v>523</v>
      </c>
      <c r="B20" s="10" t="s">
        <v>252</v>
      </c>
      <c r="C20" s="10">
        <v>1968</v>
      </c>
      <c r="D20" s="10">
        <v>498891586.74328399</v>
      </c>
      <c r="E20" s="10" t="s">
        <v>243</v>
      </c>
    </row>
    <row r="21" spans="1:5" x14ac:dyDescent="0.35">
      <c r="A21" s="86">
        <v>524</v>
      </c>
      <c r="B21" s="10" t="s">
        <v>252</v>
      </c>
      <c r="C21" s="10">
        <v>1969</v>
      </c>
      <c r="D21" s="10">
        <v>503486688.53458762</v>
      </c>
      <c r="E21" s="10" t="s">
        <v>243</v>
      </c>
    </row>
    <row r="22" spans="1:5" x14ac:dyDescent="0.35">
      <c r="A22" s="86">
        <v>525</v>
      </c>
      <c r="B22" s="10" t="s">
        <v>252</v>
      </c>
      <c r="C22" s="10">
        <v>1970</v>
      </c>
      <c r="D22" s="10">
        <v>508121194.11253488</v>
      </c>
      <c r="E22" s="10" t="s">
        <v>243</v>
      </c>
    </row>
    <row r="23" spans="1:5" x14ac:dyDescent="0.35">
      <c r="A23" s="86">
        <v>526</v>
      </c>
      <c r="B23" s="10" t="s">
        <v>252</v>
      </c>
      <c r="C23" s="10">
        <v>1971</v>
      </c>
      <c r="D23" s="10">
        <v>512825015.39758152</v>
      </c>
      <c r="E23" s="10" t="s">
        <v>243</v>
      </c>
    </row>
    <row r="24" spans="1:5" x14ac:dyDescent="0.35">
      <c r="A24" s="86">
        <v>527</v>
      </c>
      <c r="B24" s="10" t="s">
        <v>252</v>
      </c>
      <c r="C24" s="10">
        <v>1972</v>
      </c>
      <c r="D24" s="10">
        <v>517582223.43653947</v>
      </c>
      <c r="E24" s="10" t="s">
        <v>243</v>
      </c>
    </row>
    <row r="25" spans="1:5" x14ac:dyDescent="0.35">
      <c r="A25" s="86">
        <v>528</v>
      </c>
      <c r="B25" s="10" t="s">
        <v>252</v>
      </c>
      <c r="C25" s="10">
        <v>1973</v>
      </c>
      <c r="D25" s="10">
        <v>522364744.20501012</v>
      </c>
      <c r="E25" s="10" t="s">
        <v>243</v>
      </c>
    </row>
    <row r="26" spans="1:5" x14ac:dyDescent="0.35">
      <c r="A26" s="86">
        <v>529</v>
      </c>
      <c r="B26" s="10" t="s">
        <v>252</v>
      </c>
      <c r="C26" s="10">
        <v>1974</v>
      </c>
      <c r="D26" s="10">
        <v>527125169.63094831</v>
      </c>
      <c r="E26" s="10" t="s">
        <v>243</v>
      </c>
    </row>
    <row r="27" spans="1:5" x14ac:dyDescent="0.35">
      <c r="A27" s="86">
        <v>530</v>
      </c>
      <c r="B27" s="10" t="s">
        <v>252</v>
      </c>
      <c r="C27" s="10">
        <v>1975</v>
      </c>
      <c r="D27" s="10">
        <v>531832505.18823493</v>
      </c>
      <c r="E27" s="10" t="s">
        <v>243</v>
      </c>
    </row>
    <row r="28" spans="1:5" x14ac:dyDescent="0.35">
      <c r="A28" s="86">
        <v>531</v>
      </c>
      <c r="B28" s="10" t="s">
        <v>252</v>
      </c>
      <c r="C28" s="10">
        <v>1976</v>
      </c>
      <c r="D28" s="10">
        <v>536487581.0833872</v>
      </c>
      <c r="E28" s="10" t="s">
        <v>243</v>
      </c>
    </row>
    <row r="29" spans="1:5" x14ac:dyDescent="0.35">
      <c r="A29" s="86">
        <v>532</v>
      </c>
      <c r="B29" s="10" t="s">
        <v>252</v>
      </c>
      <c r="C29" s="10">
        <v>1977</v>
      </c>
      <c r="D29" s="10">
        <v>541116185.36876678</v>
      </c>
      <c r="E29" s="10" t="s">
        <v>243</v>
      </c>
    </row>
    <row r="30" spans="1:5" x14ac:dyDescent="0.35">
      <c r="A30" s="86">
        <v>533</v>
      </c>
      <c r="B30" s="10" t="s">
        <v>252</v>
      </c>
      <c r="C30" s="10">
        <v>1978</v>
      </c>
      <c r="D30" s="10">
        <v>545743010.36295211</v>
      </c>
      <c r="E30" s="10" t="s">
        <v>243</v>
      </c>
    </row>
    <row r="31" spans="1:5" x14ac:dyDescent="0.35">
      <c r="A31" s="86">
        <v>534</v>
      </c>
      <c r="B31" s="10" t="s">
        <v>252</v>
      </c>
      <c r="C31" s="10">
        <v>1979</v>
      </c>
      <c r="D31" s="10">
        <v>550402092.34962773</v>
      </c>
      <c r="E31" s="10" t="s">
        <v>243</v>
      </c>
    </row>
    <row r="32" spans="1:5" x14ac:dyDescent="0.35">
      <c r="A32" s="86">
        <v>535</v>
      </c>
      <c r="B32" s="10" t="s">
        <v>252</v>
      </c>
      <c r="C32" s="10">
        <v>1980</v>
      </c>
      <c r="D32" s="10">
        <v>555123383.44475853</v>
      </c>
      <c r="E32" s="10" t="s">
        <v>243</v>
      </c>
    </row>
    <row r="33" spans="1:5" x14ac:dyDescent="0.35">
      <c r="A33" s="86">
        <v>536</v>
      </c>
      <c r="B33" s="10" t="s">
        <v>252</v>
      </c>
      <c r="C33" s="10">
        <v>1981</v>
      </c>
      <c r="D33" s="10">
        <v>559916791.19327211</v>
      </c>
      <c r="E33" s="10" t="s">
        <v>243</v>
      </c>
    </row>
    <row r="34" spans="1:5" x14ac:dyDescent="0.35">
      <c r="A34" s="86">
        <v>537</v>
      </c>
      <c r="B34" s="10" t="s">
        <v>252</v>
      </c>
      <c r="C34" s="10">
        <v>1982</v>
      </c>
      <c r="D34" s="10">
        <v>564792289.02714241</v>
      </c>
      <c r="E34" s="10" t="s">
        <v>243</v>
      </c>
    </row>
    <row r="35" spans="1:5" x14ac:dyDescent="0.35">
      <c r="A35" s="86">
        <v>538</v>
      </c>
      <c r="B35" s="10" t="s">
        <v>252</v>
      </c>
      <c r="C35" s="10">
        <v>1983</v>
      </c>
      <c r="D35" s="10">
        <v>569780214.64475632</v>
      </c>
      <c r="E35" s="10" t="s">
        <v>243</v>
      </c>
    </row>
    <row r="36" spans="1:5" x14ac:dyDescent="0.35">
      <c r="A36" s="86">
        <v>539</v>
      </c>
      <c r="B36" s="10" t="s">
        <v>252</v>
      </c>
      <c r="C36" s="10">
        <v>1984</v>
      </c>
      <c r="D36" s="10">
        <v>574915880.9200381</v>
      </c>
      <c r="E36" s="10" t="s">
        <v>243</v>
      </c>
    </row>
    <row r="37" spans="1:5" x14ac:dyDescent="0.35">
      <c r="A37" s="86">
        <v>540</v>
      </c>
      <c r="B37" s="10" t="s">
        <v>252</v>
      </c>
      <c r="C37" s="10">
        <v>1985</v>
      </c>
      <c r="D37" s="10">
        <v>580226738.64632249</v>
      </c>
      <c r="E37" s="10" t="s">
        <v>243</v>
      </c>
    </row>
    <row r="38" spans="1:5" x14ac:dyDescent="0.35">
      <c r="A38" s="86">
        <v>541</v>
      </c>
      <c r="B38" s="10" t="s">
        <v>252</v>
      </c>
      <c r="C38" s="10">
        <v>1986</v>
      </c>
      <c r="D38" s="10">
        <v>585743617.75022185</v>
      </c>
      <c r="E38" s="10" t="s">
        <v>243</v>
      </c>
    </row>
    <row r="39" spans="1:5" x14ac:dyDescent="0.35">
      <c r="A39" s="86">
        <v>542</v>
      </c>
      <c r="B39" s="10" t="s">
        <v>252</v>
      </c>
      <c r="C39" s="10">
        <v>1987</v>
      </c>
      <c r="D39" s="10">
        <v>591474795.78912425</v>
      </c>
      <c r="E39" s="10" t="s">
        <v>243</v>
      </c>
    </row>
    <row r="40" spans="1:5" x14ac:dyDescent="0.35">
      <c r="A40" s="86">
        <v>543</v>
      </c>
      <c r="B40" s="10" t="s">
        <v>252</v>
      </c>
      <c r="C40" s="10">
        <v>1988</v>
      </c>
      <c r="D40" s="10">
        <v>597399084.0538919</v>
      </c>
      <c r="E40" s="10" t="s">
        <v>243</v>
      </c>
    </row>
    <row r="41" spans="1:5" x14ac:dyDescent="0.35">
      <c r="A41" s="86">
        <v>544</v>
      </c>
      <c r="B41" s="10" t="s">
        <v>252</v>
      </c>
      <c r="C41" s="10">
        <v>1989</v>
      </c>
      <c r="D41" s="10">
        <v>603480950.34734714</v>
      </c>
      <c r="E41" s="10" t="s">
        <v>243</v>
      </c>
    </row>
    <row r="42" spans="1:5" x14ac:dyDescent="0.35">
      <c r="A42" s="86">
        <v>545</v>
      </c>
      <c r="B42" s="10" t="s">
        <v>252</v>
      </c>
      <c r="C42" s="10">
        <v>1990</v>
      </c>
      <c r="D42" s="10">
        <v>609705769.95962441</v>
      </c>
      <c r="E42" s="10" t="s">
        <v>243</v>
      </c>
    </row>
    <row r="43" spans="1:5" x14ac:dyDescent="0.35">
      <c r="A43" s="86">
        <v>546</v>
      </c>
      <c r="B43" s="10" t="s">
        <v>252</v>
      </c>
      <c r="C43" s="10">
        <v>1991</v>
      </c>
      <c r="D43" s="10">
        <v>616085616.67979681</v>
      </c>
      <c r="E43" s="10" t="s">
        <v>243</v>
      </c>
    </row>
    <row r="44" spans="1:5" x14ac:dyDescent="0.35">
      <c r="A44" s="86">
        <v>547</v>
      </c>
      <c r="B44" s="10" t="s">
        <v>252</v>
      </c>
      <c r="C44" s="10">
        <v>1992</v>
      </c>
      <c r="D44" s="10">
        <v>622670699.01469493</v>
      </c>
      <c r="E44" s="10" t="s">
        <v>243</v>
      </c>
    </row>
    <row r="45" spans="1:5" x14ac:dyDescent="0.35">
      <c r="A45" s="86">
        <v>548</v>
      </c>
      <c r="B45" s="10" t="s">
        <v>252</v>
      </c>
      <c r="C45" s="10">
        <v>1993</v>
      </c>
      <c r="D45" s="10">
        <v>629533069.82523561</v>
      </c>
      <c r="E45" s="10" t="s">
        <v>243</v>
      </c>
    </row>
    <row r="46" spans="1:5" x14ac:dyDescent="0.35">
      <c r="A46" s="86">
        <v>549</v>
      </c>
      <c r="B46" s="10" t="s">
        <v>252</v>
      </c>
      <c r="C46" s="10">
        <v>1994</v>
      </c>
      <c r="D46" s="10">
        <v>636766102.78651774</v>
      </c>
      <c r="E46" s="10" t="s">
        <v>243</v>
      </c>
    </row>
    <row r="47" spans="1:5" x14ac:dyDescent="0.35">
      <c r="A47" s="86">
        <v>550</v>
      </c>
      <c r="B47" s="10" t="s">
        <v>252</v>
      </c>
      <c r="C47" s="10">
        <v>1995</v>
      </c>
      <c r="D47" s="10">
        <v>644454787.30010533</v>
      </c>
      <c r="E47" s="10" t="s">
        <v>243</v>
      </c>
    </row>
    <row r="48" spans="1:5" x14ac:dyDescent="0.35">
      <c r="A48" s="86">
        <v>551</v>
      </c>
      <c r="B48" s="10" t="s">
        <v>252</v>
      </c>
      <c r="C48" s="10">
        <v>1996</v>
      </c>
      <c r="D48" s="10">
        <v>652672685.89742839</v>
      </c>
      <c r="E48" s="10" t="s">
        <v>243</v>
      </c>
    </row>
    <row r="49" spans="1:5" x14ac:dyDescent="0.35">
      <c r="A49" s="86">
        <v>552</v>
      </c>
      <c r="B49" s="10" t="s">
        <v>252</v>
      </c>
      <c r="C49" s="10">
        <v>1997</v>
      </c>
      <c r="D49" s="10">
        <v>661472810.87817812</v>
      </c>
      <c r="E49" s="10" t="s">
        <v>243</v>
      </c>
    </row>
    <row r="50" spans="1:5" x14ac:dyDescent="0.35">
      <c r="A50" s="86">
        <v>553</v>
      </c>
      <c r="B50" s="10" t="s">
        <v>252</v>
      </c>
      <c r="C50" s="10">
        <v>1998</v>
      </c>
      <c r="D50" s="10">
        <v>670904651.19544733</v>
      </c>
      <c r="E50" s="10" t="s">
        <v>243</v>
      </c>
    </row>
    <row r="51" spans="1:5" x14ac:dyDescent="0.35">
      <c r="A51" s="86">
        <v>554</v>
      </c>
      <c r="B51" s="10" t="s">
        <v>252</v>
      </c>
      <c r="C51" s="10">
        <v>1999</v>
      </c>
      <c r="D51" s="10">
        <v>681018425.73661661</v>
      </c>
      <c r="E51" s="10" t="s">
        <v>243</v>
      </c>
    </row>
    <row r="52" spans="1:5" x14ac:dyDescent="0.35">
      <c r="A52" s="86">
        <v>555</v>
      </c>
      <c r="B52" s="10" t="s">
        <v>252</v>
      </c>
      <c r="C52" s="10">
        <v>2000</v>
      </c>
      <c r="D52" s="10">
        <v>691893919.34900415</v>
      </c>
      <c r="E52" s="10" t="s">
        <v>243</v>
      </c>
    </row>
    <row r="53" spans="1:5" x14ac:dyDescent="0.35">
      <c r="A53" s="86">
        <v>556</v>
      </c>
      <c r="B53" s="10" t="s">
        <v>252</v>
      </c>
      <c r="C53" s="10">
        <v>2001</v>
      </c>
      <c r="D53" s="10">
        <v>703628483.22444284</v>
      </c>
      <c r="E53" s="10" t="s">
        <v>243</v>
      </c>
    </row>
    <row r="54" spans="1:5" x14ac:dyDescent="0.35">
      <c r="A54" s="86">
        <v>557</v>
      </c>
      <c r="B54" s="10" t="s">
        <v>252</v>
      </c>
      <c r="C54" s="10">
        <v>2002</v>
      </c>
      <c r="D54" s="10">
        <v>716370215.77132034</v>
      </c>
      <c r="E54" s="10" t="s">
        <v>243</v>
      </c>
    </row>
    <row r="55" spans="1:5" x14ac:dyDescent="0.35">
      <c r="A55" s="86">
        <v>558</v>
      </c>
      <c r="B55" s="10" t="s">
        <v>252</v>
      </c>
      <c r="C55" s="10">
        <v>2003</v>
      </c>
      <c r="D55" s="10">
        <v>730321608.32128417</v>
      </c>
      <c r="E55" s="10" t="s">
        <v>243</v>
      </c>
    </row>
    <row r="56" spans="1:5" x14ac:dyDescent="0.35">
      <c r="A56" s="86">
        <v>559</v>
      </c>
      <c r="B56" s="10" t="s">
        <v>252</v>
      </c>
      <c r="C56" s="10">
        <v>2004</v>
      </c>
      <c r="D56" s="10">
        <v>745720076.72813976</v>
      </c>
      <c r="E56" s="10" t="s">
        <v>243</v>
      </c>
    </row>
    <row r="57" spans="1:5" x14ac:dyDescent="0.35">
      <c r="A57" s="86">
        <v>560</v>
      </c>
      <c r="B57" s="10" t="s">
        <v>252</v>
      </c>
      <c r="C57" s="10">
        <v>2005</v>
      </c>
      <c r="D57" s="10">
        <v>762788943.73978746</v>
      </c>
      <c r="E57" s="10" t="s">
        <v>243</v>
      </c>
    </row>
    <row r="58" spans="1:5" x14ac:dyDescent="0.35">
      <c r="A58" s="86">
        <v>561</v>
      </c>
      <c r="B58" s="10" t="s">
        <v>252</v>
      </c>
      <c r="C58" s="10">
        <v>2006</v>
      </c>
      <c r="D58" s="10">
        <v>781734392.6262958</v>
      </c>
      <c r="E58" s="10" t="s">
        <v>243</v>
      </c>
    </row>
    <row r="59" spans="1:5" x14ac:dyDescent="0.35">
      <c r="A59" s="86">
        <v>562</v>
      </c>
      <c r="B59" s="10" t="s">
        <v>252</v>
      </c>
      <c r="C59" s="10">
        <v>2007</v>
      </c>
      <c r="D59" s="10">
        <v>802730494.54012394</v>
      </c>
      <c r="E59" s="10" t="s">
        <v>243</v>
      </c>
    </row>
    <row r="60" spans="1:5" x14ac:dyDescent="0.35">
      <c r="A60" s="86">
        <v>563</v>
      </c>
      <c r="B60" s="10" t="s">
        <v>252</v>
      </c>
      <c r="C60" s="10">
        <v>2008</v>
      </c>
      <c r="D60" s="10">
        <v>825941846.91012549</v>
      </c>
      <c r="E60" s="10" t="s">
        <v>243</v>
      </c>
    </row>
    <row r="61" spans="1:5" x14ac:dyDescent="0.35">
      <c r="A61" s="86">
        <v>564</v>
      </c>
      <c r="B61" s="10" t="s">
        <v>252</v>
      </c>
      <c r="C61" s="10">
        <v>2009</v>
      </c>
      <c r="D61" s="10">
        <v>851530060.78667545</v>
      </c>
      <c r="E61" s="10" t="s">
        <v>243</v>
      </c>
    </row>
    <row r="62" spans="1:5" x14ac:dyDescent="0.35">
      <c r="A62" s="86">
        <v>565</v>
      </c>
      <c r="B62" s="10" t="s">
        <v>252</v>
      </c>
      <c r="C62" s="10">
        <v>2010</v>
      </c>
      <c r="D62" s="10">
        <v>879703106.05801749</v>
      </c>
      <c r="E62" s="10" t="s">
        <v>243</v>
      </c>
    </row>
    <row r="63" spans="1:5" x14ac:dyDescent="0.35">
      <c r="A63" s="86">
        <v>566</v>
      </c>
      <c r="B63" s="10" t="s">
        <v>252</v>
      </c>
      <c r="C63" s="10">
        <v>2011</v>
      </c>
      <c r="D63" s="10">
        <v>910738958.95575559</v>
      </c>
      <c r="E63" s="10" t="s">
        <v>243</v>
      </c>
    </row>
    <row r="64" spans="1:5" x14ac:dyDescent="0.35">
      <c r="A64" s="86">
        <v>567</v>
      </c>
      <c r="B64" s="10" t="s">
        <v>252</v>
      </c>
      <c r="C64" s="10">
        <v>2012</v>
      </c>
      <c r="D64" s="10">
        <v>944965669.56521213</v>
      </c>
      <c r="E64" s="10" t="s">
        <v>243</v>
      </c>
    </row>
    <row r="65" spans="1:5" x14ac:dyDescent="0.35">
      <c r="A65" s="86">
        <v>568</v>
      </c>
      <c r="B65" s="10" t="s">
        <v>252</v>
      </c>
      <c r="C65" s="10">
        <v>2013</v>
      </c>
      <c r="D65" s="10">
        <v>982710315.00261652</v>
      </c>
      <c r="E65" s="10" t="s">
        <v>243</v>
      </c>
    </row>
    <row r="66" spans="1:5" x14ac:dyDescent="0.35">
      <c r="A66" s="86">
        <v>569</v>
      </c>
      <c r="B66" s="10" t="s">
        <v>252</v>
      </c>
      <c r="C66" s="10">
        <v>2014</v>
      </c>
      <c r="D66" s="10">
        <v>1024294587.970544</v>
      </c>
      <c r="E66" s="10" t="s">
        <v>243</v>
      </c>
    </row>
    <row r="67" spans="1:5" x14ac:dyDescent="0.35">
      <c r="A67" s="86">
        <v>570</v>
      </c>
      <c r="B67" s="10" t="s">
        <v>252</v>
      </c>
      <c r="C67" s="10">
        <v>2015</v>
      </c>
      <c r="D67" s="10">
        <v>1069989936.857131</v>
      </c>
      <c r="E67" s="10" t="s">
        <v>243</v>
      </c>
    </row>
    <row r="68" spans="1:5" x14ac:dyDescent="0.35">
      <c r="A68" s="86">
        <v>571</v>
      </c>
      <c r="B68" s="10" t="s">
        <v>252</v>
      </c>
      <c r="C68" s="10">
        <v>2016</v>
      </c>
      <c r="D68" s="10">
        <v>1119978877.3168001</v>
      </c>
      <c r="E68" s="10" t="s">
        <v>243</v>
      </c>
    </row>
    <row r="69" spans="1:5" x14ac:dyDescent="0.35">
      <c r="A69" s="86">
        <v>572</v>
      </c>
      <c r="B69" s="10" t="s">
        <v>252</v>
      </c>
      <c r="C69" s="10">
        <v>2017</v>
      </c>
      <c r="D69" s="10">
        <v>1174288045.5108659</v>
      </c>
      <c r="E69" s="10" t="s">
        <v>243</v>
      </c>
    </row>
    <row r="70" spans="1:5" x14ac:dyDescent="0.35">
      <c r="A70" s="86">
        <v>573</v>
      </c>
      <c r="B70" s="10" t="s">
        <v>252</v>
      </c>
      <c r="C70" s="10">
        <v>2018</v>
      </c>
      <c r="D70" s="10">
        <v>1232724169.148844</v>
      </c>
      <c r="E70" s="10" t="s">
        <v>243</v>
      </c>
    </row>
    <row r="71" spans="1:5" x14ac:dyDescent="0.35">
      <c r="A71" s="86">
        <v>574</v>
      </c>
      <c r="B71" s="10" t="s">
        <v>252</v>
      </c>
      <c r="C71" s="10">
        <v>2019</v>
      </c>
      <c r="D71" s="10">
        <v>1294835486.747741</v>
      </c>
      <c r="E71" s="10" t="s">
        <v>243</v>
      </c>
    </row>
    <row r="72" spans="1:5" x14ac:dyDescent="0.35">
      <c r="A72" s="86">
        <v>575</v>
      </c>
      <c r="B72" s="10" t="s">
        <v>252</v>
      </c>
      <c r="C72" s="10">
        <v>2020</v>
      </c>
      <c r="D72" s="10">
        <v>1359922208.7772601</v>
      </c>
      <c r="E72" s="10" t="s">
        <v>243</v>
      </c>
    </row>
    <row r="73" spans="1:5" x14ac:dyDescent="0.35">
      <c r="A73" s="86">
        <v>576</v>
      </c>
      <c r="B73" s="10" t="s">
        <v>252</v>
      </c>
      <c r="C73" s="10">
        <v>2021</v>
      </c>
      <c r="D73" s="10">
        <v>1427067565.0300031</v>
      </c>
      <c r="E73" s="10" t="s">
        <v>243</v>
      </c>
    </row>
    <row r="74" spans="1:5" x14ac:dyDescent="0.35">
      <c r="A74" s="86">
        <v>577</v>
      </c>
      <c r="B74" s="10" t="s">
        <v>252</v>
      </c>
      <c r="C74" s="10">
        <v>2022</v>
      </c>
      <c r="D74" s="10">
        <v>1495231722.787858</v>
      </c>
      <c r="E74" s="10" t="s">
        <v>243</v>
      </c>
    </row>
    <row r="75" spans="1:5" x14ac:dyDescent="0.35">
      <c r="A75" s="86">
        <v>578</v>
      </c>
      <c r="B75" s="10" t="s">
        <v>252</v>
      </c>
      <c r="C75" s="10">
        <v>2023</v>
      </c>
      <c r="D75" s="10">
        <v>1563351460.2569239</v>
      </c>
      <c r="E75" s="10" t="s">
        <v>243</v>
      </c>
    </row>
    <row r="76" spans="1:5" x14ac:dyDescent="0.35">
      <c r="A76" s="86">
        <v>579</v>
      </c>
      <c r="B76" s="10" t="s">
        <v>252</v>
      </c>
      <c r="C76" s="10">
        <v>2024</v>
      </c>
      <c r="D76" s="10">
        <v>1630453127.2794869</v>
      </c>
      <c r="E76" s="10" t="s">
        <v>243</v>
      </c>
    </row>
    <row r="77" spans="1:5" x14ac:dyDescent="0.35">
      <c r="A77" s="86">
        <v>580</v>
      </c>
      <c r="B77" s="10" t="s">
        <v>252</v>
      </c>
      <c r="C77" s="10">
        <v>2025</v>
      </c>
      <c r="D77" s="10">
        <v>1695716017.5065949</v>
      </c>
      <c r="E77" s="10" t="s">
        <v>243</v>
      </c>
    </row>
    <row r="78" spans="1:5" x14ac:dyDescent="0.35">
      <c r="A78" s="86">
        <v>581</v>
      </c>
      <c r="B78" s="10" t="s">
        <v>252</v>
      </c>
      <c r="C78" s="10">
        <v>2026</v>
      </c>
      <c r="D78" s="10">
        <v>1758509376.470464</v>
      </c>
      <c r="E78" s="10" t="s">
        <v>243</v>
      </c>
    </row>
    <row r="79" spans="1:5" x14ac:dyDescent="0.35">
      <c r="A79" s="86">
        <v>582</v>
      </c>
      <c r="B79" s="10" t="s">
        <v>252</v>
      </c>
      <c r="C79" s="10">
        <v>2027</v>
      </c>
      <c r="D79" s="10">
        <v>1818438208.6013279</v>
      </c>
      <c r="E79" s="10" t="s">
        <v>243</v>
      </c>
    </row>
    <row r="80" spans="1:5" x14ac:dyDescent="0.35">
      <c r="A80" s="86">
        <v>583</v>
      </c>
      <c r="B80" s="10" t="s">
        <v>252</v>
      </c>
      <c r="C80" s="10">
        <v>2028</v>
      </c>
      <c r="D80" s="10">
        <v>1875373808.9510679</v>
      </c>
      <c r="E80" s="10" t="s">
        <v>243</v>
      </c>
    </row>
    <row r="81" spans="1:5" x14ac:dyDescent="0.35">
      <c r="A81" s="86">
        <v>584</v>
      </c>
      <c r="B81" s="10" t="s">
        <v>252</v>
      </c>
      <c r="C81" s="10">
        <v>2029</v>
      </c>
      <c r="D81" s="10">
        <v>1929389797.4212029</v>
      </c>
      <c r="E81" s="10" t="s">
        <v>243</v>
      </c>
    </row>
    <row r="82" spans="1:5" x14ac:dyDescent="0.35">
      <c r="A82" s="86">
        <v>585</v>
      </c>
      <c r="B82" s="10" t="s">
        <v>252</v>
      </c>
      <c r="C82" s="10">
        <v>2030</v>
      </c>
      <c r="D82" s="10">
        <v>1980704949.0756221</v>
      </c>
      <c r="E82" s="10" t="s">
        <v>243</v>
      </c>
    </row>
    <row r="83" spans="1:5" x14ac:dyDescent="0.35">
      <c r="A83" s="86">
        <v>586</v>
      </c>
      <c r="B83" s="10" t="s">
        <v>252</v>
      </c>
      <c r="C83" s="10">
        <v>2031</v>
      </c>
      <c r="D83" s="10">
        <v>2029631909.065336</v>
      </c>
      <c r="E83" s="10" t="s">
        <v>243</v>
      </c>
    </row>
    <row r="84" spans="1:5" x14ac:dyDescent="0.35">
      <c r="A84" s="86">
        <v>587</v>
      </c>
      <c r="B84" s="10" t="s">
        <v>252</v>
      </c>
      <c r="C84" s="10">
        <v>2032</v>
      </c>
      <c r="D84" s="10">
        <v>2076516567.5791919</v>
      </c>
      <c r="E84" s="10" t="s">
        <v>243</v>
      </c>
    </row>
    <row r="85" spans="1:5" x14ac:dyDescent="0.35">
      <c r="A85" s="86">
        <v>588</v>
      </c>
      <c r="B85" s="10" t="s">
        <v>252</v>
      </c>
      <c r="C85" s="10">
        <v>2033</v>
      </c>
      <c r="D85" s="10">
        <v>2121695735.1655049</v>
      </c>
      <c r="E85" s="10" t="s">
        <v>243</v>
      </c>
    </row>
    <row r="86" spans="1:5" x14ac:dyDescent="0.35">
      <c r="A86" s="86">
        <v>589</v>
      </c>
      <c r="B86" s="10" t="s">
        <v>252</v>
      </c>
      <c r="C86" s="10">
        <v>2034</v>
      </c>
      <c r="D86" s="10">
        <v>2165478180.1521769</v>
      </c>
      <c r="E86" s="10" t="s">
        <v>243</v>
      </c>
    </row>
    <row r="87" spans="1:5" x14ac:dyDescent="0.35">
      <c r="A87" s="86">
        <v>590</v>
      </c>
      <c r="B87" s="10" t="s">
        <v>252</v>
      </c>
      <c r="C87" s="10">
        <v>2035</v>
      </c>
      <c r="D87" s="10">
        <v>2208141986.8761611</v>
      </c>
      <c r="E87" s="10" t="s">
        <v>243</v>
      </c>
    </row>
    <row r="88" spans="1:5" x14ac:dyDescent="0.35">
      <c r="A88" s="86">
        <v>591</v>
      </c>
      <c r="B88" s="10" t="s">
        <v>252</v>
      </c>
      <c r="C88" s="10">
        <v>2036</v>
      </c>
      <c r="D88" s="10">
        <v>2249932433.485424</v>
      </c>
      <c r="E88" s="10" t="s">
        <v>243</v>
      </c>
    </row>
    <row r="89" spans="1:5" x14ac:dyDescent="0.35">
      <c r="A89" s="86">
        <v>592</v>
      </c>
      <c r="B89" s="10" t="s">
        <v>252</v>
      </c>
      <c r="C89" s="10">
        <v>2037</v>
      </c>
      <c r="D89" s="10">
        <v>2291057955.522336</v>
      </c>
      <c r="E89" s="10" t="s">
        <v>243</v>
      </c>
    </row>
    <row r="90" spans="1:5" x14ac:dyDescent="0.35">
      <c r="A90" s="86">
        <v>593</v>
      </c>
      <c r="B90" s="10" t="s">
        <v>252</v>
      </c>
      <c r="C90" s="10">
        <v>2038</v>
      </c>
      <c r="D90" s="10">
        <v>2331682902.0277071</v>
      </c>
      <c r="E90" s="10" t="s">
        <v>243</v>
      </c>
    </row>
    <row r="91" spans="1:5" x14ac:dyDescent="0.35">
      <c r="A91" s="86">
        <v>594</v>
      </c>
      <c r="B91" s="10" t="s">
        <v>252</v>
      </c>
      <c r="C91" s="10">
        <v>2039</v>
      </c>
      <c r="D91" s="10">
        <v>2371934135.9194541</v>
      </c>
      <c r="E91" s="10" t="s">
        <v>243</v>
      </c>
    </row>
    <row r="92" spans="1:5" x14ac:dyDescent="0.35">
      <c r="A92" s="86">
        <v>595</v>
      </c>
      <c r="B92" s="10" t="s">
        <v>252</v>
      </c>
      <c r="C92" s="10">
        <v>2040</v>
      </c>
      <c r="D92" s="10">
        <v>2411899788.3865829</v>
      </c>
      <c r="E92" s="10" t="s">
        <v>243</v>
      </c>
    </row>
    <row r="93" spans="1:5" x14ac:dyDescent="0.35">
      <c r="A93" s="86">
        <v>596</v>
      </c>
      <c r="B93" s="10" t="s">
        <v>252</v>
      </c>
      <c r="C93" s="10">
        <v>2041</v>
      </c>
      <c r="D93" s="10">
        <v>2451632304.5788431</v>
      </c>
      <c r="E93" s="10" t="s">
        <v>243</v>
      </c>
    </row>
    <row r="94" spans="1:5" x14ac:dyDescent="0.35">
      <c r="A94" s="86">
        <v>597</v>
      </c>
      <c r="B94" s="10" t="s">
        <v>252</v>
      </c>
      <c r="C94" s="10">
        <v>2042</v>
      </c>
      <c r="D94" s="10">
        <v>2491153235.8620138</v>
      </c>
      <c r="E94" s="10" t="s">
        <v>243</v>
      </c>
    </row>
    <row r="95" spans="1:5" x14ac:dyDescent="0.35">
      <c r="A95" s="86">
        <v>598</v>
      </c>
      <c r="B95" s="10" t="s">
        <v>252</v>
      </c>
      <c r="C95" s="10">
        <v>2043</v>
      </c>
      <c r="D95" s="10">
        <v>2530461186.118331</v>
      </c>
      <c r="E95" s="10" t="s">
        <v>243</v>
      </c>
    </row>
    <row r="96" spans="1:5" x14ac:dyDescent="0.35">
      <c r="A96" s="86">
        <v>599</v>
      </c>
      <c r="B96" s="10" t="s">
        <v>252</v>
      </c>
      <c r="C96" s="10">
        <v>2044</v>
      </c>
      <c r="D96" s="10">
        <v>2569535335.7603631</v>
      </c>
      <c r="E96" s="10" t="s">
        <v>243</v>
      </c>
    </row>
    <row r="97" spans="1:5" x14ac:dyDescent="0.35">
      <c r="A97" s="86">
        <v>600</v>
      </c>
      <c r="B97" s="10" t="s">
        <v>252</v>
      </c>
      <c r="C97" s="10">
        <v>2045</v>
      </c>
      <c r="D97" s="10">
        <v>2608342674.2136722</v>
      </c>
      <c r="E97" s="10" t="s">
        <v>243</v>
      </c>
    </row>
    <row r="98" spans="1:5" x14ac:dyDescent="0.35">
      <c r="A98" s="86">
        <v>601</v>
      </c>
      <c r="B98" s="10" t="s">
        <v>252</v>
      </c>
      <c r="C98" s="10">
        <v>2046</v>
      </c>
      <c r="D98" s="10">
        <v>2646843760.6783071</v>
      </c>
      <c r="E98" s="10" t="s">
        <v>243</v>
      </c>
    </row>
    <row r="99" spans="1:5" x14ac:dyDescent="0.35">
      <c r="A99" s="86">
        <v>602</v>
      </c>
      <c r="B99" s="10" t="s">
        <v>252</v>
      </c>
      <c r="C99" s="10">
        <v>2047</v>
      </c>
      <c r="D99" s="10">
        <v>2684993356.8318558</v>
      </c>
      <c r="E99" s="10" t="s">
        <v>243</v>
      </c>
    </row>
    <row r="100" spans="1:5" x14ac:dyDescent="0.35">
      <c r="A100" s="86">
        <v>603</v>
      </c>
      <c r="B100" s="10" t="s">
        <v>252</v>
      </c>
      <c r="C100" s="10">
        <v>2048</v>
      </c>
      <c r="D100" s="10">
        <v>2722738763.3957591</v>
      </c>
      <c r="E100" s="10" t="s">
        <v>243</v>
      </c>
    </row>
    <row r="101" spans="1:5" x14ac:dyDescent="0.35">
      <c r="A101" s="86">
        <v>604</v>
      </c>
      <c r="B101" s="10" t="s">
        <v>252</v>
      </c>
      <c r="C101" s="10">
        <v>2049</v>
      </c>
      <c r="D101" s="10">
        <v>2760024459.8351541</v>
      </c>
      <c r="E101" s="10" t="s">
        <v>243</v>
      </c>
    </row>
    <row r="102" spans="1:5" x14ac:dyDescent="0.35">
      <c r="A102" s="86">
        <v>605</v>
      </c>
      <c r="B102" s="10" t="s">
        <v>252</v>
      </c>
      <c r="C102" s="10">
        <v>2050</v>
      </c>
      <c r="D102" s="10">
        <v>2796793765.9867749</v>
      </c>
      <c r="E102" s="10" t="s">
        <v>243</v>
      </c>
    </row>
    <row r="103" spans="1:5" x14ac:dyDescent="0.35">
      <c r="A103" s="86">
        <v>1111</v>
      </c>
      <c r="B103" s="10" t="s">
        <v>253</v>
      </c>
      <c r="C103" s="10">
        <v>1950</v>
      </c>
      <c r="D103" s="10">
        <v>346075591.45268041</v>
      </c>
      <c r="E103" s="10" t="s">
        <v>243</v>
      </c>
    </row>
    <row r="104" spans="1:5" x14ac:dyDescent="0.35">
      <c r="A104" s="86">
        <v>1112</v>
      </c>
      <c r="B104" s="10" t="s">
        <v>253</v>
      </c>
      <c r="C104" s="10">
        <v>1951</v>
      </c>
      <c r="D104" s="10">
        <v>350722608.33673239</v>
      </c>
      <c r="E104" s="10" t="s">
        <v>243</v>
      </c>
    </row>
    <row r="105" spans="1:5" x14ac:dyDescent="0.35">
      <c r="A105" s="86">
        <v>1113</v>
      </c>
      <c r="B105" s="10" t="s">
        <v>253</v>
      </c>
      <c r="C105" s="10">
        <v>1952</v>
      </c>
      <c r="D105" s="10">
        <v>355749253.73676229</v>
      </c>
      <c r="E105" s="10" t="s">
        <v>243</v>
      </c>
    </row>
    <row r="106" spans="1:5" x14ac:dyDescent="0.35">
      <c r="A106" s="86">
        <v>1114</v>
      </c>
      <c r="B106" s="10" t="s">
        <v>253</v>
      </c>
      <c r="C106" s="10">
        <v>1953</v>
      </c>
      <c r="D106" s="10">
        <v>361072263.77628398</v>
      </c>
      <c r="E106" s="10" t="s">
        <v>243</v>
      </c>
    </row>
    <row r="107" spans="1:5" x14ac:dyDescent="0.35">
      <c r="A107" s="86">
        <v>1115</v>
      </c>
      <c r="B107" s="10" t="s">
        <v>253</v>
      </c>
      <c r="C107" s="10">
        <v>1954</v>
      </c>
      <c r="D107" s="10">
        <v>366619256.50502372</v>
      </c>
      <c r="E107" s="10" t="s">
        <v>243</v>
      </c>
    </row>
    <row r="108" spans="1:5" x14ac:dyDescent="0.35">
      <c r="A108" s="86">
        <v>1116</v>
      </c>
      <c r="B108" s="10" t="s">
        <v>253</v>
      </c>
      <c r="C108" s="10">
        <v>1955</v>
      </c>
      <c r="D108" s="10">
        <v>372328823.28617322</v>
      </c>
      <c r="E108" s="10" t="s">
        <v>243</v>
      </c>
    </row>
    <row r="109" spans="1:5" x14ac:dyDescent="0.35">
      <c r="A109" s="86">
        <v>1117</v>
      </c>
      <c r="B109" s="10" t="s">
        <v>253</v>
      </c>
      <c r="C109" s="10">
        <v>1956</v>
      </c>
      <c r="D109" s="10">
        <v>378150998.3753199</v>
      </c>
      <c r="E109" s="10" t="s">
        <v>243</v>
      </c>
    </row>
    <row r="110" spans="1:5" x14ac:dyDescent="0.35">
      <c r="A110" s="86">
        <v>1118</v>
      </c>
      <c r="B110" s="10" t="s">
        <v>253</v>
      </c>
      <c r="C110" s="10">
        <v>1957</v>
      </c>
      <c r="D110" s="10">
        <v>384046853.14968657</v>
      </c>
      <c r="E110" s="10" t="s">
        <v>243</v>
      </c>
    </row>
    <row r="111" spans="1:5" x14ac:dyDescent="0.35">
      <c r="A111" s="86">
        <v>1119</v>
      </c>
      <c r="B111" s="10" t="s">
        <v>253</v>
      </c>
      <c r="C111" s="10">
        <v>1958</v>
      </c>
      <c r="D111" s="10">
        <v>389987827.02241892</v>
      </c>
      <c r="E111" s="10" t="s">
        <v>243</v>
      </c>
    </row>
    <row r="112" spans="1:5" x14ac:dyDescent="0.35">
      <c r="A112" s="86">
        <v>1120</v>
      </c>
      <c r="B112" s="10" t="s">
        <v>253</v>
      </c>
      <c r="C112" s="10">
        <v>1959</v>
      </c>
      <c r="D112" s="10">
        <v>395954125.36823672</v>
      </c>
      <c r="E112" s="10" t="s">
        <v>243</v>
      </c>
    </row>
    <row r="113" spans="1:5" x14ac:dyDescent="0.35">
      <c r="A113" s="86">
        <v>1121</v>
      </c>
      <c r="B113" s="10" t="s">
        <v>253</v>
      </c>
      <c r="C113" s="10">
        <v>1960</v>
      </c>
      <c r="D113" s="10">
        <v>401930051.54804981</v>
      </c>
      <c r="E113" s="10" t="s">
        <v>243</v>
      </c>
    </row>
    <row r="114" spans="1:5" x14ac:dyDescent="0.35">
      <c r="A114" s="86">
        <v>1122</v>
      </c>
      <c r="B114" s="10" t="s">
        <v>253</v>
      </c>
      <c r="C114" s="10">
        <v>1961</v>
      </c>
      <c r="D114" s="10">
        <v>407898990.62409568</v>
      </c>
      <c r="E114" s="10" t="s">
        <v>243</v>
      </c>
    </row>
    <row r="115" spans="1:5" x14ac:dyDescent="0.35">
      <c r="A115" s="86">
        <v>1123</v>
      </c>
      <c r="B115" s="10" t="s">
        <v>253</v>
      </c>
      <c r="C115" s="10">
        <v>1962</v>
      </c>
      <c r="D115" s="10">
        <v>413838799.10106868</v>
      </c>
      <c r="E115" s="10" t="s">
        <v>243</v>
      </c>
    </row>
    <row r="116" spans="1:5" x14ac:dyDescent="0.35">
      <c r="A116" s="86">
        <v>1124</v>
      </c>
      <c r="B116" s="10" t="s">
        <v>253</v>
      </c>
      <c r="C116" s="10">
        <v>1963</v>
      </c>
      <c r="D116" s="10">
        <v>419719702.77113008</v>
      </c>
      <c r="E116" s="10" t="s">
        <v>243</v>
      </c>
    </row>
    <row r="117" spans="1:5" x14ac:dyDescent="0.35">
      <c r="A117" s="86">
        <v>1125</v>
      </c>
      <c r="B117" s="10" t="s">
        <v>253</v>
      </c>
      <c r="C117" s="10">
        <v>1964</v>
      </c>
      <c r="D117" s="10">
        <v>425509468.1842109</v>
      </c>
      <c r="E117" s="10" t="s">
        <v>243</v>
      </c>
    </row>
    <row r="118" spans="1:5" x14ac:dyDescent="0.35">
      <c r="A118" s="86">
        <v>1126</v>
      </c>
      <c r="B118" s="10" t="s">
        <v>253</v>
      </c>
      <c r="C118" s="10">
        <v>1965</v>
      </c>
      <c r="D118" s="10">
        <v>431189314.08495331</v>
      </c>
      <c r="E118" s="10" t="s">
        <v>243</v>
      </c>
    </row>
    <row r="119" spans="1:5" x14ac:dyDescent="0.35">
      <c r="A119" s="86">
        <v>1127</v>
      </c>
      <c r="B119" s="10" t="s">
        <v>253</v>
      </c>
      <c r="C119" s="10">
        <v>1966</v>
      </c>
      <c r="D119" s="10">
        <v>436739097.7391268</v>
      </c>
      <c r="E119" s="10" t="s">
        <v>243</v>
      </c>
    </row>
    <row r="120" spans="1:5" x14ac:dyDescent="0.35">
      <c r="A120" s="86">
        <v>1128</v>
      </c>
      <c r="B120" s="10" t="s">
        <v>253</v>
      </c>
      <c r="C120" s="10">
        <v>1967</v>
      </c>
      <c r="D120" s="10">
        <v>442173731.54528832</v>
      </c>
      <c r="E120" s="10" t="s">
        <v>243</v>
      </c>
    </row>
    <row r="121" spans="1:5" x14ac:dyDescent="0.35">
      <c r="A121" s="86">
        <v>1129</v>
      </c>
      <c r="B121" s="10" t="s">
        <v>253</v>
      </c>
      <c r="C121" s="10">
        <v>1968</v>
      </c>
      <c r="D121" s="10">
        <v>447554273.57540101</v>
      </c>
      <c r="E121" s="10" t="s">
        <v>243</v>
      </c>
    </row>
    <row r="122" spans="1:5" x14ac:dyDescent="0.35">
      <c r="A122" s="86">
        <v>1130</v>
      </c>
      <c r="B122" s="10" t="s">
        <v>253</v>
      </c>
      <c r="C122" s="10">
        <v>1969</v>
      </c>
      <c r="D122" s="10">
        <v>452966923.19514459</v>
      </c>
      <c r="E122" s="10" t="s">
        <v>243</v>
      </c>
    </row>
    <row r="123" spans="1:5" x14ac:dyDescent="0.35">
      <c r="A123" s="86">
        <v>1131</v>
      </c>
      <c r="B123" s="10" t="s">
        <v>253</v>
      </c>
      <c r="C123" s="10">
        <v>1970</v>
      </c>
      <c r="D123" s="10">
        <v>458475692.35304278</v>
      </c>
      <c r="E123" s="10" t="s">
        <v>243</v>
      </c>
    </row>
    <row r="124" spans="1:5" x14ac:dyDescent="0.35">
      <c r="A124" s="86">
        <v>1132</v>
      </c>
      <c r="B124" s="10" t="s">
        <v>253</v>
      </c>
      <c r="C124" s="10">
        <v>1971</v>
      </c>
      <c r="D124" s="10">
        <v>464109179.45472932</v>
      </c>
      <c r="E124" s="10" t="s">
        <v>243</v>
      </c>
    </row>
    <row r="125" spans="1:5" x14ac:dyDescent="0.35">
      <c r="A125" s="86">
        <v>1133</v>
      </c>
      <c r="B125" s="10" t="s">
        <v>253</v>
      </c>
      <c r="C125" s="10">
        <v>1972</v>
      </c>
      <c r="D125" s="10">
        <v>469856011.17675549</v>
      </c>
      <c r="E125" s="10" t="s">
        <v>243</v>
      </c>
    </row>
    <row r="126" spans="1:5" x14ac:dyDescent="0.35">
      <c r="A126" s="86">
        <v>1134</v>
      </c>
      <c r="B126" s="10" t="s">
        <v>253</v>
      </c>
      <c r="C126" s="10">
        <v>1973</v>
      </c>
      <c r="D126" s="10">
        <v>475692396.4134376</v>
      </c>
      <c r="E126" s="10" t="s">
        <v>243</v>
      </c>
    </row>
    <row r="127" spans="1:5" x14ac:dyDescent="0.35">
      <c r="A127" s="86">
        <v>1135</v>
      </c>
      <c r="B127" s="10" t="s">
        <v>253</v>
      </c>
      <c r="C127" s="10">
        <v>1974</v>
      </c>
      <c r="D127" s="10">
        <v>481576900.70012528</v>
      </c>
      <c r="E127" s="10" t="s">
        <v>243</v>
      </c>
    </row>
    <row r="128" spans="1:5" x14ac:dyDescent="0.35">
      <c r="A128" s="86">
        <v>1136</v>
      </c>
      <c r="B128" s="10" t="s">
        <v>253</v>
      </c>
      <c r="C128" s="10">
        <v>1975</v>
      </c>
      <c r="D128" s="10">
        <v>487482711.81447518</v>
      </c>
      <c r="E128" s="10" t="s">
        <v>243</v>
      </c>
    </row>
    <row r="129" spans="1:5" x14ac:dyDescent="0.35">
      <c r="A129" s="86">
        <v>1137</v>
      </c>
      <c r="B129" s="10" t="s">
        <v>253</v>
      </c>
      <c r="C129" s="10">
        <v>1976</v>
      </c>
      <c r="D129" s="10">
        <v>493410989.31991577</v>
      </c>
      <c r="E129" s="10" t="s">
        <v>243</v>
      </c>
    </row>
    <row r="130" spans="1:5" x14ac:dyDescent="0.35">
      <c r="A130" s="86">
        <v>1138</v>
      </c>
      <c r="B130" s="10" t="s">
        <v>253</v>
      </c>
      <c r="C130" s="10">
        <v>1977</v>
      </c>
      <c r="D130" s="10">
        <v>499386249.85698241</v>
      </c>
      <c r="E130" s="10" t="s">
        <v>243</v>
      </c>
    </row>
    <row r="131" spans="1:5" x14ac:dyDescent="0.35">
      <c r="A131" s="86">
        <v>1139</v>
      </c>
      <c r="B131" s="10" t="s">
        <v>253</v>
      </c>
      <c r="C131" s="10">
        <v>1978</v>
      </c>
      <c r="D131" s="10">
        <v>505433290.80923712</v>
      </c>
      <c r="E131" s="10" t="s">
        <v>243</v>
      </c>
    </row>
    <row r="132" spans="1:5" x14ac:dyDescent="0.35">
      <c r="A132" s="86">
        <v>1140</v>
      </c>
      <c r="B132" s="10" t="s">
        <v>253</v>
      </c>
      <c r="C132" s="10">
        <v>1979</v>
      </c>
      <c r="D132" s="10">
        <v>511585669.44761521</v>
      </c>
      <c r="E132" s="10" t="s">
        <v>243</v>
      </c>
    </row>
    <row r="133" spans="1:5" x14ac:dyDescent="0.35">
      <c r="A133" s="86">
        <v>1141</v>
      </c>
      <c r="B133" s="10" t="s">
        <v>253</v>
      </c>
      <c r="C133" s="10">
        <v>1980</v>
      </c>
      <c r="D133" s="10">
        <v>517872046.93657899</v>
      </c>
      <c r="E133" s="10" t="s">
        <v>243</v>
      </c>
    </row>
    <row r="134" spans="1:5" x14ac:dyDescent="0.35">
      <c r="A134" s="86">
        <v>1142</v>
      </c>
      <c r="B134" s="10" t="s">
        <v>253</v>
      </c>
      <c r="C134" s="10">
        <v>1981</v>
      </c>
      <c r="D134" s="10">
        <v>524301740.02816778</v>
      </c>
      <c r="E134" s="10" t="s">
        <v>243</v>
      </c>
    </row>
    <row r="135" spans="1:5" x14ac:dyDescent="0.35">
      <c r="A135" s="86">
        <v>1143</v>
      </c>
      <c r="B135" s="10" t="s">
        <v>253</v>
      </c>
      <c r="C135" s="10">
        <v>1982</v>
      </c>
      <c r="D135" s="10">
        <v>530881888.49983531</v>
      </c>
      <c r="E135" s="10" t="s">
        <v>243</v>
      </c>
    </row>
    <row r="136" spans="1:5" x14ac:dyDescent="0.35">
      <c r="A136" s="86">
        <v>1144</v>
      </c>
      <c r="B136" s="10" t="s">
        <v>253</v>
      </c>
      <c r="C136" s="10">
        <v>1983</v>
      </c>
      <c r="D136" s="10">
        <v>537636535.68129289</v>
      </c>
      <c r="E136" s="10" t="s">
        <v>243</v>
      </c>
    </row>
    <row r="137" spans="1:5" x14ac:dyDescent="0.35">
      <c r="A137" s="86">
        <v>1145</v>
      </c>
      <c r="B137" s="10" t="s">
        <v>253</v>
      </c>
      <c r="C137" s="10">
        <v>1984</v>
      </c>
      <c r="D137" s="10">
        <v>544593320.75600898</v>
      </c>
      <c r="E137" s="10" t="s">
        <v>243</v>
      </c>
    </row>
    <row r="138" spans="1:5" x14ac:dyDescent="0.35">
      <c r="A138" s="86">
        <v>1146</v>
      </c>
      <c r="B138" s="10" t="s">
        <v>253</v>
      </c>
      <c r="C138" s="10">
        <v>1985</v>
      </c>
      <c r="D138" s="10">
        <v>551773338.70014179</v>
      </c>
      <c r="E138" s="10" t="s">
        <v>243</v>
      </c>
    </row>
    <row r="139" spans="1:5" x14ac:dyDescent="0.35">
      <c r="A139" s="86">
        <v>1147</v>
      </c>
      <c r="B139" s="10" t="s">
        <v>253</v>
      </c>
      <c r="C139" s="10">
        <v>1986</v>
      </c>
      <c r="D139" s="10">
        <v>559201823.44570887</v>
      </c>
      <c r="E139" s="10" t="s">
        <v>243</v>
      </c>
    </row>
    <row r="140" spans="1:5" x14ac:dyDescent="0.35">
      <c r="A140" s="86">
        <v>1148</v>
      </c>
      <c r="B140" s="10" t="s">
        <v>253</v>
      </c>
      <c r="C140" s="10">
        <v>1987</v>
      </c>
      <c r="D140" s="10">
        <v>566883223.50989687</v>
      </c>
      <c r="E140" s="10" t="s">
        <v>243</v>
      </c>
    </row>
    <row r="141" spans="1:5" x14ac:dyDescent="0.35">
      <c r="A141" s="86">
        <v>1149</v>
      </c>
      <c r="B141" s="10" t="s">
        <v>253</v>
      </c>
      <c r="C141" s="10">
        <v>1988</v>
      </c>
      <c r="D141" s="10">
        <v>574792707.23092616</v>
      </c>
      <c r="E141" s="10" t="s">
        <v>243</v>
      </c>
    </row>
    <row r="142" spans="1:5" x14ac:dyDescent="0.35">
      <c r="A142" s="86">
        <v>1150</v>
      </c>
      <c r="B142" s="10" t="s">
        <v>253</v>
      </c>
      <c r="C142" s="10">
        <v>1989</v>
      </c>
      <c r="D142" s="10">
        <v>582889911.19031608</v>
      </c>
      <c r="E142" s="10" t="s">
        <v>243</v>
      </c>
    </row>
    <row r="143" spans="1:5" x14ac:dyDescent="0.35">
      <c r="A143" s="86">
        <v>1151</v>
      </c>
      <c r="B143" s="10" t="s">
        <v>253</v>
      </c>
      <c r="C143" s="10">
        <v>1990</v>
      </c>
      <c r="D143" s="10">
        <v>591151259.85379279</v>
      </c>
      <c r="E143" s="10" t="s">
        <v>243</v>
      </c>
    </row>
    <row r="144" spans="1:5" x14ac:dyDescent="0.35">
      <c r="A144" s="86">
        <v>1152</v>
      </c>
      <c r="B144" s="10" t="s">
        <v>253</v>
      </c>
      <c r="C144" s="10">
        <v>1991</v>
      </c>
      <c r="D144" s="10">
        <v>599574065.93820739</v>
      </c>
      <c r="E144" s="10" t="s">
        <v>243</v>
      </c>
    </row>
    <row r="145" spans="1:5" x14ac:dyDescent="0.35">
      <c r="A145" s="86">
        <v>1153</v>
      </c>
      <c r="B145" s="10" t="s">
        <v>253</v>
      </c>
      <c r="C145" s="10">
        <v>1992</v>
      </c>
      <c r="D145" s="10">
        <v>608191338.85748219</v>
      </c>
      <c r="E145" s="10" t="s">
        <v>243</v>
      </c>
    </row>
    <row r="146" spans="1:5" x14ac:dyDescent="0.35">
      <c r="A146" s="86">
        <v>1154</v>
      </c>
      <c r="B146" s="10" t="s">
        <v>253</v>
      </c>
      <c r="C146" s="10">
        <v>1993</v>
      </c>
      <c r="D146" s="10">
        <v>617058169.19356918</v>
      </c>
      <c r="E146" s="10" t="s">
        <v>243</v>
      </c>
    </row>
    <row r="147" spans="1:5" x14ac:dyDescent="0.35">
      <c r="A147" s="86">
        <v>1155</v>
      </c>
      <c r="B147" s="10" t="s">
        <v>253</v>
      </c>
      <c r="C147" s="10">
        <v>1994</v>
      </c>
      <c r="D147" s="10">
        <v>626248965.12636566</v>
      </c>
      <c r="E147" s="10" t="s">
        <v>243</v>
      </c>
    </row>
    <row r="148" spans="1:5" x14ac:dyDescent="0.35">
      <c r="A148" s="86">
        <v>1156</v>
      </c>
      <c r="B148" s="10" t="s">
        <v>253</v>
      </c>
      <c r="C148" s="10">
        <v>1995</v>
      </c>
      <c r="D148" s="10">
        <v>635826613.50744164</v>
      </c>
      <c r="E148" s="10" t="s">
        <v>243</v>
      </c>
    </row>
    <row r="149" spans="1:5" x14ac:dyDescent="0.35">
      <c r="A149" s="86">
        <v>1157</v>
      </c>
      <c r="B149" s="10" t="s">
        <v>253</v>
      </c>
      <c r="C149" s="10">
        <v>1996</v>
      </c>
      <c r="D149" s="10">
        <v>645840889.58456862</v>
      </c>
      <c r="E149" s="10" t="s">
        <v>243</v>
      </c>
    </row>
    <row r="150" spans="1:5" x14ac:dyDescent="0.35">
      <c r="A150" s="86">
        <v>1158</v>
      </c>
      <c r="B150" s="10" t="s">
        <v>253</v>
      </c>
      <c r="C150" s="10">
        <v>1997</v>
      </c>
      <c r="D150" s="10">
        <v>656317444.02591276</v>
      </c>
      <c r="E150" s="10" t="s">
        <v>243</v>
      </c>
    </row>
    <row r="151" spans="1:5" x14ac:dyDescent="0.35">
      <c r="A151" s="86">
        <v>1159</v>
      </c>
      <c r="B151" s="10" t="s">
        <v>253</v>
      </c>
      <c r="C151" s="10">
        <v>1998</v>
      </c>
      <c r="D151" s="10">
        <v>667276199.14084458</v>
      </c>
      <c r="E151" s="10" t="s">
        <v>243</v>
      </c>
    </row>
    <row r="152" spans="1:5" x14ac:dyDescent="0.35">
      <c r="A152" s="86">
        <v>1160</v>
      </c>
      <c r="B152" s="10" t="s">
        <v>253</v>
      </c>
      <c r="C152" s="10">
        <v>1999</v>
      </c>
      <c r="D152" s="10">
        <v>678739016.65746939</v>
      </c>
      <c r="E152" s="10" t="s">
        <v>243</v>
      </c>
    </row>
    <row r="153" spans="1:5" x14ac:dyDescent="0.35">
      <c r="A153" s="86">
        <v>1161</v>
      </c>
      <c r="B153" s="10" t="s">
        <v>253</v>
      </c>
      <c r="C153" s="10">
        <v>2000</v>
      </c>
      <c r="D153" s="10">
        <v>690761956.71500683</v>
      </c>
      <c r="E153" s="10" t="s">
        <v>243</v>
      </c>
    </row>
    <row r="154" spans="1:5" x14ac:dyDescent="0.35">
      <c r="A154" s="86">
        <v>1162</v>
      </c>
      <c r="B154" s="10" t="s">
        <v>253</v>
      </c>
      <c r="C154" s="10">
        <v>2001</v>
      </c>
      <c r="D154" s="10">
        <v>703423846.24725997</v>
      </c>
      <c r="E154" s="10" t="s">
        <v>243</v>
      </c>
    </row>
    <row r="155" spans="1:5" x14ac:dyDescent="0.35">
      <c r="A155" s="86">
        <v>1163</v>
      </c>
      <c r="B155" s="10" t="s">
        <v>253</v>
      </c>
      <c r="C155" s="10">
        <v>2002</v>
      </c>
      <c r="D155" s="10">
        <v>716859592.29096413</v>
      </c>
      <c r="E155" s="10" t="s">
        <v>243</v>
      </c>
    </row>
    <row r="156" spans="1:5" x14ac:dyDescent="0.35">
      <c r="A156" s="86">
        <v>1164</v>
      </c>
      <c r="B156" s="10" t="s">
        <v>253</v>
      </c>
      <c r="C156" s="10">
        <v>2003</v>
      </c>
      <c r="D156" s="10">
        <v>731264027.46819091</v>
      </c>
      <c r="E156" s="10" t="s">
        <v>243</v>
      </c>
    </row>
    <row r="157" spans="1:5" x14ac:dyDescent="0.35">
      <c r="A157" s="86">
        <v>1165</v>
      </c>
      <c r="B157" s="10" t="s">
        <v>253</v>
      </c>
      <c r="C157" s="10">
        <v>2004</v>
      </c>
      <c r="D157" s="10">
        <v>746874398.4287734</v>
      </c>
      <c r="E157" s="10" t="s">
        <v>243</v>
      </c>
    </row>
    <row r="158" spans="1:5" x14ac:dyDescent="0.35">
      <c r="A158" s="86">
        <v>1166</v>
      </c>
      <c r="B158" s="10" t="s">
        <v>253</v>
      </c>
      <c r="C158" s="10">
        <v>2005</v>
      </c>
      <c r="D158" s="10">
        <v>763923319.19130528</v>
      </c>
      <c r="E158" s="10" t="s">
        <v>243</v>
      </c>
    </row>
    <row r="159" spans="1:5" x14ac:dyDescent="0.35">
      <c r="A159" s="86">
        <v>1167</v>
      </c>
      <c r="B159" s="10" t="s">
        <v>253</v>
      </c>
      <c r="C159" s="10">
        <v>2006</v>
      </c>
      <c r="D159" s="10">
        <v>782638870.63260448</v>
      </c>
      <c r="E159" s="10" t="s">
        <v>243</v>
      </c>
    </row>
    <row r="160" spans="1:5" x14ac:dyDescent="0.35">
      <c r="A160" s="86">
        <v>1168</v>
      </c>
      <c r="B160" s="10" t="s">
        <v>253</v>
      </c>
      <c r="C160" s="10">
        <v>2007</v>
      </c>
      <c r="D160" s="10">
        <v>803232829.60496747</v>
      </c>
      <c r="E160" s="10" t="s">
        <v>243</v>
      </c>
    </row>
    <row r="161" spans="1:5" x14ac:dyDescent="0.35">
      <c r="A161" s="86">
        <v>1169</v>
      </c>
      <c r="B161" s="10" t="s">
        <v>253</v>
      </c>
      <c r="C161" s="10">
        <v>2008</v>
      </c>
      <c r="D161" s="10">
        <v>825925832.02961361</v>
      </c>
      <c r="E161" s="10" t="s">
        <v>243</v>
      </c>
    </row>
    <row r="162" spans="1:5" x14ac:dyDescent="0.35">
      <c r="A162" s="86">
        <v>1170</v>
      </c>
      <c r="B162" s="10" t="s">
        <v>253</v>
      </c>
      <c r="C162" s="10">
        <v>2009</v>
      </c>
      <c r="D162" s="10">
        <v>850955627.50534809</v>
      </c>
      <c r="E162" s="10" t="s">
        <v>243</v>
      </c>
    </row>
    <row r="163" spans="1:5" x14ac:dyDescent="0.35">
      <c r="A163" s="86">
        <v>1171</v>
      </c>
      <c r="B163" s="10" t="s">
        <v>253</v>
      </c>
      <c r="C163" s="10">
        <v>2010</v>
      </c>
      <c r="D163" s="10">
        <v>878627545.16537523</v>
      </c>
      <c r="E163" s="10" t="s">
        <v>243</v>
      </c>
    </row>
    <row r="164" spans="1:5" x14ac:dyDescent="0.35">
      <c r="A164" s="86">
        <v>1172</v>
      </c>
      <c r="B164" s="10" t="s">
        <v>253</v>
      </c>
      <c r="C164" s="10">
        <v>2011</v>
      </c>
      <c r="D164" s="10">
        <v>909338665.15772307</v>
      </c>
      <c r="E164" s="10" t="s">
        <v>243</v>
      </c>
    </row>
    <row r="165" spans="1:5" x14ac:dyDescent="0.35">
      <c r="A165" s="86">
        <v>1173</v>
      </c>
      <c r="B165" s="10" t="s">
        <v>253</v>
      </c>
      <c r="C165" s="10">
        <v>2012</v>
      </c>
      <c r="D165" s="10">
        <v>943558502.73751938</v>
      </c>
      <c r="E165" s="10" t="s">
        <v>243</v>
      </c>
    </row>
    <row r="166" spans="1:5" x14ac:dyDescent="0.35">
      <c r="A166" s="86">
        <v>1174</v>
      </c>
      <c r="B166" s="10" t="s">
        <v>253</v>
      </c>
      <c r="C166" s="10">
        <v>2013</v>
      </c>
      <c r="D166" s="10">
        <v>981779259.8598932</v>
      </c>
      <c r="E166" s="10" t="s">
        <v>243</v>
      </c>
    </row>
    <row r="167" spans="1:5" x14ac:dyDescent="0.35">
      <c r="A167" s="86">
        <v>1175</v>
      </c>
      <c r="B167" s="10" t="s">
        <v>253</v>
      </c>
      <c r="C167" s="10">
        <v>2014</v>
      </c>
      <c r="D167" s="10">
        <v>1024513493.300921</v>
      </c>
      <c r="E167" s="10" t="s">
        <v>243</v>
      </c>
    </row>
    <row r="168" spans="1:5" x14ac:dyDescent="0.35">
      <c r="A168" s="86">
        <v>1176</v>
      </c>
      <c r="B168" s="10" t="s">
        <v>253</v>
      </c>
      <c r="C168" s="10">
        <v>2015</v>
      </c>
      <c r="D168" s="10">
        <v>1072251872.778825</v>
      </c>
      <c r="E168" s="10" t="s">
        <v>243</v>
      </c>
    </row>
    <row r="169" spans="1:5" x14ac:dyDescent="0.35">
      <c r="A169" s="86">
        <v>1177</v>
      </c>
      <c r="B169" s="10" t="s">
        <v>253</v>
      </c>
      <c r="C169" s="10">
        <v>2016</v>
      </c>
      <c r="D169" s="10">
        <v>1125426176.2326729</v>
      </c>
      <c r="E169" s="10" t="s">
        <v>243</v>
      </c>
    </row>
    <row r="170" spans="1:5" x14ac:dyDescent="0.35">
      <c r="A170" s="86">
        <v>1178</v>
      </c>
      <c r="B170" s="10" t="s">
        <v>253</v>
      </c>
      <c r="C170" s="10">
        <v>2017</v>
      </c>
      <c r="D170" s="10">
        <v>1184340345.5241261</v>
      </c>
      <c r="E170" s="10" t="s">
        <v>243</v>
      </c>
    </row>
    <row r="171" spans="1:5" x14ac:dyDescent="0.35">
      <c r="A171" s="86">
        <v>1179</v>
      </c>
      <c r="B171" s="10" t="s">
        <v>253</v>
      </c>
      <c r="C171" s="10">
        <v>2018</v>
      </c>
      <c r="D171" s="10">
        <v>1249096682.0549309</v>
      </c>
      <c r="E171" s="10" t="s">
        <v>243</v>
      </c>
    </row>
    <row r="172" spans="1:5" x14ac:dyDescent="0.35">
      <c r="A172" s="86">
        <v>1180</v>
      </c>
      <c r="B172" s="10" t="s">
        <v>253</v>
      </c>
      <c r="C172" s="10">
        <v>2019</v>
      </c>
      <c r="D172" s="10">
        <v>1319536255.346868</v>
      </c>
      <c r="E172" s="10" t="s">
        <v>243</v>
      </c>
    </row>
    <row r="173" spans="1:5" x14ac:dyDescent="0.35">
      <c r="A173" s="86">
        <v>1181</v>
      </c>
      <c r="B173" s="10" t="s">
        <v>253</v>
      </c>
      <c r="C173" s="10">
        <v>2020</v>
      </c>
      <c r="D173" s="10">
        <v>1395216842.269985</v>
      </c>
      <c r="E173" s="10" t="s">
        <v>243</v>
      </c>
    </row>
    <row r="174" spans="1:5" x14ac:dyDescent="0.35">
      <c r="A174" s="86">
        <v>1182</v>
      </c>
      <c r="B174" s="10" t="s">
        <v>253</v>
      </c>
      <c r="C174" s="10">
        <v>2021</v>
      </c>
      <c r="D174" s="10">
        <v>1475403739.614347</v>
      </c>
      <c r="E174" s="10" t="s">
        <v>243</v>
      </c>
    </row>
    <row r="175" spans="1:5" x14ac:dyDescent="0.35">
      <c r="A175" s="86">
        <v>1183</v>
      </c>
      <c r="B175" s="10" t="s">
        <v>253</v>
      </c>
      <c r="C175" s="10">
        <v>2022</v>
      </c>
      <c r="D175" s="10">
        <v>1559126049.6457331</v>
      </c>
      <c r="E175" s="10" t="s">
        <v>243</v>
      </c>
    </row>
    <row r="176" spans="1:5" x14ac:dyDescent="0.35">
      <c r="A176" s="86">
        <v>1184</v>
      </c>
      <c r="B176" s="10" t="s">
        <v>253</v>
      </c>
      <c r="C176" s="10">
        <v>2023</v>
      </c>
      <c r="D176" s="10">
        <v>1645252803.39502</v>
      </c>
      <c r="E176" s="10" t="s">
        <v>243</v>
      </c>
    </row>
    <row r="177" spans="1:5" x14ac:dyDescent="0.35">
      <c r="A177" s="86">
        <v>1185</v>
      </c>
      <c r="B177" s="10" t="s">
        <v>253</v>
      </c>
      <c r="C177" s="10">
        <v>2024</v>
      </c>
      <c r="D177" s="10">
        <v>1732607767.2190869</v>
      </c>
      <c r="E177" s="10" t="s">
        <v>243</v>
      </c>
    </row>
    <row r="178" spans="1:5" x14ac:dyDescent="0.35">
      <c r="A178" s="86">
        <v>1186</v>
      </c>
      <c r="B178" s="10" t="s">
        <v>253</v>
      </c>
      <c r="C178" s="10">
        <v>2025</v>
      </c>
      <c r="D178" s="10">
        <v>1820059889.6043539</v>
      </c>
      <c r="E178" s="10" t="s">
        <v>243</v>
      </c>
    </row>
    <row r="179" spans="1:5" x14ac:dyDescent="0.35">
      <c r="A179" s="86">
        <v>1187</v>
      </c>
      <c r="B179" s="10" t="s">
        <v>253</v>
      </c>
      <c r="C179" s="10">
        <v>2026</v>
      </c>
      <c r="D179" s="10">
        <v>1906606817.853327</v>
      </c>
      <c r="E179" s="10" t="s">
        <v>243</v>
      </c>
    </row>
    <row r="180" spans="1:5" x14ac:dyDescent="0.35">
      <c r="A180" s="86">
        <v>1188</v>
      </c>
      <c r="B180" s="10" t="s">
        <v>253</v>
      </c>
      <c r="C180" s="10">
        <v>2027</v>
      </c>
      <c r="D180" s="10">
        <v>1991478248.268384</v>
      </c>
      <c r="E180" s="10" t="s">
        <v>243</v>
      </c>
    </row>
    <row r="181" spans="1:5" x14ac:dyDescent="0.35">
      <c r="A181" s="86">
        <v>1189</v>
      </c>
      <c r="B181" s="10" t="s">
        <v>253</v>
      </c>
      <c r="C181" s="10">
        <v>2028</v>
      </c>
      <c r="D181" s="10">
        <v>2074221483.72964</v>
      </c>
      <c r="E181" s="10" t="s">
        <v>243</v>
      </c>
    </row>
    <row r="182" spans="1:5" x14ac:dyDescent="0.35">
      <c r="A182" s="86">
        <v>1190</v>
      </c>
      <c r="B182" s="10" t="s">
        <v>253</v>
      </c>
      <c r="C182" s="10">
        <v>2029</v>
      </c>
      <c r="D182" s="10">
        <v>2154670154.285109</v>
      </c>
      <c r="E182" s="10" t="s">
        <v>243</v>
      </c>
    </row>
    <row r="183" spans="1:5" x14ac:dyDescent="0.35">
      <c r="A183" s="86">
        <v>1191</v>
      </c>
      <c r="B183" s="10" t="s">
        <v>253</v>
      </c>
      <c r="C183" s="10">
        <v>2030</v>
      </c>
      <c r="D183" s="10">
        <v>2232900768.4577651</v>
      </c>
      <c r="E183" s="10" t="s">
        <v>243</v>
      </c>
    </row>
    <row r="184" spans="1:5" x14ac:dyDescent="0.35">
      <c r="A184" s="86">
        <v>1192</v>
      </c>
      <c r="B184" s="10" t="s">
        <v>253</v>
      </c>
      <c r="C184" s="10">
        <v>2031</v>
      </c>
      <c r="D184" s="10">
        <v>2309178382.7735462</v>
      </c>
      <c r="E184" s="10" t="s">
        <v>243</v>
      </c>
    </row>
    <row r="185" spans="1:5" x14ac:dyDescent="0.35">
      <c r="A185" s="86">
        <v>1193</v>
      </c>
      <c r="B185" s="10" t="s">
        <v>253</v>
      </c>
      <c r="C185" s="10">
        <v>2032</v>
      </c>
      <c r="D185" s="10">
        <v>2383880059.8284969</v>
      </c>
      <c r="E185" s="10" t="s">
        <v>243</v>
      </c>
    </row>
    <row r="186" spans="1:5" x14ac:dyDescent="0.35">
      <c r="A186" s="86">
        <v>1194</v>
      </c>
      <c r="B186" s="10" t="s">
        <v>253</v>
      </c>
      <c r="C186" s="10">
        <v>2033</v>
      </c>
      <c r="D186" s="10">
        <v>2457431732.071816</v>
      </c>
      <c r="E186" s="10" t="s">
        <v>243</v>
      </c>
    </row>
    <row r="187" spans="1:5" x14ac:dyDescent="0.35">
      <c r="A187" s="86">
        <v>1195</v>
      </c>
      <c r="B187" s="10" t="s">
        <v>253</v>
      </c>
      <c r="C187" s="10">
        <v>2034</v>
      </c>
      <c r="D187" s="10">
        <v>2530268828.3208108</v>
      </c>
      <c r="E187" s="10" t="s">
        <v>243</v>
      </c>
    </row>
    <row r="188" spans="1:5" x14ac:dyDescent="0.35">
      <c r="A188" s="86">
        <v>1196</v>
      </c>
      <c r="B188" s="10" t="s">
        <v>253</v>
      </c>
      <c r="C188" s="10">
        <v>2035</v>
      </c>
      <c r="D188" s="10">
        <v>2602816750.3698068</v>
      </c>
      <c r="E188" s="10" t="s">
        <v>243</v>
      </c>
    </row>
    <row r="189" spans="1:5" x14ac:dyDescent="0.35">
      <c r="A189" s="86">
        <v>1197</v>
      </c>
      <c r="B189" s="10" t="s">
        <v>253</v>
      </c>
      <c r="C189" s="10">
        <v>2036</v>
      </c>
      <c r="D189" s="10">
        <v>2675474918.4532571</v>
      </c>
      <c r="E189" s="10" t="s">
        <v>243</v>
      </c>
    </row>
    <row r="190" spans="1:5" x14ac:dyDescent="0.35">
      <c r="A190" s="86">
        <v>1198</v>
      </c>
      <c r="B190" s="10" t="s">
        <v>253</v>
      </c>
      <c r="C190" s="10">
        <v>2037</v>
      </c>
      <c r="D190" s="10">
        <v>2748601847.4511032</v>
      </c>
      <c r="E190" s="10" t="s">
        <v>243</v>
      </c>
    </row>
    <row r="191" spans="1:5" x14ac:dyDescent="0.35">
      <c r="A191" s="86">
        <v>1199</v>
      </c>
      <c r="B191" s="10" t="s">
        <v>253</v>
      </c>
      <c r="C191" s="10">
        <v>2038</v>
      </c>
      <c r="D191" s="10">
        <v>2822499225.7999978</v>
      </c>
      <c r="E191" s="10" t="s">
        <v>243</v>
      </c>
    </row>
    <row r="192" spans="1:5" x14ac:dyDescent="0.35">
      <c r="A192" s="86">
        <v>1200</v>
      </c>
      <c r="B192" s="10" t="s">
        <v>253</v>
      </c>
      <c r="C192" s="10">
        <v>2039</v>
      </c>
      <c r="D192" s="10">
        <v>2897413775.148942</v>
      </c>
      <c r="E192" s="10" t="s">
        <v>243</v>
      </c>
    </row>
    <row r="193" spans="1:5" x14ac:dyDescent="0.35">
      <c r="A193" s="86">
        <v>1201</v>
      </c>
      <c r="B193" s="10" t="s">
        <v>253</v>
      </c>
      <c r="C193" s="10">
        <v>2040</v>
      </c>
      <c r="D193" s="10">
        <v>2973531873.558569</v>
      </c>
      <c r="E193" s="10" t="s">
        <v>243</v>
      </c>
    </row>
    <row r="194" spans="1:5" x14ac:dyDescent="0.35">
      <c r="A194" s="86">
        <v>1202</v>
      </c>
      <c r="B194" s="10" t="s">
        <v>253</v>
      </c>
      <c r="C194" s="10">
        <v>2041</v>
      </c>
      <c r="D194" s="10">
        <v>3050980458.1866512</v>
      </c>
      <c r="E194" s="10" t="s">
        <v>243</v>
      </c>
    </row>
    <row r="195" spans="1:5" x14ac:dyDescent="0.35">
      <c r="A195" s="86">
        <v>1203</v>
      </c>
      <c r="B195" s="10" t="s">
        <v>253</v>
      </c>
      <c r="C195" s="10">
        <v>2042</v>
      </c>
      <c r="D195" s="10">
        <v>3129830560.66994</v>
      </c>
      <c r="E195" s="10" t="s">
        <v>243</v>
      </c>
    </row>
    <row r="196" spans="1:5" x14ac:dyDescent="0.35">
      <c r="A196" s="86">
        <v>1204</v>
      </c>
      <c r="B196" s="10" t="s">
        <v>253</v>
      </c>
      <c r="C196" s="10">
        <v>2043</v>
      </c>
      <c r="D196" s="10">
        <v>3210105406.3295832</v>
      </c>
      <c r="E196" s="10" t="s">
        <v>243</v>
      </c>
    </row>
    <row r="197" spans="1:5" x14ac:dyDescent="0.35">
      <c r="A197" s="86">
        <v>1205</v>
      </c>
      <c r="B197" s="10" t="s">
        <v>253</v>
      </c>
      <c r="C197" s="10">
        <v>2044</v>
      </c>
      <c r="D197" s="10">
        <v>3291784246.6722379</v>
      </c>
      <c r="E197" s="10" t="s">
        <v>243</v>
      </c>
    </row>
    <row r="198" spans="1:5" x14ac:dyDescent="0.35">
      <c r="A198" s="86">
        <v>1206</v>
      </c>
      <c r="B198" s="10" t="s">
        <v>253</v>
      </c>
      <c r="C198" s="10">
        <v>2045</v>
      </c>
      <c r="D198" s="10">
        <v>3374811018.5950098</v>
      </c>
      <c r="E198" s="10" t="s">
        <v>243</v>
      </c>
    </row>
    <row r="199" spans="1:5" x14ac:dyDescent="0.35">
      <c r="A199" s="86">
        <v>1207</v>
      </c>
      <c r="B199" s="10" t="s">
        <v>253</v>
      </c>
      <c r="C199" s="10">
        <v>2046</v>
      </c>
      <c r="D199" s="10">
        <v>3459101640.8221331</v>
      </c>
      <c r="E199" s="10" t="s">
        <v>243</v>
      </c>
    </row>
    <row r="200" spans="1:5" x14ac:dyDescent="0.35">
      <c r="A200" s="86">
        <v>1208</v>
      </c>
      <c r="B200" s="10" t="s">
        <v>253</v>
      </c>
      <c r="C200" s="10">
        <v>2047</v>
      </c>
      <c r="D200" s="10">
        <v>3544545310.9411139</v>
      </c>
      <c r="E200" s="10" t="s">
        <v>243</v>
      </c>
    </row>
    <row r="201" spans="1:5" x14ac:dyDescent="0.35">
      <c r="A201" s="86">
        <v>1209</v>
      </c>
      <c r="B201" s="10" t="s">
        <v>253</v>
      </c>
      <c r="C201" s="10">
        <v>2048</v>
      </c>
      <c r="D201" s="10">
        <v>3631003267.9803438</v>
      </c>
      <c r="E201" s="10" t="s">
        <v>243</v>
      </c>
    </row>
    <row r="202" spans="1:5" x14ac:dyDescent="0.35">
      <c r="A202" s="86">
        <v>1210</v>
      </c>
      <c r="B202" s="10" t="s">
        <v>253</v>
      </c>
      <c r="C202" s="10">
        <v>2049</v>
      </c>
      <c r="D202" s="10">
        <v>3718315744.1313248</v>
      </c>
      <c r="E202" s="10" t="s">
        <v>243</v>
      </c>
    </row>
    <row r="203" spans="1:5" x14ac:dyDescent="0.35">
      <c r="A203" s="86">
        <v>1211</v>
      </c>
      <c r="B203" s="10" t="s">
        <v>253</v>
      </c>
      <c r="C203" s="10">
        <v>2050</v>
      </c>
      <c r="D203" s="10">
        <v>3806305445.909019</v>
      </c>
      <c r="E203" s="10" t="s">
        <v>243</v>
      </c>
    </row>
    <row r="204" spans="1:5" x14ac:dyDescent="0.35">
      <c r="A204" s="86">
        <v>1717</v>
      </c>
      <c r="B204" s="10" t="s">
        <v>254</v>
      </c>
      <c r="C204" s="10">
        <v>1950</v>
      </c>
      <c r="D204" s="10">
        <v>325217493.88369823</v>
      </c>
      <c r="E204" s="10" t="s">
        <v>243</v>
      </c>
    </row>
    <row r="205" spans="1:5" x14ac:dyDescent="0.35">
      <c r="A205" s="86">
        <v>1718</v>
      </c>
      <c r="B205" s="10" t="s">
        <v>254</v>
      </c>
      <c r="C205" s="10">
        <v>1951</v>
      </c>
      <c r="D205" s="10">
        <v>329842876.52088457</v>
      </c>
      <c r="E205" s="10" t="s">
        <v>243</v>
      </c>
    </row>
    <row r="206" spans="1:5" x14ac:dyDescent="0.35">
      <c r="A206" s="86">
        <v>1719</v>
      </c>
      <c r="B206" s="10" t="s">
        <v>254</v>
      </c>
      <c r="C206" s="10">
        <v>1952</v>
      </c>
      <c r="D206" s="10">
        <v>334830011.27060431</v>
      </c>
      <c r="E206" s="10" t="s">
        <v>243</v>
      </c>
    </row>
    <row r="207" spans="1:5" x14ac:dyDescent="0.35">
      <c r="A207" s="86">
        <v>1720</v>
      </c>
      <c r="B207" s="10" t="s">
        <v>254</v>
      </c>
      <c r="C207" s="10">
        <v>1953</v>
      </c>
      <c r="D207" s="10">
        <v>340104870.41685933</v>
      </c>
      <c r="E207" s="10" t="s">
        <v>243</v>
      </c>
    </row>
    <row r="208" spans="1:5" x14ac:dyDescent="0.35">
      <c r="A208" s="86">
        <v>1721</v>
      </c>
      <c r="B208" s="10" t="s">
        <v>254</v>
      </c>
      <c r="C208" s="10">
        <v>1954</v>
      </c>
      <c r="D208" s="10">
        <v>345602789.24408281</v>
      </c>
      <c r="E208" s="10" t="s">
        <v>243</v>
      </c>
    </row>
    <row r="209" spans="1:5" x14ac:dyDescent="0.35">
      <c r="A209" s="86">
        <v>1722</v>
      </c>
      <c r="B209" s="10" t="s">
        <v>254</v>
      </c>
      <c r="C209" s="10">
        <v>1955</v>
      </c>
      <c r="D209" s="10">
        <v>351268612.39834148</v>
      </c>
      <c r="E209" s="10" t="s">
        <v>243</v>
      </c>
    </row>
    <row r="210" spans="1:5" x14ac:dyDescent="0.35">
      <c r="A210" s="86">
        <v>1723</v>
      </c>
      <c r="B210" s="10" t="s">
        <v>254</v>
      </c>
      <c r="C210" s="10">
        <v>1956</v>
      </c>
      <c r="D210" s="10">
        <v>357057165.11729747</v>
      </c>
      <c r="E210" s="10" t="s">
        <v>243</v>
      </c>
    </row>
    <row r="211" spans="1:5" x14ac:dyDescent="0.35">
      <c r="A211" s="86">
        <v>1724</v>
      </c>
      <c r="B211" s="10" t="s">
        <v>254</v>
      </c>
      <c r="C211" s="10">
        <v>1957</v>
      </c>
      <c r="D211" s="10">
        <v>362932982.00566357</v>
      </c>
      <c r="E211" s="10" t="s">
        <v>243</v>
      </c>
    </row>
    <row r="212" spans="1:5" x14ac:dyDescent="0.35">
      <c r="A212" s="86">
        <v>1725</v>
      </c>
      <c r="B212" s="10" t="s">
        <v>254</v>
      </c>
      <c r="C212" s="10">
        <v>1958</v>
      </c>
      <c r="D212" s="10">
        <v>368869824.23310471</v>
      </c>
      <c r="E212" s="10" t="s">
        <v>243</v>
      </c>
    </row>
    <row r="213" spans="1:5" x14ac:dyDescent="0.35">
      <c r="A213" s="86">
        <v>1726</v>
      </c>
      <c r="B213" s="10" t="s">
        <v>254</v>
      </c>
      <c r="C213" s="10">
        <v>1959</v>
      </c>
      <c r="D213" s="10">
        <v>374849364.84068322</v>
      </c>
      <c r="E213" s="10" t="s">
        <v>243</v>
      </c>
    </row>
    <row r="214" spans="1:5" x14ac:dyDescent="0.35">
      <c r="A214" s="86">
        <v>1727</v>
      </c>
      <c r="B214" s="10" t="s">
        <v>254</v>
      </c>
      <c r="C214" s="10">
        <v>1960</v>
      </c>
      <c r="D214" s="10">
        <v>380857181.25919372</v>
      </c>
      <c r="E214" s="10" t="s">
        <v>243</v>
      </c>
    </row>
    <row r="215" spans="1:5" x14ac:dyDescent="0.35">
      <c r="A215" s="86">
        <v>1728</v>
      </c>
      <c r="B215" s="10" t="s">
        <v>254</v>
      </c>
      <c r="C215" s="10">
        <v>1961</v>
      </c>
      <c r="D215" s="10">
        <v>386878361.68272913</v>
      </c>
      <c r="E215" s="10" t="s">
        <v>243</v>
      </c>
    </row>
    <row r="216" spans="1:5" x14ac:dyDescent="0.35">
      <c r="A216" s="86">
        <v>1729</v>
      </c>
      <c r="B216" s="10" t="s">
        <v>254</v>
      </c>
      <c r="C216" s="10">
        <v>1962</v>
      </c>
      <c r="D216" s="10">
        <v>392893346.30590773</v>
      </c>
      <c r="E216" s="10" t="s">
        <v>243</v>
      </c>
    </row>
    <row r="217" spans="1:5" x14ac:dyDescent="0.35">
      <c r="A217" s="86">
        <v>1730</v>
      </c>
      <c r="B217" s="10" t="s">
        <v>254</v>
      </c>
      <c r="C217" s="10">
        <v>1963</v>
      </c>
      <c r="D217" s="10">
        <v>398875888.06278878</v>
      </c>
      <c r="E217" s="10" t="s">
        <v>243</v>
      </c>
    </row>
    <row r="218" spans="1:5" x14ac:dyDescent="0.35">
      <c r="A218" s="86">
        <v>1731</v>
      </c>
      <c r="B218" s="10" t="s">
        <v>254</v>
      </c>
      <c r="C218" s="10">
        <v>1964</v>
      </c>
      <c r="D218" s="10">
        <v>404797387.96736407</v>
      </c>
      <c r="E218" s="10" t="s">
        <v>243</v>
      </c>
    </row>
    <row r="219" spans="1:5" x14ac:dyDescent="0.35">
      <c r="A219" s="86">
        <v>1732</v>
      </c>
      <c r="B219" s="10" t="s">
        <v>254</v>
      </c>
      <c r="C219" s="10">
        <v>1965</v>
      </c>
      <c r="D219" s="10">
        <v>410640892.42723048</v>
      </c>
      <c r="E219" s="10" t="s">
        <v>243</v>
      </c>
    </row>
    <row r="220" spans="1:5" x14ac:dyDescent="0.35">
      <c r="A220" s="86">
        <v>1733</v>
      </c>
      <c r="B220" s="10" t="s">
        <v>254</v>
      </c>
      <c r="C220" s="10">
        <v>1966</v>
      </c>
      <c r="D220" s="10">
        <v>416387397.5849905</v>
      </c>
      <c r="E220" s="10" t="s">
        <v>243</v>
      </c>
    </row>
    <row r="221" spans="1:5" x14ac:dyDescent="0.35">
      <c r="A221" s="86">
        <v>1734</v>
      </c>
      <c r="B221" s="10" t="s">
        <v>254</v>
      </c>
      <c r="C221" s="10">
        <v>1967</v>
      </c>
      <c r="D221" s="10">
        <v>422049660.35858071</v>
      </c>
      <c r="E221" s="10" t="s">
        <v>243</v>
      </c>
    </row>
    <row r="222" spans="1:5" x14ac:dyDescent="0.35">
      <c r="A222" s="86">
        <v>1735</v>
      </c>
      <c r="B222" s="10" t="s">
        <v>254</v>
      </c>
      <c r="C222" s="10">
        <v>1968</v>
      </c>
      <c r="D222" s="10">
        <v>427683017.51663297</v>
      </c>
      <c r="E222" s="10" t="s">
        <v>243</v>
      </c>
    </row>
    <row r="223" spans="1:5" x14ac:dyDescent="0.35">
      <c r="A223" s="86">
        <v>1736</v>
      </c>
      <c r="B223" s="10" t="s">
        <v>254</v>
      </c>
      <c r="C223" s="10">
        <v>1969</v>
      </c>
      <c r="D223" s="10">
        <v>433366122.27077818</v>
      </c>
      <c r="E223" s="10" t="s">
        <v>243</v>
      </c>
    </row>
    <row r="224" spans="1:5" x14ac:dyDescent="0.35">
      <c r="A224" s="86">
        <v>1737</v>
      </c>
      <c r="B224" s="10" t="s">
        <v>254</v>
      </c>
      <c r="C224" s="10">
        <v>1970</v>
      </c>
      <c r="D224" s="10">
        <v>439157503.8839252</v>
      </c>
      <c r="E224" s="10" t="s">
        <v>243</v>
      </c>
    </row>
    <row r="225" spans="1:5" x14ac:dyDescent="0.35">
      <c r="A225" s="86">
        <v>1738</v>
      </c>
      <c r="B225" s="10" t="s">
        <v>254</v>
      </c>
      <c r="C225" s="10">
        <v>1971</v>
      </c>
      <c r="D225" s="10">
        <v>445083810.87471271</v>
      </c>
      <c r="E225" s="10" t="s">
        <v>243</v>
      </c>
    </row>
    <row r="226" spans="1:5" x14ac:dyDescent="0.35">
      <c r="A226" s="86">
        <v>1739</v>
      </c>
      <c r="B226" s="10" t="s">
        <v>254</v>
      </c>
      <c r="C226" s="10">
        <v>1972</v>
      </c>
      <c r="D226" s="10">
        <v>451134289.74090111</v>
      </c>
      <c r="E226" s="10" t="s">
        <v>243</v>
      </c>
    </row>
    <row r="227" spans="1:5" x14ac:dyDescent="0.35">
      <c r="A227" s="86">
        <v>1740</v>
      </c>
      <c r="B227" s="10" t="s">
        <v>254</v>
      </c>
      <c r="C227" s="10">
        <v>1973</v>
      </c>
      <c r="D227" s="10">
        <v>457285487.05396527</v>
      </c>
      <c r="E227" s="10" t="s">
        <v>243</v>
      </c>
    </row>
    <row r="228" spans="1:5" x14ac:dyDescent="0.35">
      <c r="A228" s="86">
        <v>1741</v>
      </c>
      <c r="B228" s="10" t="s">
        <v>254</v>
      </c>
      <c r="C228" s="10">
        <v>1974</v>
      </c>
      <c r="D228" s="10">
        <v>463497073.09563643</v>
      </c>
      <c r="E228" s="10" t="s">
        <v>243</v>
      </c>
    </row>
    <row r="229" spans="1:5" x14ac:dyDescent="0.35">
      <c r="A229" s="86">
        <v>1742</v>
      </c>
      <c r="B229" s="10" t="s">
        <v>254</v>
      </c>
      <c r="C229" s="10">
        <v>1975</v>
      </c>
      <c r="D229" s="10">
        <v>469742791.57384878</v>
      </c>
      <c r="E229" s="10" t="s">
        <v>243</v>
      </c>
    </row>
    <row r="230" spans="1:5" x14ac:dyDescent="0.35">
      <c r="A230" s="86">
        <v>1743</v>
      </c>
      <c r="B230" s="10" t="s">
        <v>254</v>
      </c>
      <c r="C230" s="10">
        <v>1976</v>
      </c>
      <c r="D230" s="10">
        <v>476022752.23096818</v>
      </c>
      <c r="E230" s="10" t="s">
        <v>243</v>
      </c>
    </row>
    <row r="231" spans="1:5" x14ac:dyDescent="0.35">
      <c r="A231" s="86">
        <v>1744</v>
      </c>
      <c r="B231" s="10" t="s">
        <v>254</v>
      </c>
      <c r="C231" s="10">
        <v>1977</v>
      </c>
      <c r="D231" s="10">
        <v>482360276.14683282</v>
      </c>
      <c r="E231" s="10" t="s">
        <v>243</v>
      </c>
    </row>
    <row r="232" spans="1:5" x14ac:dyDescent="0.35">
      <c r="A232" s="86">
        <v>1745</v>
      </c>
      <c r="B232" s="10" t="s">
        <v>254</v>
      </c>
      <c r="C232" s="10">
        <v>1978</v>
      </c>
      <c r="D232" s="10">
        <v>488780339.22824788</v>
      </c>
      <c r="E232" s="10" t="s">
        <v>243</v>
      </c>
    </row>
    <row r="233" spans="1:5" x14ac:dyDescent="0.35">
      <c r="A233" s="86">
        <v>1746</v>
      </c>
      <c r="B233" s="10" t="s">
        <v>254</v>
      </c>
      <c r="C233" s="10">
        <v>1979</v>
      </c>
      <c r="D233" s="10">
        <v>495316978.08026987</v>
      </c>
      <c r="E233" s="10" t="s">
        <v>243</v>
      </c>
    </row>
    <row r="234" spans="1:5" x14ac:dyDescent="0.35">
      <c r="A234" s="86">
        <v>1747</v>
      </c>
      <c r="B234" s="10" t="s">
        <v>254</v>
      </c>
      <c r="C234" s="10">
        <v>1980</v>
      </c>
      <c r="D234" s="10">
        <v>501999027.3532849</v>
      </c>
      <c r="E234" s="10" t="s">
        <v>243</v>
      </c>
    </row>
    <row r="235" spans="1:5" x14ac:dyDescent="0.35">
      <c r="A235" s="86">
        <v>1748</v>
      </c>
      <c r="B235" s="10" t="s">
        <v>254</v>
      </c>
      <c r="C235" s="10">
        <v>1981</v>
      </c>
      <c r="D235" s="10">
        <v>508835891.15640408</v>
      </c>
      <c r="E235" s="10" t="s">
        <v>243</v>
      </c>
    </row>
    <row r="236" spans="1:5" x14ac:dyDescent="0.35">
      <c r="A236" s="86">
        <v>1749</v>
      </c>
      <c r="B236" s="10" t="s">
        <v>254</v>
      </c>
      <c r="C236" s="10">
        <v>1982</v>
      </c>
      <c r="D236" s="10">
        <v>515834105.12982762</v>
      </c>
      <c r="E236" s="10" t="s">
        <v>243</v>
      </c>
    </row>
    <row r="237" spans="1:5" x14ac:dyDescent="0.35">
      <c r="A237" s="86">
        <v>1750</v>
      </c>
      <c r="B237" s="10" t="s">
        <v>254</v>
      </c>
      <c r="C237" s="10">
        <v>1983</v>
      </c>
      <c r="D237" s="10">
        <v>523016635.02417922</v>
      </c>
      <c r="E237" s="10" t="s">
        <v>243</v>
      </c>
    </row>
    <row r="238" spans="1:5" x14ac:dyDescent="0.35">
      <c r="A238" s="86">
        <v>1751</v>
      </c>
      <c r="B238" s="10" t="s">
        <v>254</v>
      </c>
      <c r="C238" s="10">
        <v>1984</v>
      </c>
      <c r="D238" s="10">
        <v>530410049.53063673</v>
      </c>
      <c r="E238" s="10" t="s">
        <v>243</v>
      </c>
    </row>
    <row r="239" spans="1:5" x14ac:dyDescent="0.35">
      <c r="A239" s="86">
        <v>1752</v>
      </c>
      <c r="B239" s="10" t="s">
        <v>254</v>
      </c>
      <c r="C239" s="10">
        <v>1985</v>
      </c>
      <c r="D239" s="10">
        <v>538035344.92604029</v>
      </c>
      <c r="E239" s="10" t="s">
        <v>243</v>
      </c>
    </row>
    <row r="240" spans="1:5" x14ac:dyDescent="0.35">
      <c r="A240" s="86">
        <v>1753</v>
      </c>
      <c r="B240" s="10" t="s">
        <v>254</v>
      </c>
      <c r="C240" s="10">
        <v>1986</v>
      </c>
      <c r="D240" s="10">
        <v>545918549.05644739</v>
      </c>
      <c r="E240" s="10" t="s">
        <v>243</v>
      </c>
    </row>
    <row r="241" spans="1:5" x14ac:dyDescent="0.35">
      <c r="A241" s="86">
        <v>1754</v>
      </c>
      <c r="B241" s="10" t="s">
        <v>254</v>
      </c>
      <c r="C241" s="10">
        <v>1987</v>
      </c>
      <c r="D241" s="10">
        <v>554066094.14441907</v>
      </c>
      <c r="E241" s="10" t="s">
        <v>243</v>
      </c>
    </row>
    <row r="242" spans="1:5" x14ac:dyDescent="0.35">
      <c r="A242" s="86">
        <v>1755</v>
      </c>
      <c r="B242" s="10" t="s">
        <v>254</v>
      </c>
      <c r="C242" s="10">
        <v>1988</v>
      </c>
      <c r="D242" s="10">
        <v>562455869.00680077</v>
      </c>
      <c r="E242" s="10" t="s">
        <v>243</v>
      </c>
    </row>
    <row r="243" spans="1:5" x14ac:dyDescent="0.35">
      <c r="A243" s="86">
        <v>1756</v>
      </c>
      <c r="B243" s="10" t="s">
        <v>254</v>
      </c>
      <c r="C243" s="10">
        <v>1989</v>
      </c>
      <c r="D243" s="10">
        <v>571050681.10453653</v>
      </c>
      <c r="E243" s="10" t="s">
        <v>243</v>
      </c>
    </row>
    <row r="244" spans="1:5" x14ac:dyDescent="0.35">
      <c r="A244" s="86">
        <v>1757</v>
      </c>
      <c r="B244" s="10" t="s">
        <v>254</v>
      </c>
      <c r="C244" s="10">
        <v>1990</v>
      </c>
      <c r="D244" s="10">
        <v>579829747.30223072</v>
      </c>
      <c r="E244" s="10" t="s">
        <v>243</v>
      </c>
    </row>
    <row r="245" spans="1:5" x14ac:dyDescent="0.35">
      <c r="A245" s="86">
        <v>1758</v>
      </c>
      <c r="B245" s="10" t="s">
        <v>254</v>
      </c>
      <c r="C245" s="10">
        <v>1991</v>
      </c>
      <c r="D245" s="10">
        <v>588793759.39998901</v>
      </c>
      <c r="E245" s="10" t="s">
        <v>243</v>
      </c>
    </row>
    <row r="246" spans="1:5" x14ac:dyDescent="0.35">
      <c r="A246" s="86">
        <v>1759</v>
      </c>
      <c r="B246" s="10" t="s">
        <v>254</v>
      </c>
      <c r="C246" s="10">
        <v>1992</v>
      </c>
      <c r="D246" s="10">
        <v>597977834.74875343</v>
      </c>
      <c r="E246" s="10" t="s">
        <v>243</v>
      </c>
    </row>
    <row r="247" spans="1:5" x14ac:dyDescent="0.35">
      <c r="A247" s="86">
        <v>1760</v>
      </c>
      <c r="B247" s="10" t="s">
        <v>254</v>
      </c>
      <c r="C247" s="10">
        <v>1993</v>
      </c>
      <c r="D247" s="10">
        <v>607437425.22280574</v>
      </c>
      <c r="E247" s="10" t="s">
        <v>243</v>
      </c>
    </row>
    <row r="248" spans="1:5" x14ac:dyDescent="0.35">
      <c r="A248" s="86">
        <v>1761</v>
      </c>
      <c r="B248" s="10" t="s">
        <v>254</v>
      </c>
      <c r="C248" s="10">
        <v>1994</v>
      </c>
      <c r="D248" s="10">
        <v>617246980.53996527</v>
      </c>
      <c r="E248" s="10" t="s">
        <v>243</v>
      </c>
    </row>
    <row r="249" spans="1:5" x14ac:dyDescent="0.35">
      <c r="A249" s="86">
        <v>1762</v>
      </c>
      <c r="B249" s="10" t="s">
        <v>254</v>
      </c>
      <c r="C249" s="10">
        <v>1995</v>
      </c>
      <c r="D249" s="10">
        <v>627471299.77339959</v>
      </c>
      <c r="E249" s="10" t="s">
        <v>243</v>
      </c>
    </row>
    <row r="250" spans="1:5" x14ac:dyDescent="0.35">
      <c r="A250" s="86">
        <v>1763</v>
      </c>
      <c r="B250" s="10" t="s">
        <v>254</v>
      </c>
      <c r="C250" s="10">
        <v>1996</v>
      </c>
      <c r="D250" s="10">
        <v>638162885.98720288</v>
      </c>
      <c r="E250" s="10" t="s">
        <v>243</v>
      </c>
    </row>
    <row r="251" spans="1:5" x14ac:dyDescent="0.35">
      <c r="A251" s="86">
        <v>1764</v>
      </c>
      <c r="B251" s="10" t="s">
        <v>254</v>
      </c>
      <c r="C251" s="10">
        <v>1997</v>
      </c>
      <c r="D251" s="10">
        <v>649352714.51821363</v>
      </c>
      <c r="E251" s="10" t="s">
        <v>243</v>
      </c>
    </row>
    <row r="252" spans="1:5" x14ac:dyDescent="0.35">
      <c r="A252" s="86">
        <v>1765</v>
      </c>
      <c r="B252" s="10" t="s">
        <v>254</v>
      </c>
      <c r="C252" s="10">
        <v>1998</v>
      </c>
      <c r="D252" s="10">
        <v>661067524.63268518</v>
      </c>
      <c r="E252" s="10" t="s">
        <v>243</v>
      </c>
    </row>
    <row r="253" spans="1:5" x14ac:dyDescent="0.35">
      <c r="A253" s="86">
        <v>1766</v>
      </c>
      <c r="B253" s="10" t="s">
        <v>254</v>
      </c>
      <c r="C253" s="10">
        <v>1999</v>
      </c>
      <c r="D253" s="10">
        <v>673335023.26942015</v>
      </c>
      <c r="E253" s="10" t="s">
        <v>243</v>
      </c>
    </row>
    <row r="254" spans="1:5" x14ac:dyDescent="0.35">
      <c r="A254" s="86">
        <v>1767</v>
      </c>
      <c r="B254" s="10" t="s">
        <v>254</v>
      </c>
      <c r="C254" s="10">
        <v>2000</v>
      </c>
      <c r="D254" s="10">
        <v>686212745.04573846</v>
      </c>
      <c r="E254" s="10" t="s">
        <v>243</v>
      </c>
    </row>
    <row r="255" spans="1:5" x14ac:dyDescent="0.35">
      <c r="A255" s="86">
        <v>1768</v>
      </c>
      <c r="B255" s="10" t="s">
        <v>254</v>
      </c>
      <c r="C255" s="10">
        <v>2001</v>
      </c>
      <c r="D255" s="10">
        <v>699776903.90906477</v>
      </c>
      <c r="E255" s="10" t="s">
        <v>243</v>
      </c>
    </row>
    <row r="256" spans="1:5" x14ac:dyDescent="0.35">
      <c r="A256" s="86">
        <v>1769</v>
      </c>
      <c r="B256" s="10" t="s">
        <v>254</v>
      </c>
      <c r="C256" s="10">
        <v>2002</v>
      </c>
      <c r="D256" s="10">
        <v>714156307.98118985</v>
      </c>
      <c r="E256" s="10" t="s">
        <v>243</v>
      </c>
    </row>
    <row r="257" spans="1:5" x14ac:dyDescent="0.35">
      <c r="A257" s="86">
        <v>1770</v>
      </c>
      <c r="B257" s="10" t="s">
        <v>254</v>
      </c>
      <c r="C257" s="10">
        <v>2003</v>
      </c>
      <c r="D257" s="10">
        <v>729538773.50666654</v>
      </c>
      <c r="E257" s="10" t="s">
        <v>243</v>
      </c>
    </row>
    <row r="258" spans="1:5" x14ac:dyDescent="0.35">
      <c r="A258" s="86">
        <v>1771</v>
      </c>
      <c r="B258" s="10" t="s">
        <v>254</v>
      </c>
      <c r="C258" s="10">
        <v>2004</v>
      </c>
      <c r="D258" s="10">
        <v>746155256.34516943</v>
      </c>
      <c r="E258" s="10" t="s">
        <v>243</v>
      </c>
    </row>
    <row r="259" spans="1:5" x14ac:dyDescent="0.35">
      <c r="A259" s="86">
        <v>1772</v>
      </c>
      <c r="B259" s="10" t="s">
        <v>254</v>
      </c>
      <c r="C259" s="10">
        <v>2005</v>
      </c>
      <c r="D259" s="10">
        <v>764234620.79387081</v>
      </c>
      <c r="E259" s="10" t="s">
        <v>243</v>
      </c>
    </row>
    <row r="260" spans="1:5" x14ac:dyDescent="0.35">
      <c r="A260" s="86">
        <v>1773</v>
      </c>
      <c r="B260" s="10" t="s">
        <v>254</v>
      </c>
      <c r="C260" s="10">
        <v>2006</v>
      </c>
      <c r="D260" s="10">
        <v>784002654.68802845</v>
      </c>
      <c r="E260" s="10" t="s">
        <v>243</v>
      </c>
    </row>
    <row r="261" spans="1:5" x14ac:dyDescent="0.35">
      <c r="A261" s="86">
        <v>1774</v>
      </c>
      <c r="B261" s="10" t="s">
        <v>254</v>
      </c>
      <c r="C261" s="10">
        <v>2007</v>
      </c>
      <c r="D261" s="10">
        <v>805647184.01850379</v>
      </c>
      <c r="E261" s="10" t="s">
        <v>243</v>
      </c>
    </row>
    <row r="262" spans="1:5" x14ac:dyDescent="0.35">
      <c r="A262" s="86">
        <v>1775</v>
      </c>
      <c r="B262" s="10" t="s">
        <v>254</v>
      </c>
      <c r="C262" s="10">
        <v>2008</v>
      </c>
      <c r="D262" s="10">
        <v>828829124.72247529</v>
      </c>
      <c r="E262" s="10" t="s">
        <v>243</v>
      </c>
    </row>
    <row r="263" spans="1:5" x14ac:dyDescent="0.35">
      <c r="A263" s="86">
        <v>1776</v>
      </c>
      <c r="B263" s="10" t="s">
        <v>254</v>
      </c>
      <c r="C263" s="10">
        <v>2009</v>
      </c>
      <c r="D263" s="10">
        <v>849576651.68674052</v>
      </c>
      <c r="E263" s="10" t="s">
        <v>243</v>
      </c>
    </row>
    <row r="264" spans="1:5" x14ac:dyDescent="0.35">
      <c r="A264" s="86">
        <v>1777</v>
      </c>
      <c r="B264" s="10" t="s">
        <v>254</v>
      </c>
      <c r="C264" s="10">
        <v>2010</v>
      </c>
      <c r="D264" s="10">
        <v>875225911.70198095</v>
      </c>
      <c r="E264" s="10" t="s">
        <v>243</v>
      </c>
    </row>
    <row r="265" spans="1:5" x14ac:dyDescent="0.35">
      <c r="A265" s="86">
        <v>1778</v>
      </c>
      <c r="B265" s="10" t="s">
        <v>254</v>
      </c>
      <c r="C265" s="10">
        <v>2011</v>
      </c>
      <c r="D265" s="10">
        <v>906909060.00257552</v>
      </c>
      <c r="E265" s="10" t="s">
        <v>243</v>
      </c>
    </row>
    <row r="266" spans="1:5" x14ac:dyDescent="0.35">
      <c r="A266" s="86">
        <v>1779</v>
      </c>
      <c r="B266" s="10" t="s">
        <v>254</v>
      </c>
      <c r="C266" s="10">
        <v>2012</v>
      </c>
      <c r="D266" s="10">
        <v>942406457.42463708</v>
      </c>
      <c r="E266" s="10" t="s">
        <v>243</v>
      </c>
    </row>
    <row r="267" spans="1:5" x14ac:dyDescent="0.35">
      <c r="A267" s="86">
        <v>1780</v>
      </c>
      <c r="B267" s="10" t="s">
        <v>254</v>
      </c>
      <c r="C267" s="10">
        <v>2013</v>
      </c>
      <c r="D267" s="10">
        <v>982093318.42021394</v>
      </c>
      <c r="E267" s="10" t="s">
        <v>243</v>
      </c>
    </row>
    <row r="268" spans="1:5" x14ac:dyDescent="0.35">
      <c r="A268" s="86">
        <v>1781</v>
      </c>
      <c r="B268" s="10" t="s">
        <v>254</v>
      </c>
      <c r="C268" s="10">
        <v>2014</v>
      </c>
      <c r="D268" s="10">
        <v>1026572030.183737</v>
      </c>
      <c r="E268" s="10" t="s">
        <v>243</v>
      </c>
    </row>
    <row r="269" spans="1:5" x14ac:dyDescent="0.35">
      <c r="A269" s="86">
        <v>1782</v>
      </c>
      <c r="B269" s="10" t="s">
        <v>254</v>
      </c>
      <c r="C269" s="10">
        <v>2015</v>
      </c>
      <c r="D269" s="10">
        <v>1076473017.412745</v>
      </c>
      <c r="E269" s="10" t="s">
        <v>243</v>
      </c>
    </row>
    <row r="270" spans="1:5" x14ac:dyDescent="0.35">
      <c r="A270" s="86">
        <v>1783</v>
      </c>
      <c r="B270" s="10" t="s">
        <v>254</v>
      </c>
      <c r="C270" s="10">
        <v>2016</v>
      </c>
      <c r="D270" s="10">
        <v>1132420832.7951789</v>
      </c>
      <c r="E270" s="10" t="s">
        <v>243</v>
      </c>
    </row>
    <row r="271" spans="1:5" x14ac:dyDescent="0.35">
      <c r="A271" s="86">
        <v>1784</v>
      </c>
      <c r="B271" s="10" t="s">
        <v>254</v>
      </c>
      <c r="C271" s="10">
        <v>2017</v>
      </c>
      <c r="D271" s="10">
        <v>1194972884.7967889</v>
      </c>
      <c r="E271" s="10" t="s">
        <v>243</v>
      </c>
    </row>
    <row r="272" spans="1:5" x14ac:dyDescent="0.35">
      <c r="A272" s="86">
        <v>1785</v>
      </c>
      <c r="B272" s="10" t="s">
        <v>254</v>
      </c>
      <c r="C272" s="10">
        <v>2018</v>
      </c>
      <c r="D272" s="10">
        <v>1264547123.038126</v>
      </c>
      <c r="E272" s="10" t="s">
        <v>243</v>
      </c>
    </row>
    <row r="273" spans="1:5" x14ac:dyDescent="0.35">
      <c r="A273" s="86">
        <v>1786</v>
      </c>
      <c r="B273" s="10" t="s">
        <v>254</v>
      </c>
      <c r="C273" s="10">
        <v>2019</v>
      </c>
      <c r="D273" s="10">
        <v>1341351665.460577</v>
      </c>
      <c r="E273" s="10" t="s">
        <v>243</v>
      </c>
    </row>
    <row r="274" spans="1:5" x14ac:dyDescent="0.35">
      <c r="A274" s="86">
        <v>1787</v>
      </c>
      <c r="B274" s="10" t="s">
        <v>254</v>
      </c>
      <c r="C274" s="10">
        <v>2020</v>
      </c>
      <c r="D274" s="10">
        <v>1425335682.337003</v>
      </c>
      <c r="E274" s="10" t="s">
        <v>243</v>
      </c>
    </row>
    <row r="275" spans="1:5" x14ac:dyDescent="0.35">
      <c r="A275" s="86">
        <v>1788</v>
      </c>
      <c r="B275" s="10" t="s">
        <v>254</v>
      </c>
      <c r="C275" s="10">
        <v>2021</v>
      </c>
      <c r="D275" s="10">
        <v>1516135934.369724</v>
      </c>
      <c r="E275" s="10" t="s">
        <v>243</v>
      </c>
    </row>
    <row r="276" spans="1:5" x14ac:dyDescent="0.35">
      <c r="A276" s="86">
        <v>1789</v>
      </c>
      <c r="B276" s="10" t="s">
        <v>254</v>
      </c>
      <c r="C276" s="10">
        <v>2022</v>
      </c>
      <c r="D276" s="10">
        <v>1613077154.268779</v>
      </c>
      <c r="E276" s="10" t="s">
        <v>243</v>
      </c>
    </row>
    <row r="277" spans="1:5" x14ac:dyDescent="0.35">
      <c r="A277" s="86">
        <v>1790</v>
      </c>
      <c r="B277" s="10" t="s">
        <v>254</v>
      </c>
      <c r="C277" s="10">
        <v>2023</v>
      </c>
      <c r="D277" s="10">
        <v>1715192081.108361</v>
      </c>
      <c r="E277" s="10" t="s">
        <v>243</v>
      </c>
    </row>
    <row r="278" spans="1:5" x14ac:dyDescent="0.35">
      <c r="A278" s="86">
        <v>1791</v>
      </c>
      <c r="B278" s="10" t="s">
        <v>254</v>
      </c>
      <c r="C278" s="10">
        <v>2024</v>
      </c>
      <c r="D278" s="10">
        <v>1821296869.844008</v>
      </c>
      <c r="E278" s="10" t="s">
        <v>243</v>
      </c>
    </row>
    <row r="279" spans="1:5" x14ac:dyDescent="0.35">
      <c r="A279" s="86">
        <v>1792</v>
      </c>
      <c r="B279" s="10" t="s">
        <v>254</v>
      </c>
      <c r="C279" s="10">
        <v>2025</v>
      </c>
      <c r="D279" s="10">
        <v>1930071637.761591</v>
      </c>
      <c r="E279" s="10" t="s">
        <v>243</v>
      </c>
    </row>
    <row r="280" spans="1:5" x14ac:dyDescent="0.35">
      <c r="A280" s="86">
        <v>1793</v>
      </c>
      <c r="B280" s="10" t="s">
        <v>254</v>
      </c>
      <c r="C280" s="10">
        <v>2026</v>
      </c>
      <c r="D280" s="10">
        <v>2040169046.1028481</v>
      </c>
      <c r="E280" s="10" t="s">
        <v>243</v>
      </c>
    </row>
    <row r="281" spans="1:5" x14ac:dyDescent="0.35">
      <c r="A281" s="86">
        <v>1794</v>
      </c>
      <c r="B281" s="10" t="s">
        <v>254</v>
      </c>
      <c r="C281" s="10">
        <v>2027</v>
      </c>
      <c r="D281" s="10">
        <v>2150375803.9202971</v>
      </c>
      <c r="E281" s="10" t="s">
        <v>243</v>
      </c>
    </row>
    <row r="282" spans="1:5" x14ac:dyDescent="0.35">
      <c r="A282" s="86">
        <v>1795</v>
      </c>
      <c r="B282" s="10" t="s">
        <v>254</v>
      </c>
      <c r="C282" s="10">
        <v>2028</v>
      </c>
      <c r="D282" s="10">
        <v>2259774448.2382231</v>
      </c>
      <c r="E282" s="10" t="s">
        <v>243</v>
      </c>
    </row>
    <row r="283" spans="1:5" x14ac:dyDescent="0.35">
      <c r="A283" s="86">
        <v>1796</v>
      </c>
      <c r="B283" s="10" t="s">
        <v>254</v>
      </c>
      <c r="C283" s="10">
        <v>2029</v>
      </c>
      <c r="D283" s="10">
        <v>2367780101.902781</v>
      </c>
      <c r="E283" s="10" t="s">
        <v>243</v>
      </c>
    </row>
    <row r="284" spans="1:5" x14ac:dyDescent="0.35">
      <c r="A284" s="86">
        <v>1797</v>
      </c>
      <c r="B284" s="10" t="s">
        <v>254</v>
      </c>
      <c r="C284" s="10">
        <v>2030</v>
      </c>
      <c r="D284" s="10">
        <v>2474145950.906321</v>
      </c>
      <c r="E284" s="10" t="s">
        <v>243</v>
      </c>
    </row>
    <row r="285" spans="1:5" x14ac:dyDescent="0.35">
      <c r="A285" s="86">
        <v>1798</v>
      </c>
      <c r="B285" s="10" t="s">
        <v>254</v>
      </c>
      <c r="C285" s="10">
        <v>2031</v>
      </c>
      <c r="D285" s="10">
        <v>2578932937.9330931</v>
      </c>
      <c r="E285" s="10" t="s">
        <v>243</v>
      </c>
    </row>
    <row r="286" spans="1:5" x14ac:dyDescent="0.35">
      <c r="A286" s="86">
        <v>1799</v>
      </c>
      <c r="B286" s="10" t="s">
        <v>254</v>
      </c>
      <c r="C286" s="10">
        <v>2032</v>
      </c>
      <c r="D286" s="10">
        <v>2682433041.9350262</v>
      </c>
      <c r="E286" s="10" t="s">
        <v>243</v>
      </c>
    </row>
    <row r="287" spans="1:5" x14ac:dyDescent="0.35">
      <c r="A287" s="86">
        <v>1800</v>
      </c>
      <c r="B287" s="10" t="s">
        <v>254</v>
      </c>
      <c r="C287" s="10">
        <v>2033</v>
      </c>
      <c r="D287" s="10">
        <v>2785090236.5999389</v>
      </c>
      <c r="E287" s="10" t="s">
        <v>243</v>
      </c>
    </row>
    <row r="288" spans="1:5" x14ac:dyDescent="0.35">
      <c r="A288" s="86">
        <v>1801</v>
      </c>
      <c r="B288" s="10" t="s">
        <v>254</v>
      </c>
      <c r="C288" s="10">
        <v>2034</v>
      </c>
      <c r="D288" s="10">
        <v>2887435974.4511032</v>
      </c>
      <c r="E288" s="10" t="s">
        <v>243</v>
      </c>
    </row>
    <row r="289" spans="1:5" x14ac:dyDescent="0.35">
      <c r="A289" s="86">
        <v>1802</v>
      </c>
      <c r="B289" s="10" t="s">
        <v>254</v>
      </c>
      <c r="C289" s="10">
        <v>2035</v>
      </c>
      <c r="D289" s="10">
        <v>2990043887.1507649</v>
      </c>
      <c r="E289" s="10" t="s">
        <v>243</v>
      </c>
    </row>
    <row r="290" spans="1:5" x14ac:dyDescent="0.35">
      <c r="A290" s="86">
        <v>1803</v>
      </c>
      <c r="B290" s="10" t="s">
        <v>254</v>
      </c>
      <c r="C290" s="10">
        <v>2036</v>
      </c>
      <c r="D290" s="10">
        <v>3093489441.6019821</v>
      </c>
      <c r="E290" s="10" t="s">
        <v>243</v>
      </c>
    </row>
    <row r="291" spans="1:5" x14ac:dyDescent="0.35">
      <c r="A291" s="86">
        <v>1804</v>
      </c>
      <c r="B291" s="10" t="s">
        <v>254</v>
      </c>
      <c r="C291" s="10">
        <v>2037</v>
      </c>
      <c r="D291" s="10">
        <v>3198314148.4532762</v>
      </c>
      <c r="E291" s="10" t="s">
        <v>243</v>
      </c>
    </row>
    <row r="292" spans="1:5" x14ac:dyDescent="0.35">
      <c r="A292" s="86">
        <v>1805</v>
      </c>
      <c r="B292" s="10" t="s">
        <v>254</v>
      </c>
      <c r="C292" s="10">
        <v>2038</v>
      </c>
      <c r="D292" s="10">
        <v>3304992403.774271</v>
      </c>
      <c r="E292" s="10" t="s">
        <v>243</v>
      </c>
    </row>
    <row r="293" spans="1:5" x14ac:dyDescent="0.35">
      <c r="A293" s="86">
        <v>1806</v>
      </c>
      <c r="B293" s="10" t="s">
        <v>254</v>
      </c>
      <c r="C293" s="10">
        <v>2039</v>
      </c>
      <c r="D293" s="10">
        <v>3413922282.4445009</v>
      </c>
      <c r="E293" s="10" t="s">
        <v>243</v>
      </c>
    </row>
    <row r="294" spans="1:5" x14ac:dyDescent="0.35">
      <c r="A294" s="86">
        <v>1807</v>
      </c>
      <c r="B294" s="10" t="s">
        <v>254</v>
      </c>
      <c r="C294" s="10">
        <v>2040</v>
      </c>
      <c r="D294" s="10">
        <v>3525411340.5194578</v>
      </c>
      <c r="E294" s="10" t="s">
        <v>243</v>
      </c>
    </row>
    <row r="295" spans="1:5" x14ac:dyDescent="0.35">
      <c r="A295" s="86">
        <v>1808</v>
      </c>
      <c r="B295" s="10" t="s">
        <v>254</v>
      </c>
      <c r="C295" s="10">
        <v>2041</v>
      </c>
      <c r="D295" s="10">
        <v>3639672524.428019</v>
      </c>
      <c r="E295" s="10" t="s">
        <v>243</v>
      </c>
    </row>
    <row r="296" spans="1:5" x14ac:dyDescent="0.35">
      <c r="A296" s="86">
        <v>1809</v>
      </c>
      <c r="B296" s="10" t="s">
        <v>254</v>
      </c>
      <c r="C296" s="10">
        <v>2042</v>
      </c>
      <c r="D296" s="10">
        <v>3756824566.096344</v>
      </c>
      <c r="E296" s="10" t="s">
        <v>243</v>
      </c>
    </row>
    <row r="297" spans="1:5" x14ac:dyDescent="0.35">
      <c r="A297" s="86">
        <v>1810</v>
      </c>
      <c r="B297" s="10" t="s">
        <v>254</v>
      </c>
      <c r="C297" s="10">
        <v>2043</v>
      </c>
      <c r="D297" s="10">
        <v>3876899467.597765</v>
      </c>
      <c r="E297" s="10" t="s">
        <v>243</v>
      </c>
    </row>
    <row r="298" spans="1:5" x14ac:dyDescent="0.35">
      <c r="A298" s="86">
        <v>1811</v>
      </c>
      <c r="B298" s="10" t="s">
        <v>254</v>
      </c>
      <c r="C298" s="10">
        <v>2044</v>
      </c>
      <c r="D298" s="10">
        <v>3999846739.120739</v>
      </c>
      <c r="E298" s="10" t="s">
        <v>243</v>
      </c>
    </row>
    <row r="299" spans="1:5" x14ac:dyDescent="0.35">
      <c r="A299" s="86">
        <v>1812</v>
      </c>
      <c r="B299" s="10" t="s">
        <v>254</v>
      </c>
      <c r="C299" s="10">
        <v>2045</v>
      </c>
      <c r="D299" s="10">
        <v>4125544353.5212002</v>
      </c>
      <c r="E299" s="10" t="s">
        <v>243</v>
      </c>
    </row>
    <row r="300" spans="1:5" x14ac:dyDescent="0.35">
      <c r="A300" s="86">
        <v>1813</v>
      </c>
      <c r="B300" s="10" t="s">
        <v>254</v>
      </c>
      <c r="C300" s="10">
        <v>2046</v>
      </c>
      <c r="D300" s="10">
        <v>4253808841.2736349</v>
      </c>
      <c r="E300" s="10" t="s">
        <v>243</v>
      </c>
    </row>
    <row r="301" spans="1:5" x14ac:dyDescent="0.35">
      <c r="A301" s="86">
        <v>1814</v>
      </c>
      <c r="B301" s="10" t="s">
        <v>254</v>
      </c>
      <c r="C301" s="10">
        <v>2047</v>
      </c>
      <c r="D301" s="10">
        <v>4384398833.9837208</v>
      </c>
      <c r="E301" s="10" t="s">
        <v>243</v>
      </c>
    </row>
    <row r="302" spans="1:5" x14ac:dyDescent="0.35">
      <c r="A302" s="86">
        <v>1815</v>
      </c>
      <c r="B302" s="10" t="s">
        <v>254</v>
      </c>
      <c r="C302" s="10">
        <v>2048</v>
      </c>
      <c r="D302" s="10">
        <v>4517016078.20399</v>
      </c>
      <c r="E302" s="10" t="s">
        <v>243</v>
      </c>
    </row>
    <row r="303" spans="1:5" x14ac:dyDescent="0.35">
      <c r="A303" s="86">
        <v>1816</v>
      </c>
      <c r="B303" s="10" t="s">
        <v>254</v>
      </c>
      <c r="C303" s="10">
        <v>2049</v>
      </c>
      <c r="D303" s="10">
        <v>4651316989.838213</v>
      </c>
      <c r="E303" s="10" t="s">
        <v>243</v>
      </c>
    </row>
    <row r="304" spans="1:5" x14ac:dyDescent="0.35">
      <c r="A304" s="86">
        <v>1817</v>
      </c>
      <c r="B304" s="10" t="s">
        <v>254</v>
      </c>
      <c r="C304" s="10">
        <v>2050</v>
      </c>
      <c r="D304" s="10">
        <v>4786920453.9220982</v>
      </c>
      <c r="E304" s="10" t="s">
        <v>243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AE29DE-CA7E-4750-B45C-16FDDAAC9A5C}">
  <sheetPr>
    <tabColor theme="4" tint="0.79998168889431442"/>
  </sheetPr>
  <dimension ref="A1:AC66"/>
  <sheetViews>
    <sheetView zoomScale="70" zoomScaleNormal="70" workbookViewId="0">
      <selection activeCell="C13" sqref="C13"/>
    </sheetView>
  </sheetViews>
  <sheetFormatPr baseColWidth="10" defaultRowHeight="14.5" x14ac:dyDescent="0.35"/>
  <cols>
    <col min="2" max="2" width="35.08984375" bestFit="1" customWidth="1"/>
    <col min="3" max="3" width="34.1796875" bestFit="1" customWidth="1"/>
    <col min="5" max="5" width="12.36328125" bestFit="1" customWidth="1"/>
  </cols>
  <sheetData>
    <row r="1" spans="1:29" x14ac:dyDescent="0.35">
      <c r="A1" s="23" t="s">
        <v>460</v>
      </c>
      <c r="B1" s="23" t="s">
        <v>459</v>
      </c>
      <c r="C1" s="23" t="s">
        <v>43</v>
      </c>
      <c r="D1" s="23" t="s">
        <v>44</v>
      </c>
      <c r="E1" s="23" t="s">
        <v>45</v>
      </c>
      <c r="F1" s="23" t="s">
        <v>46</v>
      </c>
      <c r="G1" s="23" t="s">
        <v>47</v>
      </c>
      <c r="H1" s="23" t="s">
        <v>164</v>
      </c>
      <c r="I1" s="23" t="s">
        <v>165</v>
      </c>
      <c r="J1" s="23" t="s">
        <v>166</v>
      </c>
      <c r="K1" s="23" t="s">
        <v>167</v>
      </c>
      <c r="L1" s="23" t="s">
        <v>50</v>
      </c>
      <c r="M1" s="23" t="s">
        <v>51</v>
      </c>
      <c r="N1" s="23" t="s">
        <v>52</v>
      </c>
      <c r="O1" s="23" t="s">
        <v>53</v>
      </c>
      <c r="P1" s="23" t="s">
        <v>54</v>
      </c>
      <c r="Q1" s="23" t="s">
        <v>55</v>
      </c>
      <c r="R1" s="23" t="s">
        <v>56</v>
      </c>
      <c r="S1" s="23" t="s">
        <v>57</v>
      </c>
      <c r="T1" s="23" t="s">
        <v>132</v>
      </c>
      <c r="U1" s="23" t="s">
        <v>133</v>
      </c>
      <c r="V1" s="23" t="s">
        <v>134</v>
      </c>
      <c r="W1" s="23" t="s">
        <v>35</v>
      </c>
      <c r="X1" s="23" t="s">
        <v>22</v>
      </c>
      <c r="Y1" s="23" t="s">
        <v>58</v>
      </c>
      <c r="Z1" s="23" t="s">
        <v>59</v>
      </c>
      <c r="AA1" s="23" t="s">
        <v>60</v>
      </c>
      <c r="AB1" s="23" t="s">
        <v>61</v>
      </c>
      <c r="AC1" s="23" t="s">
        <v>62</v>
      </c>
    </row>
    <row r="2" spans="1:29" x14ac:dyDescent="0.35">
      <c r="A2" s="10">
        <v>2010</v>
      </c>
      <c r="B2" s="10" t="s">
        <v>446</v>
      </c>
      <c r="C2" s="10">
        <v>0</v>
      </c>
      <c r="D2" s="10">
        <v>0</v>
      </c>
      <c r="E2" s="10">
        <v>0</v>
      </c>
      <c r="F2" s="10">
        <v>0</v>
      </c>
      <c r="G2" s="10">
        <v>0</v>
      </c>
      <c r="H2" s="10">
        <v>0</v>
      </c>
      <c r="I2" s="10">
        <v>0</v>
      </c>
      <c r="J2" s="10">
        <v>0</v>
      </c>
      <c r="K2" s="10">
        <v>0</v>
      </c>
      <c r="L2" s="10">
        <v>0</v>
      </c>
      <c r="M2" s="10">
        <v>0</v>
      </c>
      <c r="N2" s="10">
        <v>0</v>
      </c>
      <c r="O2" s="10">
        <v>0</v>
      </c>
      <c r="P2" s="10">
        <v>0</v>
      </c>
      <c r="Q2" s="10">
        <v>0</v>
      </c>
      <c r="R2" s="10">
        <v>0</v>
      </c>
      <c r="S2" s="10">
        <v>0</v>
      </c>
      <c r="T2" s="10">
        <v>0</v>
      </c>
      <c r="U2" s="10">
        <v>0</v>
      </c>
      <c r="V2" s="10">
        <v>0</v>
      </c>
      <c r="W2" s="10">
        <v>0</v>
      </c>
      <c r="X2" s="10">
        <v>1</v>
      </c>
      <c r="Y2" s="10">
        <v>0</v>
      </c>
      <c r="Z2" s="10">
        <v>0</v>
      </c>
      <c r="AA2" s="10">
        <v>0</v>
      </c>
      <c r="AB2" s="10">
        <v>0</v>
      </c>
      <c r="AC2" s="10">
        <v>0</v>
      </c>
    </row>
    <row r="3" spans="1:29" x14ac:dyDescent="0.35">
      <c r="A3" s="10">
        <v>2010</v>
      </c>
      <c r="B3" s="10" t="s">
        <v>447</v>
      </c>
      <c r="C3" s="10">
        <v>0</v>
      </c>
      <c r="D3" s="10">
        <v>0</v>
      </c>
      <c r="E3" s="10">
        <v>0</v>
      </c>
      <c r="F3" s="10">
        <v>0</v>
      </c>
      <c r="G3" s="10">
        <v>0</v>
      </c>
      <c r="H3" s="10">
        <v>0</v>
      </c>
      <c r="I3" s="10">
        <v>0</v>
      </c>
      <c r="J3" s="10">
        <v>0</v>
      </c>
      <c r="K3" s="10">
        <v>0</v>
      </c>
      <c r="L3" s="10">
        <v>0</v>
      </c>
      <c r="M3" s="10">
        <v>0</v>
      </c>
      <c r="N3" s="10">
        <v>0</v>
      </c>
      <c r="O3" s="10">
        <v>0</v>
      </c>
      <c r="P3" s="10">
        <v>0</v>
      </c>
      <c r="Q3" s="10">
        <v>0</v>
      </c>
      <c r="R3" s="10">
        <v>0</v>
      </c>
      <c r="S3" s="10">
        <v>0</v>
      </c>
      <c r="T3" s="10">
        <v>0</v>
      </c>
      <c r="U3" s="10">
        <v>0</v>
      </c>
      <c r="V3" s="10">
        <v>0</v>
      </c>
      <c r="W3" s="10">
        <v>0</v>
      </c>
      <c r="X3" s="10">
        <v>0</v>
      </c>
      <c r="Y3" s="10">
        <v>0</v>
      </c>
      <c r="Z3" s="10">
        <v>1</v>
      </c>
      <c r="AA3" s="10">
        <v>0</v>
      </c>
      <c r="AB3" s="10">
        <v>0</v>
      </c>
      <c r="AC3" s="10">
        <v>0</v>
      </c>
    </row>
    <row r="4" spans="1:29" x14ac:dyDescent="0.35">
      <c r="A4" s="10">
        <v>2010</v>
      </c>
      <c r="B4" s="10" t="s">
        <v>448</v>
      </c>
      <c r="C4" s="10">
        <v>0</v>
      </c>
      <c r="D4" s="10">
        <v>0</v>
      </c>
      <c r="E4" s="10">
        <v>0</v>
      </c>
      <c r="F4" s="10">
        <v>0</v>
      </c>
      <c r="G4" s="10">
        <v>0</v>
      </c>
      <c r="H4" s="10">
        <v>0</v>
      </c>
      <c r="I4" s="10">
        <v>0</v>
      </c>
      <c r="J4" s="10">
        <v>0</v>
      </c>
      <c r="K4" s="10">
        <v>0</v>
      </c>
      <c r="L4" s="10">
        <v>0</v>
      </c>
      <c r="M4" s="10">
        <v>0</v>
      </c>
      <c r="N4" s="10">
        <v>0</v>
      </c>
      <c r="O4" s="10">
        <v>0</v>
      </c>
      <c r="P4" s="10">
        <v>0</v>
      </c>
      <c r="Q4" s="10">
        <v>0</v>
      </c>
      <c r="R4" s="10">
        <v>0</v>
      </c>
      <c r="S4" s="10">
        <v>0</v>
      </c>
      <c r="T4" s="10">
        <v>0</v>
      </c>
      <c r="U4" s="10">
        <v>0</v>
      </c>
      <c r="V4" s="10">
        <v>0</v>
      </c>
      <c r="W4" s="10">
        <v>0</v>
      </c>
      <c r="X4" s="10">
        <v>0</v>
      </c>
      <c r="Y4" s="10">
        <v>0</v>
      </c>
      <c r="Z4" s="10">
        <v>0</v>
      </c>
      <c r="AA4" s="10">
        <v>1</v>
      </c>
      <c r="AB4" s="10">
        <v>0</v>
      </c>
      <c r="AC4" s="10">
        <v>0</v>
      </c>
    </row>
    <row r="5" spans="1:29" x14ac:dyDescent="0.35">
      <c r="A5" s="10">
        <v>2010</v>
      </c>
      <c r="B5" s="10" t="s">
        <v>449</v>
      </c>
      <c r="C5" s="10">
        <v>0</v>
      </c>
      <c r="D5" s="10">
        <v>0</v>
      </c>
      <c r="E5" s="10">
        <v>0</v>
      </c>
      <c r="F5" s="10">
        <v>0</v>
      </c>
      <c r="G5" s="10">
        <v>0</v>
      </c>
      <c r="H5" s="10">
        <v>0</v>
      </c>
      <c r="I5" s="10">
        <v>0</v>
      </c>
      <c r="J5" s="10">
        <v>0</v>
      </c>
      <c r="K5" s="10">
        <v>0</v>
      </c>
      <c r="L5" s="10">
        <v>0</v>
      </c>
      <c r="M5" s="10">
        <v>0</v>
      </c>
      <c r="N5" s="10">
        <v>0</v>
      </c>
      <c r="O5" s="10">
        <v>0</v>
      </c>
      <c r="P5" s="10">
        <v>0</v>
      </c>
      <c r="Q5" s="10">
        <v>0</v>
      </c>
      <c r="R5" s="10">
        <v>0</v>
      </c>
      <c r="S5" s="10">
        <v>0</v>
      </c>
      <c r="T5" s="10">
        <v>0</v>
      </c>
      <c r="U5" s="10">
        <v>0</v>
      </c>
      <c r="V5" s="10">
        <v>0</v>
      </c>
      <c r="W5" s="10">
        <v>0</v>
      </c>
      <c r="X5" s="10">
        <v>0</v>
      </c>
      <c r="Y5" s="10">
        <v>1</v>
      </c>
      <c r="Z5" s="10">
        <v>0</v>
      </c>
      <c r="AA5" s="10">
        <v>0</v>
      </c>
      <c r="AB5" s="10">
        <v>0</v>
      </c>
      <c r="AC5" s="10">
        <v>0</v>
      </c>
    </row>
    <row r="6" spans="1:29" x14ac:dyDescent="0.35">
      <c r="A6" s="10">
        <v>2010</v>
      </c>
      <c r="B6" s="10" t="s">
        <v>450</v>
      </c>
      <c r="C6" s="10">
        <v>0</v>
      </c>
      <c r="D6" s="10">
        <v>0</v>
      </c>
      <c r="E6" s="10">
        <v>0</v>
      </c>
      <c r="F6" s="10">
        <v>0</v>
      </c>
      <c r="G6" s="10">
        <v>0</v>
      </c>
      <c r="H6" s="10">
        <v>0</v>
      </c>
      <c r="I6" s="10">
        <v>0</v>
      </c>
      <c r="J6" s="10">
        <v>0</v>
      </c>
      <c r="K6" s="10">
        <v>0</v>
      </c>
      <c r="L6" s="10">
        <v>0</v>
      </c>
      <c r="M6" s="10">
        <v>0</v>
      </c>
      <c r="N6" s="10">
        <v>0</v>
      </c>
      <c r="O6" s="10">
        <v>0</v>
      </c>
      <c r="P6" s="10">
        <v>0</v>
      </c>
      <c r="Q6" s="10">
        <v>0</v>
      </c>
      <c r="R6" s="10">
        <v>0</v>
      </c>
      <c r="S6" s="10">
        <v>0</v>
      </c>
      <c r="T6" s="10">
        <v>0</v>
      </c>
      <c r="U6" s="10">
        <v>0</v>
      </c>
      <c r="V6" s="10">
        <v>0</v>
      </c>
      <c r="W6" s="10">
        <v>1</v>
      </c>
      <c r="X6" s="10">
        <v>0</v>
      </c>
      <c r="Y6" s="10">
        <v>0</v>
      </c>
      <c r="Z6" s="10">
        <v>0</v>
      </c>
      <c r="AA6" s="10">
        <v>0</v>
      </c>
      <c r="AB6" s="10">
        <v>0</v>
      </c>
      <c r="AC6" s="10">
        <v>0</v>
      </c>
    </row>
    <row r="7" spans="1:29" x14ac:dyDescent="0.35">
      <c r="A7" s="10">
        <v>2010</v>
      </c>
      <c r="B7" s="10" t="s">
        <v>451</v>
      </c>
      <c r="C7" s="10">
        <v>0</v>
      </c>
      <c r="D7" s="10">
        <v>0</v>
      </c>
      <c r="E7" s="10">
        <v>0</v>
      </c>
      <c r="F7" s="10">
        <v>0</v>
      </c>
      <c r="G7" s="10">
        <v>0</v>
      </c>
      <c r="H7" s="10">
        <v>0</v>
      </c>
      <c r="I7" s="10">
        <v>0</v>
      </c>
      <c r="J7" s="10">
        <v>0</v>
      </c>
      <c r="K7" s="10">
        <v>0</v>
      </c>
      <c r="L7" s="10">
        <v>0</v>
      </c>
      <c r="M7" s="10">
        <v>0</v>
      </c>
      <c r="N7" s="10">
        <v>0</v>
      </c>
      <c r="O7" s="10">
        <v>0</v>
      </c>
      <c r="P7" s="10">
        <v>0</v>
      </c>
      <c r="Q7" s="10">
        <v>0</v>
      </c>
      <c r="R7" s="10">
        <v>0</v>
      </c>
      <c r="S7" s="10">
        <v>0</v>
      </c>
      <c r="T7" s="10">
        <v>1</v>
      </c>
      <c r="U7" s="10">
        <v>0</v>
      </c>
      <c r="V7" s="10">
        <v>0</v>
      </c>
      <c r="W7" s="10">
        <v>0</v>
      </c>
      <c r="X7" s="10">
        <v>0</v>
      </c>
      <c r="Y7" s="10">
        <v>0</v>
      </c>
      <c r="Z7" s="10">
        <v>0</v>
      </c>
      <c r="AA7" s="10">
        <v>0</v>
      </c>
      <c r="AB7" s="10">
        <v>0</v>
      </c>
      <c r="AC7" s="10">
        <v>0</v>
      </c>
    </row>
    <row r="8" spans="1:29" x14ac:dyDescent="0.35">
      <c r="A8" s="10">
        <v>2010</v>
      </c>
      <c r="B8" s="10" t="s">
        <v>452</v>
      </c>
      <c r="C8" s="10">
        <v>0</v>
      </c>
      <c r="D8" s="10">
        <v>0</v>
      </c>
      <c r="E8" s="10">
        <v>0</v>
      </c>
      <c r="F8" s="10">
        <v>0</v>
      </c>
      <c r="G8" s="10">
        <v>0</v>
      </c>
      <c r="H8" s="10">
        <v>0</v>
      </c>
      <c r="I8" s="10">
        <v>0</v>
      </c>
      <c r="J8" s="10">
        <v>0</v>
      </c>
      <c r="K8" s="10">
        <v>0</v>
      </c>
      <c r="L8" s="10">
        <v>0</v>
      </c>
      <c r="M8" s="10">
        <v>0</v>
      </c>
      <c r="N8" s="10">
        <v>0</v>
      </c>
      <c r="O8" s="10">
        <v>0</v>
      </c>
      <c r="P8" s="10">
        <v>0</v>
      </c>
      <c r="Q8" s="10">
        <v>0</v>
      </c>
      <c r="R8" s="10">
        <v>0</v>
      </c>
      <c r="S8" s="10">
        <v>0</v>
      </c>
      <c r="T8" s="10">
        <v>0</v>
      </c>
      <c r="U8" s="10">
        <v>0</v>
      </c>
      <c r="V8" s="10">
        <v>0</v>
      </c>
      <c r="W8" s="10">
        <v>0</v>
      </c>
      <c r="X8" s="10">
        <v>0</v>
      </c>
      <c r="Y8" s="10">
        <v>0</v>
      </c>
      <c r="Z8" s="10">
        <v>0</v>
      </c>
      <c r="AA8" s="10">
        <v>0</v>
      </c>
      <c r="AB8" s="10">
        <v>1</v>
      </c>
      <c r="AC8" s="10">
        <v>0</v>
      </c>
    </row>
    <row r="9" spans="1:29" x14ac:dyDescent="0.35">
      <c r="A9" s="10">
        <v>2010</v>
      </c>
      <c r="B9" s="10" t="s">
        <v>453</v>
      </c>
      <c r="C9" s="10">
        <v>0.95399999999999996</v>
      </c>
      <c r="D9" s="10">
        <v>0</v>
      </c>
      <c r="E9" s="10">
        <v>2.4E-2</v>
      </c>
      <c r="F9" s="10">
        <v>1.9E-2</v>
      </c>
      <c r="G9" s="10">
        <v>3.0000000000000001E-3</v>
      </c>
      <c r="H9" s="10">
        <v>0</v>
      </c>
      <c r="I9" s="10">
        <v>0</v>
      </c>
      <c r="J9" s="10">
        <v>0</v>
      </c>
      <c r="K9" s="10">
        <v>0</v>
      </c>
      <c r="L9" s="10">
        <v>0</v>
      </c>
      <c r="M9" s="10">
        <v>0</v>
      </c>
      <c r="N9" s="10">
        <v>0</v>
      </c>
      <c r="O9" s="10">
        <v>0</v>
      </c>
      <c r="P9" s="10">
        <v>0</v>
      </c>
      <c r="Q9" s="10">
        <v>0</v>
      </c>
      <c r="R9" s="10">
        <v>0</v>
      </c>
      <c r="S9" s="10">
        <v>0</v>
      </c>
      <c r="T9" s="10">
        <v>0</v>
      </c>
      <c r="U9" s="10">
        <v>0</v>
      </c>
      <c r="V9" s="10">
        <v>0</v>
      </c>
      <c r="W9" s="10">
        <v>0</v>
      </c>
      <c r="X9" s="10">
        <v>0</v>
      </c>
      <c r="Y9" s="10">
        <v>0</v>
      </c>
      <c r="Z9" s="10">
        <v>0</v>
      </c>
      <c r="AA9" s="10">
        <v>0</v>
      </c>
      <c r="AB9" s="10">
        <v>0</v>
      </c>
      <c r="AC9" s="10">
        <v>0</v>
      </c>
    </row>
    <row r="10" spans="1:29" x14ac:dyDescent="0.35">
      <c r="A10" s="10">
        <v>2010</v>
      </c>
      <c r="B10" s="10" t="s">
        <v>454</v>
      </c>
      <c r="C10" s="10">
        <v>0</v>
      </c>
      <c r="D10" s="10">
        <v>0</v>
      </c>
      <c r="E10" s="10">
        <v>0</v>
      </c>
      <c r="F10" s="10">
        <v>0</v>
      </c>
      <c r="G10" s="10">
        <v>0</v>
      </c>
      <c r="H10" s="10">
        <v>0</v>
      </c>
      <c r="I10" s="10">
        <v>0</v>
      </c>
      <c r="J10" s="10">
        <v>0.76024481099999996</v>
      </c>
      <c r="K10" s="10">
        <v>0.23975518900000001</v>
      </c>
      <c r="L10" s="10">
        <v>0</v>
      </c>
      <c r="M10" s="10">
        <v>0</v>
      </c>
      <c r="N10" s="10">
        <v>0</v>
      </c>
      <c r="O10" s="10">
        <v>0</v>
      </c>
      <c r="P10" s="10">
        <v>0</v>
      </c>
      <c r="Q10" s="10">
        <v>0</v>
      </c>
      <c r="R10" s="10">
        <v>0</v>
      </c>
      <c r="S10" s="10">
        <v>0</v>
      </c>
      <c r="T10" s="10">
        <v>0</v>
      </c>
      <c r="U10" s="10">
        <v>0</v>
      </c>
      <c r="V10" s="10">
        <v>0</v>
      </c>
      <c r="W10" s="10">
        <v>0</v>
      </c>
      <c r="X10" s="10">
        <v>0</v>
      </c>
      <c r="Y10" s="10">
        <v>0</v>
      </c>
      <c r="Z10" s="10">
        <v>0</v>
      </c>
      <c r="AA10" s="10">
        <v>0</v>
      </c>
      <c r="AB10" s="10">
        <v>0</v>
      </c>
      <c r="AC10" s="10">
        <v>0</v>
      </c>
    </row>
    <row r="11" spans="1:29" x14ac:dyDescent="0.35">
      <c r="A11" s="10">
        <v>2010</v>
      </c>
      <c r="B11" s="10" t="s">
        <v>455</v>
      </c>
      <c r="C11" s="10">
        <v>0.95399999999999996</v>
      </c>
      <c r="D11" s="10">
        <v>0</v>
      </c>
      <c r="E11" s="10">
        <v>2.4E-2</v>
      </c>
      <c r="F11" s="10">
        <v>1.9E-2</v>
      </c>
      <c r="G11" s="10">
        <v>3.0000000000000001E-3</v>
      </c>
      <c r="H11" s="10">
        <v>0</v>
      </c>
      <c r="I11" s="10">
        <v>0</v>
      </c>
      <c r="J11" s="10">
        <v>0</v>
      </c>
      <c r="K11" s="10">
        <v>0</v>
      </c>
      <c r="L11" s="10">
        <v>0</v>
      </c>
      <c r="M11" s="10">
        <v>0</v>
      </c>
      <c r="N11" s="10">
        <v>0</v>
      </c>
      <c r="O11" s="10">
        <v>0</v>
      </c>
      <c r="P11" s="10">
        <v>0</v>
      </c>
      <c r="Q11" s="10">
        <v>0</v>
      </c>
      <c r="R11" s="10">
        <v>0</v>
      </c>
      <c r="S11" s="10">
        <v>0</v>
      </c>
      <c r="T11" s="10">
        <v>0</v>
      </c>
      <c r="U11" s="10">
        <v>0</v>
      </c>
      <c r="V11" s="10">
        <v>0</v>
      </c>
      <c r="W11" s="10">
        <v>0</v>
      </c>
      <c r="X11" s="10">
        <v>0</v>
      </c>
      <c r="Y11" s="10">
        <v>0</v>
      </c>
      <c r="Z11" s="10">
        <v>0</v>
      </c>
      <c r="AA11" s="10">
        <v>0</v>
      </c>
      <c r="AB11" s="10">
        <v>0</v>
      </c>
      <c r="AC11" s="10">
        <v>0</v>
      </c>
    </row>
    <row r="12" spans="1:29" x14ac:dyDescent="0.35">
      <c r="A12" s="10">
        <v>2010</v>
      </c>
      <c r="B12" s="10" t="s">
        <v>457</v>
      </c>
      <c r="C12" s="10">
        <v>0</v>
      </c>
      <c r="D12" s="10">
        <v>0</v>
      </c>
      <c r="E12" s="10">
        <v>0</v>
      </c>
      <c r="F12" s="10">
        <v>0</v>
      </c>
      <c r="G12" s="10">
        <v>0</v>
      </c>
      <c r="H12" s="10">
        <v>0</v>
      </c>
      <c r="I12" s="10">
        <v>0</v>
      </c>
      <c r="J12" s="10">
        <v>0</v>
      </c>
      <c r="K12" s="10">
        <v>0</v>
      </c>
      <c r="L12" s="10">
        <v>0</v>
      </c>
      <c r="M12" s="10">
        <v>0</v>
      </c>
      <c r="N12" s="10">
        <v>0</v>
      </c>
      <c r="O12" s="10">
        <v>0</v>
      </c>
      <c r="P12" s="10">
        <v>5.2557625903430598E-2</v>
      </c>
      <c r="Q12" s="10">
        <v>0.19743619327031695</v>
      </c>
      <c r="R12" s="10">
        <v>0.56804677649308144</v>
      </c>
      <c r="S12" s="10">
        <v>0.18195940433317104</v>
      </c>
      <c r="T12" s="10">
        <v>0</v>
      </c>
      <c r="U12" s="10">
        <v>0</v>
      </c>
      <c r="V12" s="10">
        <v>0</v>
      </c>
      <c r="W12" s="10">
        <v>0</v>
      </c>
      <c r="X12" s="10">
        <v>0</v>
      </c>
      <c r="Y12" s="10">
        <v>0</v>
      </c>
      <c r="Z12" s="10">
        <v>0</v>
      </c>
      <c r="AA12" s="10">
        <v>0</v>
      </c>
      <c r="AB12" s="10">
        <v>0</v>
      </c>
      <c r="AC12" s="10">
        <v>0</v>
      </c>
    </row>
    <row r="13" spans="1:29" x14ac:dyDescent="0.35">
      <c r="A13" s="10">
        <v>2010</v>
      </c>
      <c r="B13" s="10" t="s">
        <v>456</v>
      </c>
      <c r="C13" s="10">
        <v>0</v>
      </c>
      <c r="D13" s="10">
        <v>0</v>
      </c>
      <c r="E13" s="10">
        <v>0</v>
      </c>
      <c r="F13" s="10">
        <v>0</v>
      </c>
      <c r="G13" s="10">
        <v>0</v>
      </c>
      <c r="H13" s="10">
        <v>0</v>
      </c>
      <c r="I13" s="10">
        <v>0</v>
      </c>
      <c r="J13" s="10">
        <v>0</v>
      </c>
      <c r="K13" s="10">
        <v>0</v>
      </c>
      <c r="L13" s="10">
        <v>6.0317460317460103E-2</v>
      </c>
      <c r="M13" s="10">
        <v>0.60317460317460403</v>
      </c>
      <c r="N13" s="10">
        <v>0.18888888888888888</v>
      </c>
      <c r="O13" s="10">
        <v>0.14761904761904698</v>
      </c>
      <c r="P13" s="10">
        <v>0</v>
      </c>
      <c r="Q13" s="10">
        <v>0</v>
      </c>
      <c r="R13" s="10">
        <v>0</v>
      </c>
      <c r="S13" s="10">
        <v>0</v>
      </c>
      <c r="T13" s="10">
        <v>0</v>
      </c>
      <c r="U13" s="10">
        <v>0</v>
      </c>
      <c r="V13" s="10">
        <v>0</v>
      </c>
      <c r="W13" s="10">
        <v>0</v>
      </c>
      <c r="X13" s="10">
        <v>0</v>
      </c>
      <c r="Y13" s="10">
        <v>0</v>
      </c>
      <c r="Z13" s="10">
        <v>0</v>
      </c>
      <c r="AA13" s="10">
        <v>0</v>
      </c>
      <c r="AB13" s="10">
        <v>0</v>
      </c>
      <c r="AC13" s="10">
        <v>0</v>
      </c>
    </row>
    <row r="14" spans="1:29" x14ac:dyDescent="0.35">
      <c r="A14" s="10">
        <v>2010</v>
      </c>
      <c r="B14" s="10" t="s">
        <v>458</v>
      </c>
      <c r="C14" s="10">
        <v>0</v>
      </c>
      <c r="D14" s="10">
        <v>0</v>
      </c>
      <c r="E14" s="10">
        <v>0</v>
      </c>
      <c r="F14" s="10">
        <v>0</v>
      </c>
      <c r="G14" s="10">
        <v>0</v>
      </c>
      <c r="H14" s="10">
        <v>0</v>
      </c>
      <c r="I14" s="10">
        <v>0</v>
      </c>
      <c r="J14" s="10">
        <v>0</v>
      </c>
      <c r="K14" s="10">
        <v>0</v>
      </c>
      <c r="L14" s="10">
        <v>5.5291005291005092E-2</v>
      </c>
      <c r="M14" s="10">
        <v>0.55291005291005368</v>
      </c>
      <c r="N14" s="10">
        <v>0.17314814814814813</v>
      </c>
      <c r="O14" s="10">
        <v>0.13531746031745973</v>
      </c>
      <c r="P14" s="10">
        <v>4.3798021586192162E-3</v>
      </c>
      <c r="Q14" s="10">
        <v>1.6453016105859745E-2</v>
      </c>
      <c r="R14" s="10">
        <v>4.7337231374423451E-2</v>
      </c>
      <c r="S14" s="10">
        <v>1.5163283694430919E-2</v>
      </c>
      <c r="T14" s="10">
        <v>0</v>
      </c>
      <c r="U14" s="10">
        <v>0</v>
      </c>
      <c r="V14" s="10">
        <v>0</v>
      </c>
      <c r="W14" s="10">
        <v>0</v>
      </c>
      <c r="X14" s="10">
        <v>0</v>
      </c>
      <c r="Y14" s="10">
        <v>0</v>
      </c>
      <c r="Z14" s="10">
        <v>0</v>
      </c>
      <c r="AA14" s="10">
        <v>0</v>
      </c>
      <c r="AB14" s="10">
        <v>0</v>
      </c>
      <c r="AC14" s="10">
        <v>0</v>
      </c>
    </row>
    <row r="15" spans="1:29" x14ac:dyDescent="0.35">
      <c r="A15" s="10">
        <v>2020</v>
      </c>
      <c r="B15" s="10" t="s">
        <v>446</v>
      </c>
      <c r="C15" s="10">
        <v>0</v>
      </c>
      <c r="D15" s="10">
        <v>0</v>
      </c>
      <c r="E15" s="10">
        <v>0</v>
      </c>
      <c r="F15" s="10">
        <v>0</v>
      </c>
      <c r="G15" s="10">
        <v>0</v>
      </c>
      <c r="H15" s="10">
        <v>0</v>
      </c>
      <c r="I15" s="10">
        <v>0</v>
      </c>
      <c r="J15" s="10">
        <v>0</v>
      </c>
      <c r="K15" s="10">
        <v>0</v>
      </c>
      <c r="L15" s="10">
        <v>0</v>
      </c>
      <c r="M15" s="10">
        <v>0</v>
      </c>
      <c r="N15" s="10">
        <v>0</v>
      </c>
      <c r="O15" s="10">
        <v>0</v>
      </c>
      <c r="P15" s="10">
        <v>0</v>
      </c>
      <c r="Q15" s="10">
        <v>0</v>
      </c>
      <c r="R15" s="10">
        <v>0</v>
      </c>
      <c r="S15" s="10">
        <v>0</v>
      </c>
      <c r="T15" s="10">
        <v>0</v>
      </c>
      <c r="U15" s="10">
        <v>0</v>
      </c>
      <c r="V15" s="10">
        <v>0</v>
      </c>
      <c r="W15" s="10">
        <v>0</v>
      </c>
      <c r="X15" s="10">
        <v>1</v>
      </c>
      <c r="Y15" s="10">
        <v>0</v>
      </c>
      <c r="Z15" s="10">
        <v>0</v>
      </c>
      <c r="AA15" s="10">
        <v>0</v>
      </c>
      <c r="AB15" s="10">
        <v>0</v>
      </c>
      <c r="AC15" s="10">
        <v>0</v>
      </c>
    </row>
    <row r="16" spans="1:29" x14ac:dyDescent="0.35">
      <c r="A16" s="10">
        <v>2020</v>
      </c>
      <c r="B16" s="10" t="s">
        <v>447</v>
      </c>
      <c r="C16" s="10">
        <v>0</v>
      </c>
      <c r="D16" s="10">
        <v>0</v>
      </c>
      <c r="E16" s="10">
        <v>0</v>
      </c>
      <c r="F16" s="10">
        <v>0</v>
      </c>
      <c r="G16" s="10">
        <v>0</v>
      </c>
      <c r="H16" s="10">
        <v>0</v>
      </c>
      <c r="I16" s="10">
        <v>0</v>
      </c>
      <c r="J16" s="10">
        <v>0</v>
      </c>
      <c r="K16" s="10">
        <v>0</v>
      </c>
      <c r="L16" s="10">
        <v>0</v>
      </c>
      <c r="M16" s="10">
        <v>0</v>
      </c>
      <c r="N16" s="10">
        <v>0</v>
      </c>
      <c r="O16" s="10">
        <v>0</v>
      </c>
      <c r="P16" s="10">
        <v>0</v>
      </c>
      <c r="Q16" s="10">
        <v>0</v>
      </c>
      <c r="R16" s="10">
        <v>0</v>
      </c>
      <c r="S16" s="10">
        <v>0</v>
      </c>
      <c r="T16" s="10">
        <v>0</v>
      </c>
      <c r="U16" s="10">
        <v>0</v>
      </c>
      <c r="V16" s="10">
        <v>0</v>
      </c>
      <c r="W16" s="10">
        <v>0</v>
      </c>
      <c r="X16" s="10">
        <v>0</v>
      </c>
      <c r="Y16" s="10">
        <v>0</v>
      </c>
      <c r="Z16" s="10">
        <v>1</v>
      </c>
      <c r="AA16" s="10">
        <v>0</v>
      </c>
      <c r="AB16" s="10">
        <v>0</v>
      </c>
      <c r="AC16" s="10">
        <v>0</v>
      </c>
    </row>
    <row r="17" spans="1:29" x14ac:dyDescent="0.35">
      <c r="A17" s="10">
        <v>2020</v>
      </c>
      <c r="B17" s="10" t="s">
        <v>448</v>
      </c>
      <c r="C17" s="10">
        <v>0</v>
      </c>
      <c r="D17" s="10">
        <v>0</v>
      </c>
      <c r="E17" s="10">
        <v>0</v>
      </c>
      <c r="F17" s="10">
        <v>0</v>
      </c>
      <c r="G17" s="10">
        <v>0</v>
      </c>
      <c r="H17" s="10">
        <v>0</v>
      </c>
      <c r="I17" s="10">
        <v>0</v>
      </c>
      <c r="J17" s="10">
        <v>0</v>
      </c>
      <c r="K17" s="10">
        <v>0</v>
      </c>
      <c r="L17" s="10">
        <v>0</v>
      </c>
      <c r="M17" s="10">
        <v>0</v>
      </c>
      <c r="N17" s="10">
        <v>0</v>
      </c>
      <c r="O17" s="10">
        <v>0</v>
      </c>
      <c r="P17" s="10">
        <v>0</v>
      </c>
      <c r="Q17" s="10">
        <v>0</v>
      </c>
      <c r="R17" s="10">
        <v>0</v>
      </c>
      <c r="S17" s="10">
        <v>0</v>
      </c>
      <c r="T17" s="10">
        <v>0</v>
      </c>
      <c r="U17" s="10">
        <v>0</v>
      </c>
      <c r="V17" s="10">
        <v>0</v>
      </c>
      <c r="W17" s="10">
        <v>0</v>
      </c>
      <c r="X17" s="10">
        <v>0</v>
      </c>
      <c r="Y17" s="10">
        <v>0</v>
      </c>
      <c r="Z17" s="10">
        <v>0</v>
      </c>
      <c r="AA17" s="10">
        <v>1</v>
      </c>
      <c r="AB17" s="10">
        <v>0</v>
      </c>
      <c r="AC17" s="10">
        <v>0</v>
      </c>
    </row>
    <row r="18" spans="1:29" x14ac:dyDescent="0.35">
      <c r="A18" s="10">
        <v>2020</v>
      </c>
      <c r="B18" s="10" t="s">
        <v>449</v>
      </c>
      <c r="C18" s="10">
        <v>0</v>
      </c>
      <c r="D18" s="10">
        <v>0</v>
      </c>
      <c r="E18" s="10">
        <v>0</v>
      </c>
      <c r="F18" s="10">
        <v>0</v>
      </c>
      <c r="G18" s="10">
        <v>0</v>
      </c>
      <c r="H18" s="10">
        <v>0</v>
      </c>
      <c r="I18" s="10">
        <v>0</v>
      </c>
      <c r="J18" s="10">
        <v>0</v>
      </c>
      <c r="K18" s="10">
        <v>0</v>
      </c>
      <c r="L18" s="10">
        <v>0</v>
      </c>
      <c r="M18" s="10">
        <v>0</v>
      </c>
      <c r="N18" s="10">
        <v>0</v>
      </c>
      <c r="O18" s="10">
        <v>0</v>
      </c>
      <c r="P18" s="10">
        <v>0</v>
      </c>
      <c r="Q18" s="10">
        <v>0</v>
      </c>
      <c r="R18" s="10">
        <v>0</v>
      </c>
      <c r="S18" s="10">
        <v>0</v>
      </c>
      <c r="T18" s="10">
        <v>0</v>
      </c>
      <c r="U18" s="10">
        <v>0</v>
      </c>
      <c r="V18" s="10">
        <v>0</v>
      </c>
      <c r="W18" s="10">
        <v>0</v>
      </c>
      <c r="X18" s="10">
        <v>0</v>
      </c>
      <c r="Y18" s="10">
        <v>1</v>
      </c>
      <c r="Z18" s="10">
        <v>0</v>
      </c>
      <c r="AA18" s="10">
        <v>0</v>
      </c>
      <c r="AB18" s="10">
        <v>0</v>
      </c>
      <c r="AC18" s="10">
        <v>0</v>
      </c>
    </row>
    <row r="19" spans="1:29" x14ac:dyDescent="0.35">
      <c r="A19" s="10">
        <v>2020</v>
      </c>
      <c r="B19" s="10" t="s">
        <v>450</v>
      </c>
      <c r="C19" s="10">
        <v>0</v>
      </c>
      <c r="D19" s="10">
        <v>0</v>
      </c>
      <c r="E19" s="10">
        <v>0</v>
      </c>
      <c r="F19" s="10">
        <v>0</v>
      </c>
      <c r="G19" s="10">
        <v>0</v>
      </c>
      <c r="H19" s="10">
        <v>0</v>
      </c>
      <c r="I19" s="10">
        <v>0</v>
      </c>
      <c r="J19" s="10">
        <v>0</v>
      </c>
      <c r="K19" s="10">
        <v>0</v>
      </c>
      <c r="L19" s="10">
        <v>0</v>
      </c>
      <c r="M19" s="10">
        <v>0</v>
      </c>
      <c r="N19" s="10">
        <v>0</v>
      </c>
      <c r="O19" s="10">
        <v>0</v>
      </c>
      <c r="P19" s="10">
        <v>0</v>
      </c>
      <c r="Q19" s="10">
        <v>0</v>
      </c>
      <c r="R19" s="10">
        <v>0</v>
      </c>
      <c r="S19" s="10">
        <v>0</v>
      </c>
      <c r="T19" s="10">
        <v>0</v>
      </c>
      <c r="U19" s="10">
        <v>0</v>
      </c>
      <c r="V19" s="10">
        <v>0</v>
      </c>
      <c r="W19" s="10">
        <v>1</v>
      </c>
      <c r="X19" s="10">
        <v>0</v>
      </c>
      <c r="Y19" s="10">
        <v>0</v>
      </c>
      <c r="Z19" s="10">
        <v>0</v>
      </c>
      <c r="AA19" s="10">
        <v>0</v>
      </c>
      <c r="AB19" s="10">
        <v>0</v>
      </c>
      <c r="AC19" s="10">
        <v>0</v>
      </c>
    </row>
    <row r="20" spans="1:29" x14ac:dyDescent="0.35">
      <c r="A20" s="10">
        <v>2020</v>
      </c>
      <c r="B20" s="10" t="s">
        <v>451</v>
      </c>
      <c r="C20" s="10">
        <v>0</v>
      </c>
      <c r="D20" s="10">
        <v>0</v>
      </c>
      <c r="E20" s="10">
        <v>0</v>
      </c>
      <c r="F20" s="10">
        <v>0</v>
      </c>
      <c r="G20" s="10">
        <v>0</v>
      </c>
      <c r="H20" s="10">
        <v>0</v>
      </c>
      <c r="I20" s="10">
        <v>0</v>
      </c>
      <c r="J20" s="10">
        <v>0</v>
      </c>
      <c r="K20" s="10">
        <v>0</v>
      </c>
      <c r="L20" s="10">
        <v>0</v>
      </c>
      <c r="M20" s="10">
        <v>0</v>
      </c>
      <c r="N20" s="10">
        <v>0</v>
      </c>
      <c r="O20" s="10">
        <v>0</v>
      </c>
      <c r="P20" s="10">
        <v>0</v>
      </c>
      <c r="Q20" s="10">
        <v>0</v>
      </c>
      <c r="R20" s="10">
        <v>0</v>
      </c>
      <c r="S20" s="10">
        <v>0</v>
      </c>
      <c r="T20" s="10">
        <v>1</v>
      </c>
      <c r="U20" s="10">
        <v>0</v>
      </c>
      <c r="V20" s="10">
        <v>0</v>
      </c>
      <c r="W20" s="10">
        <v>0</v>
      </c>
      <c r="X20" s="10">
        <v>0</v>
      </c>
      <c r="Y20" s="10">
        <v>0</v>
      </c>
      <c r="Z20" s="10">
        <v>0</v>
      </c>
      <c r="AA20" s="10">
        <v>0</v>
      </c>
      <c r="AB20" s="10">
        <v>0</v>
      </c>
      <c r="AC20" s="10">
        <v>0</v>
      </c>
    </row>
    <row r="21" spans="1:29" x14ac:dyDescent="0.35">
      <c r="A21" s="10">
        <v>2020</v>
      </c>
      <c r="B21" s="10" t="s">
        <v>452</v>
      </c>
      <c r="C21" s="10">
        <v>0</v>
      </c>
      <c r="D21" s="10">
        <v>0</v>
      </c>
      <c r="E21" s="10">
        <v>0</v>
      </c>
      <c r="F21" s="10">
        <v>0</v>
      </c>
      <c r="G21" s="10">
        <v>0</v>
      </c>
      <c r="H21" s="10">
        <v>0</v>
      </c>
      <c r="I21" s="10">
        <v>0</v>
      </c>
      <c r="J21" s="10">
        <v>0</v>
      </c>
      <c r="K21" s="10">
        <v>0</v>
      </c>
      <c r="L21" s="10">
        <v>0</v>
      </c>
      <c r="M21" s="10">
        <v>0</v>
      </c>
      <c r="N21" s="10">
        <v>0</v>
      </c>
      <c r="O21" s="10">
        <v>0</v>
      </c>
      <c r="P21" s="10">
        <v>0</v>
      </c>
      <c r="Q21" s="10">
        <v>0</v>
      </c>
      <c r="R21" s="10">
        <v>0</v>
      </c>
      <c r="S21" s="10">
        <v>0</v>
      </c>
      <c r="T21" s="10">
        <v>0</v>
      </c>
      <c r="U21" s="10">
        <v>0</v>
      </c>
      <c r="V21" s="10">
        <v>0</v>
      </c>
      <c r="W21" s="10">
        <v>0</v>
      </c>
      <c r="X21" s="10">
        <v>0</v>
      </c>
      <c r="Y21" s="10">
        <v>0</v>
      </c>
      <c r="Z21" s="10">
        <v>0</v>
      </c>
      <c r="AA21" s="10">
        <v>0</v>
      </c>
      <c r="AB21" s="10">
        <v>1</v>
      </c>
      <c r="AC21" s="10">
        <v>0</v>
      </c>
    </row>
    <row r="22" spans="1:29" x14ac:dyDescent="0.35">
      <c r="A22" s="10">
        <v>2020</v>
      </c>
      <c r="B22" s="10" t="s">
        <v>453</v>
      </c>
      <c r="C22" s="10">
        <v>0.95399999999999996</v>
      </c>
      <c r="D22" s="10">
        <v>0</v>
      </c>
      <c r="E22" s="10">
        <v>2.4E-2</v>
      </c>
      <c r="F22" s="10">
        <v>1.9E-2</v>
      </c>
      <c r="G22" s="10">
        <v>3.0000000000000001E-3</v>
      </c>
      <c r="H22" s="10">
        <v>0</v>
      </c>
      <c r="I22" s="10">
        <v>0</v>
      </c>
      <c r="J22" s="10">
        <v>0</v>
      </c>
      <c r="K22" s="10">
        <v>0</v>
      </c>
      <c r="L22" s="10">
        <v>0</v>
      </c>
      <c r="M22" s="10">
        <v>0</v>
      </c>
      <c r="N22" s="10">
        <v>0</v>
      </c>
      <c r="O22" s="10">
        <v>0</v>
      </c>
      <c r="P22" s="10">
        <v>0</v>
      </c>
      <c r="Q22" s="10">
        <v>0</v>
      </c>
      <c r="R22" s="10">
        <v>0</v>
      </c>
      <c r="S22" s="10">
        <v>0</v>
      </c>
      <c r="T22" s="10">
        <v>0</v>
      </c>
      <c r="U22" s="10">
        <v>0</v>
      </c>
      <c r="V22" s="10">
        <v>0</v>
      </c>
      <c r="W22" s="10">
        <v>0</v>
      </c>
      <c r="X22" s="10">
        <v>0</v>
      </c>
      <c r="Y22" s="10">
        <v>0</v>
      </c>
      <c r="Z22" s="10">
        <v>0</v>
      </c>
      <c r="AA22" s="10">
        <v>0</v>
      </c>
      <c r="AB22" s="10">
        <v>0</v>
      </c>
      <c r="AC22" s="10">
        <v>0</v>
      </c>
    </row>
    <row r="23" spans="1:29" x14ac:dyDescent="0.35">
      <c r="A23" s="10">
        <v>2020</v>
      </c>
      <c r="B23" s="10" t="s">
        <v>454</v>
      </c>
      <c r="C23" s="10">
        <v>0</v>
      </c>
      <c r="D23" s="10">
        <v>0</v>
      </c>
      <c r="E23" s="10">
        <v>0</v>
      </c>
      <c r="F23" s="10">
        <v>0</v>
      </c>
      <c r="G23" s="10">
        <v>0</v>
      </c>
      <c r="H23" s="10">
        <v>0</v>
      </c>
      <c r="I23" s="10">
        <v>0</v>
      </c>
      <c r="J23" s="10">
        <v>0.76024481099999996</v>
      </c>
      <c r="K23" s="10">
        <v>0.23975518900000001</v>
      </c>
      <c r="L23" s="10">
        <v>0</v>
      </c>
      <c r="M23" s="10">
        <v>0</v>
      </c>
      <c r="N23" s="10">
        <v>0</v>
      </c>
      <c r="O23" s="10">
        <v>0</v>
      </c>
      <c r="P23" s="10">
        <v>0</v>
      </c>
      <c r="Q23" s="10">
        <v>0</v>
      </c>
      <c r="R23" s="10">
        <v>0</v>
      </c>
      <c r="S23" s="10">
        <v>0</v>
      </c>
      <c r="T23" s="10">
        <v>0</v>
      </c>
      <c r="U23" s="10">
        <v>0</v>
      </c>
      <c r="V23" s="10">
        <v>0</v>
      </c>
      <c r="W23" s="10">
        <v>0</v>
      </c>
      <c r="X23" s="10">
        <v>0</v>
      </c>
      <c r="Y23" s="10">
        <v>0</v>
      </c>
      <c r="Z23" s="10">
        <v>0</v>
      </c>
      <c r="AA23" s="10">
        <v>0</v>
      </c>
      <c r="AB23" s="10">
        <v>0</v>
      </c>
      <c r="AC23" s="10">
        <v>0</v>
      </c>
    </row>
    <row r="24" spans="1:29" x14ac:dyDescent="0.35">
      <c r="A24" s="10">
        <v>2020</v>
      </c>
      <c r="B24" s="10" t="s">
        <v>455</v>
      </c>
      <c r="C24" s="10">
        <v>0.95399999999999996</v>
      </c>
      <c r="D24" s="10">
        <v>0</v>
      </c>
      <c r="E24" s="10">
        <v>2.4E-2</v>
      </c>
      <c r="F24" s="10">
        <v>1.9E-2</v>
      </c>
      <c r="G24" s="10">
        <v>3.0000000000000001E-3</v>
      </c>
      <c r="H24" s="10">
        <v>0</v>
      </c>
      <c r="I24" s="10">
        <v>0</v>
      </c>
      <c r="J24" s="10">
        <v>0</v>
      </c>
      <c r="K24" s="10">
        <v>0</v>
      </c>
      <c r="L24" s="10">
        <v>0</v>
      </c>
      <c r="M24" s="10">
        <v>0</v>
      </c>
      <c r="N24" s="10">
        <v>0</v>
      </c>
      <c r="O24" s="10">
        <v>0</v>
      </c>
      <c r="P24" s="10">
        <v>0</v>
      </c>
      <c r="Q24" s="10">
        <v>0</v>
      </c>
      <c r="R24" s="10">
        <v>0</v>
      </c>
      <c r="S24" s="10">
        <v>0</v>
      </c>
      <c r="T24" s="10">
        <v>0</v>
      </c>
      <c r="U24" s="10">
        <v>0</v>
      </c>
      <c r="V24" s="10">
        <v>0</v>
      </c>
      <c r="W24" s="10">
        <v>0</v>
      </c>
      <c r="X24" s="10">
        <v>0</v>
      </c>
      <c r="Y24" s="10">
        <v>0</v>
      </c>
      <c r="Z24" s="10">
        <v>0</v>
      </c>
      <c r="AA24" s="10">
        <v>0</v>
      </c>
      <c r="AB24" s="10">
        <v>0</v>
      </c>
      <c r="AC24" s="10">
        <v>0</v>
      </c>
    </row>
    <row r="25" spans="1:29" x14ac:dyDescent="0.35">
      <c r="A25" s="10">
        <v>2020</v>
      </c>
      <c r="B25" s="10" t="s">
        <v>457</v>
      </c>
      <c r="C25" s="10">
        <v>0</v>
      </c>
      <c r="D25" s="10">
        <v>0</v>
      </c>
      <c r="E25" s="10">
        <v>0</v>
      </c>
      <c r="F25" s="10">
        <v>0</v>
      </c>
      <c r="G25" s="10">
        <v>0</v>
      </c>
      <c r="H25" s="10">
        <v>0</v>
      </c>
      <c r="I25" s="10">
        <v>0</v>
      </c>
      <c r="J25" s="10">
        <v>0</v>
      </c>
      <c r="K25" s="10">
        <v>0</v>
      </c>
      <c r="L25" s="10">
        <v>0</v>
      </c>
      <c r="M25" s="10">
        <v>0</v>
      </c>
      <c r="N25" s="10">
        <v>0</v>
      </c>
      <c r="O25" s="10">
        <v>0</v>
      </c>
      <c r="P25" s="10">
        <v>5.2557625903430598E-2</v>
      </c>
      <c r="Q25" s="10">
        <v>0.19743619327031695</v>
      </c>
      <c r="R25" s="10">
        <v>0.56804677649308144</v>
      </c>
      <c r="S25" s="10">
        <v>0.18195940433317104</v>
      </c>
      <c r="T25" s="10">
        <v>0</v>
      </c>
      <c r="U25" s="10">
        <v>0</v>
      </c>
      <c r="V25" s="10">
        <v>0</v>
      </c>
      <c r="W25" s="10">
        <v>0</v>
      </c>
      <c r="X25" s="10">
        <v>0</v>
      </c>
      <c r="Y25" s="10">
        <v>0</v>
      </c>
      <c r="Z25" s="10">
        <v>0</v>
      </c>
      <c r="AA25" s="10">
        <v>0</v>
      </c>
      <c r="AB25" s="10">
        <v>0</v>
      </c>
      <c r="AC25" s="10">
        <v>0</v>
      </c>
    </row>
    <row r="26" spans="1:29" x14ac:dyDescent="0.35">
      <c r="A26" s="10">
        <v>2020</v>
      </c>
      <c r="B26" s="10" t="s">
        <v>456</v>
      </c>
      <c r="C26" s="10">
        <v>0</v>
      </c>
      <c r="D26" s="10">
        <v>0</v>
      </c>
      <c r="E26" s="10">
        <v>0</v>
      </c>
      <c r="F26" s="10">
        <v>0</v>
      </c>
      <c r="G26" s="10">
        <v>0</v>
      </c>
      <c r="H26" s="10">
        <v>0</v>
      </c>
      <c r="I26" s="10">
        <v>0</v>
      </c>
      <c r="J26" s="10">
        <v>0</v>
      </c>
      <c r="K26" s="10">
        <v>0</v>
      </c>
      <c r="L26" s="10">
        <v>6.0317460317460103E-2</v>
      </c>
      <c r="M26" s="10">
        <v>0.60317460317460403</v>
      </c>
      <c r="N26" s="10">
        <v>0.18888888888888888</v>
      </c>
      <c r="O26" s="10">
        <v>0.14761904761904698</v>
      </c>
      <c r="P26" s="10">
        <v>0</v>
      </c>
      <c r="Q26" s="10">
        <v>0</v>
      </c>
      <c r="R26" s="10">
        <v>0</v>
      </c>
      <c r="S26" s="10">
        <v>0</v>
      </c>
      <c r="T26" s="10">
        <v>0</v>
      </c>
      <c r="U26" s="10">
        <v>0</v>
      </c>
      <c r="V26" s="10">
        <v>0</v>
      </c>
      <c r="W26" s="10">
        <v>0</v>
      </c>
      <c r="X26" s="10">
        <v>0</v>
      </c>
      <c r="Y26" s="10">
        <v>0</v>
      </c>
      <c r="Z26" s="10">
        <v>0</v>
      </c>
      <c r="AA26" s="10">
        <v>0</v>
      </c>
      <c r="AB26" s="10">
        <v>0</v>
      </c>
      <c r="AC26" s="10">
        <v>0</v>
      </c>
    </row>
    <row r="27" spans="1:29" x14ac:dyDescent="0.35">
      <c r="A27" s="10">
        <v>2020</v>
      </c>
      <c r="B27" s="10" t="s">
        <v>458</v>
      </c>
      <c r="C27" s="10">
        <v>0</v>
      </c>
      <c r="D27" s="10">
        <v>0</v>
      </c>
      <c r="E27" s="10">
        <v>0</v>
      </c>
      <c r="F27" s="10">
        <v>0</v>
      </c>
      <c r="G27" s="10">
        <v>0</v>
      </c>
      <c r="H27" s="10">
        <v>0</v>
      </c>
      <c r="I27" s="10">
        <v>0</v>
      </c>
      <c r="J27" s="10">
        <v>0</v>
      </c>
      <c r="K27" s="10">
        <v>0</v>
      </c>
      <c r="L27" s="10">
        <v>5.5291005291005092E-2</v>
      </c>
      <c r="M27" s="10">
        <v>0.55291005291005368</v>
      </c>
      <c r="N27" s="10">
        <v>0.17314814814814813</v>
      </c>
      <c r="O27" s="10">
        <v>0.13531746031745973</v>
      </c>
      <c r="P27" s="10">
        <v>4.3798021586192162E-3</v>
      </c>
      <c r="Q27" s="10">
        <v>1.6453016105859745E-2</v>
      </c>
      <c r="R27" s="10">
        <v>4.7337231374423451E-2</v>
      </c>
      <c r="S27" s="10">
        <v>1.5163283694430919E-2</v>
      </c>
      <c r="T27" s="10">
        <v>0</v>
      </c>
      <c r="U27" s="10">
        <v>0</v>
      </c>
      <c r="V27" s="10">
        <v>0</v>
      </c>
      <c r="W27" s="10">
        <v>0</v>
      </c>
      <c r="X27" s="10">
        <v>0</v>
      </c>
      <c r="Y27" s="10">
        <v>0</v>
      </c>
      <c r="Z27" s="10">
        <v>0</v>
      </c>
      <c r="AA27" s="10">
        <v>0</v>
      </c>
      <c r="AB27" s="10">
        <v>0</v>
      </c>
      <c r="AC27" s="10">
        <v>0</v>
      </c>
    </row>
    <row r="28" spans="1:29" x14ac:dyDescent="0.35">
      <c r="A28" s="10">
        <v>2030</v>
      </c>
      <c r="B28" s="10" t="s">
        <v>446</v>
      </c>
      <c r="C28" s="10">
        <v>0</v>
      </c>
      <c r="D28" s="10">
        <v>0</v>
      </c>
      <c r="E28" s="10">
        <v>0</v>
      </c>
      <c r="F28" s="10">
        <v>0</v>
      </c>
      <c r="G28" s="10">
        <v>0</v>
      </c>
      <c r="H28" s="10">
        <v>0</v>
      </c>
      <c r="I28" s="10">
        <v>0</v>
      </c>
      <c r="J28" s="10">
        <v>0</v>
      </c>
      <c r="K28" s="10">
        <v>0</v>
      </c>
      <c r="L28" s="10">
        <v>0</v>
      </c>
      <c r="M28" s="10">
        <v>0</v>
      </c>
      <c r="N28" s="10">
        <v>0</v>
      </c>
      <c r="O28" s="10">
        <v>0</v>
      </c>
      <c r="P28" s="10">
        <v>0</v>
      </c>
      <c r="Q28" s="10">
        <v>0</v>
      </c>
      <c r="R28" s="10">
        <v>0</v>
      </c>
      <c r="S28" s="10">
        <v>0</v>
      </c>
      <c r="T28" s="10">
        <v>0</v>
      </c>
      <c r="U28" s="10">
        <v>0</v>
      </c>
      <c r="V28" s="10">
        <v>0</v>
      </c>
      <c r="W28" s="10">
        <v>0</v>
      </c>
      <c r="X28" s="10">
        <v>1</v>
      </c>
      <c r="Y28" s="10">
        <v>0</v>
      </c>
      <c r="Z28" s="10">
        <v>0</v>
      </c>
      <c r="AA28" s="10">
        <v>0</v>
      </c>
      <c r="AB28" s="10">
        <v>0</v>
      </c>
      <c r="AC28" s="10">
        <v>0</v>
      </c>
    </row>
    <row r="29" spans="1:29" x14ac:dyDescent="0.35">
      <c r="A29" s="10">
        <v>2030</v>
      </c>
      <c r="B29" s="10" t="s">
        <v>447</v>
      </c>
      <c r="C29" s="10">
        <v>0</v>
      </c>
      <c r="D29" s="10">
        <v>0</v>
      </c>
      <c r="E29" s="10">
        <v>0</v>
      </c>
      <c r="F29" s="10">
        <v>0</v>
      </c>
      <c r="G29" s="10">
        <v>0</v>
      </c>
      <c r="H29" s="10">
        <v>0</v>
      </c>
      <c r="I29" s="10">
        <v>0</v>
      </c>
      <c r="J29" s="10">
        <v>0</v>
      </c>
      <c r="K29" s="10">
        <v>0</v>
      </c>
      <c r="L29" s="10">
        <v>0</v>
      </c>
      <c r="M29" s="10">
        <v>0</v>
      </c>
      <c r="N29" s="10">
        <v>0</v>
      </c>
      <c r="O29" s="10">
        <v>0</v>
      </c>
      <c r="P29" s="10">
        <v>0</v>
      </c>
      <c r="Q29" s="10">
        <v>0</v>
      </c>
      <c r="R29" s="10">
        <v>0</v>
      </c>
      <c r="S29" s="10">
        <v>0</v>
      </c>
      <c r="T29" s="10">
        <v>0</v>
      </c>
      <c r="U29" s="10">
        <v>0</v>
      </c>
      <c r="V29" s="10">
        <v>0</v>
      </c>
      <c r="W29" s="10">
        <v>0</v>
      </c>
      <c r="X29" s="10">
        <v>0</v>
      </c>
      <c r="Y29" s="10">
        <v>0</v>
      </c>
      <c r="Z29" s="10">
        <v>1</v>
      </c>
      <c r="AA29" s="10">
        <v>0</v>
      </c>
      <c r="AB29" s="10">
        <v>0</v>
      </c>
      <c r="AC29" s="10">
        <v>0</v>
      </c>
    </row>
    <row r="30" spans="1:29" x14ac:dyDescent="0.35">
      <c r="A30" s="10">
        <v>2030</v>
      </c>
      <c r="B30" s="10" t="s">
        <v>448</v>
      </c>
      <c r="C30" s="10">
        <v>0</v>
      </c>
      <c r="D30" s="10">
        <v>0</v>
      </c>
      <c r="E30" s="10">
        <v>0</v>
      </c>
      <c r="F30" s="10">
        <v>0</v>
      </c>
      <c r="G30" s="10">
        <v>0</v>
      </c>
      <c r="H30" s="10">
        <v>0</v>
      </c>
      <c r="I30" s="10">
        <v>0</v>
      </c>
      <c r="J30" s="10">
        <v>0</v>
      </c>
      <c r="K30" s="10">
        <v>0</v>
      </c>
      <c r="L30" s="10">
        <v>0</v>
      </c>
      <c r="M30" s="10">
        <v>0</v>
      </c>
      <c r="N30" s="10">
        <v>0</v>
      </c>
      <c r="O30" s="10">
        <v>0</v>
      </c>
      <c r="P30" s="10">
        <v>0</v>
      </c>
      <c r="Q30" s="10">
        <v>0</v>
      </c>
      <c r="R30" s="10">
        <v>0</v>
      </c>
      <c r="S30" s="10">
        <v>0</v>
      </c>
      <c r="T30" s="10">
        <v>0</v>
      </c>
      <c r="U30" s="10">
        <v>0</v>
      </c>
      <c r="V30" s="10">
        <v>0</v>
      </c>
      <c r="W30" s="10">
        <v>0</v>
      </c>
      <c r="X30" s="10">
        <v>0</v>
      </c>
      <c r="Y30" s="10">
        <v>0</v>
      </c>
      <c r="Z30" s="10">
        <v>0</v>
      </c>
      <c r="AA30" s="10">
        <v>1</v>
      </c>
      <c r="AB30" s="10">
        <v>0</v>
      </c>
      <c r="AC30" s="10">
        <v>0</v>
      </c>
    </row>
    <row r="31" spans="1:29" x14ac:dyDescent="0.35">
      <c r="A31" s="10">
        <v>2030</v>
      </c>
      <c r="B31" s="10" t="s">
        <v>449</v>
      </c>
      <c r="C31" s="10">
        <v>0</v>
      </c>
      <c r="D31" s="10">
        <v>0</v>
      </c>
      <c r="E31" s="10">
        <v>0</v>
      </c>
      <c r="F31" s="10">
        <v>0</v>
      </c>
      <c r="G31" s="10">
        <v>0</v>
      </c>
      <c r="H31" s="10">
        <v>0</v>
      </c>
      <c r="I31" s="10">
        <v>0</v>
      </c>
      <c r="J31" s="10">
        <v>0</v>
      </c>
      <c r="K31" s="10">
        <v>0</v>
      </c>
      <c r="L31" s="10">
        <v>0</v>
      </c>
      <c r="M31" s="10">
        <v>0</v>
      </c>
      <c r="N31" s="10">
        <v>0</v>
      </c>
      <c r="O31" s="10">
        <v>0</v>
      </c>
      <c r="P31" s="10">
        <v>0</v>
      </c>
      <c r="Q31" s="10">
        <v>0</v>
      </c>
      <c r="R31" s="10">
        <v>0</v>
      </c>
      <c r="S31" s="10">
        <v>0</v>
      </c>
      <c r="T31" s="10">
        <v>0</v>
      </c>
      <c r="U31" s="10">
        <v>0</v>
      </c>
      <c r="V31" s="10">
        <v>0</v>
      </c>
      <c r="W31" s="10">
        <v>0</v>
      </c>
      <c r="X31" s="10">
        <v>0</v>
      </c>
      <c r="Y31" s="10">
        <v>1</v>
      </c>
      <c r="Z31" s="10">
        <v>0</v>
      </c>
      <c r="AA31" s="10">
        <v>0</v>
      </c>
      <c r="AB31" s="10">
        <v>0</v>
      </c>
      <c r="AC31" s="10">
        <v>0</v>
      </c>
    </row>
    <row r="32" spans="1:29" x14ac:dyDescent="0.35">
      <c r="A32" s="10">
        <v>2030</v>
      </c>
      <c r="B32" s="10" t="s">
        <v>450</v>
      </c>
      <c r="C32" s="10">
        <v>0</v>
      </c>
      <c r="D32" s="10">
        <v>0</v>
      </c>
      <c r="E32" s="10">
        <v>0</v>
      </c>
      <c r="F32" s="10">
        <v>0</v>
      </c>
      <c r="G32" s="10">
        <v>0</v>
      </c>
      <c r="H32" s="10">
        <v>0</v>
      </c>
      <c r="I32" s="10">
        <v>0</v>
      </c>
      <c r="J32" s="10">
        <v>0</v>
      </c>
      <c r="K32" s="10">
        <v>0</v>
      </c>
      <c r="L32" s="10">
        <v>0</v>
      </c>
      <c r="M32" s="10">
        <v>0</v>
      </c>
      <c r="N32" s="10">
        <v>0</v>
      </c>
      <c r="O32" s="10">
        <v>0</v>
      </c>
      <c r="P32" s="10">
        <v>0</v>
      </c>
      <c r="Q32" s="10">
        <v>0</v>
      </c>
      <c r="R32" s="10">
        <v>0</v>
      </c>
      <c r="S32" s="10">
        <v>0</v>
      </c>
      <c r="T32" s="10">
        <v>0</v>
      </c>
      <c r="U32" s="10">
        <v>0</v>
      </c>
      <c r="V32" s="10">
        <v>0</v>
      </c>
      <c r="W32" s="10">
        <v>1</v>
      </c>
      <c r="X32" s="10">
        <v>0</v>
      </c>
      <c r="Y32" s="10">
        <v>0</v>
      </c>
      <c r="Z32" s="10">
        <v>0</v>
      </c>
      <c r="AA32" s="10">
        <v>0</v>
      </c>
      <c r="AB32" s="10">
        <v>0</v>
      </c>
      <c r="AC32" s="10">
        <v>0</v>
      </c>
    </row>
    <row r="33" spans="1:29" x14ac:dyDescent="0.35">
      <c r="A33" s="10">
        <v>2030</v>
      </c>
      <c r="B33" s="10" t="s">
        <v>451</v>
      </c>
      <c r="C33" s="10">
        <v>0</v>
      </c>
      <c r="D33" s="10">
        <v>0</v>
      </c>
      <c r="E33" s="10">
        <v>0</v>
      </c>
      <c r="F33" s="10">
        <v>0</v>
      </c>
      <c r="G33" s="10">
        <v>0</v>
      </c>
      <c r="H33" s="10">
        <v>0</v>
      </c>
      <c r="I33" s="10">
        <v>0</v>
      </c>
      <c r="J33" s="10">
        <v>0</v>
      </c>
      <c r="K33" s="10">
        <v>0</v>
      </c>
      <c r="L33" s="10">
        <v>0</v>
      </c>
      <c r="M33" s="10">
        <v>0</v>
      </c>
      <c r="N33" s="10">
        <v>0</v>
      </c>
      <c r="O33" s="10">
        <v>0</v>
      </c>
      <c r="P33" s="10">
        <v>0</v>
      </c>
      <c r="Q33" s="10">
        <v>0</v>
      </c>
      <c r="R33" s="10">
        <v>0</v>
      </c>
      <c r="S33" s="10">
        <v>0</v>
      </c>
      <c r="T33" s="10">
        <v>1</v>
      </c>
      <c r="U33" s="10">
        <v>0</v>
      </c>
      <c r="V33" s="10">
        <v>0</v>
      </c>
      <c r="W33" s="10">
        <v>0</v>
      </c>
      <c r="X33" s="10">
        <v>0</v>
      </c>
      <c r="Y33" s="10">
        <v>0</v>
      </c>
      <c r="Z33" s="10">
        <v>0</v>
      </c>
      <c r="AA33" s="10">
        <v>0</v>
      </c>
      <c r="AB33" s="10">
        <v>0</v>
      </c>
      <c r="AC33" s="10">
        <v>0</v>
      </c>
    </row>
    <row r="34" spans="1:29" x14ac:dyDescent="0.35">
      <c r="A34" s="10">
        <v>2030</v>
      </c>
      <c r="B34" s="10" t="s">
        <v>452</v>
      </c>
      <c r="C34" s="10">
        <v>0</v>
      </c>
      <c r="D34" s="10">
        <v>0</v>
      </c>
      <c r="E34" s="10">
        <v>0</v>
      </c>
      <c r="F34" s="10">
        <v>0</v>
      </c>
      <c r="G34" s="10">
        <v>0</v>
      </c>
      <c r="H34" s="10">
        <v>0</v>
      </c>
      <c r="I34" s="10">
        <v>0</v>
      </c>
      <c r="J34" s="10">
        <v>0</v>
      </c>
      <c r="K34" s="10">
        <v>0</v>
      </c>
      <c r="L34" s="10">
        <v>0</v>
      </c>
      <c r="M34" s="10">
        <v>0</v>
      </c>
      <c r="N34" s="10">
        <v>0</v>
      </c>
      <c r="O34" s="10">
        <v>0</v>
      </c>
      <c r="P34" s="10">
        <v>0</v>
      </c>
      <c r="Q34" s="10">
        <v>0</v>
      </c>
      <c r="R34" s="10">
        <v>0</v>
      </c>
      <c r="S34" s="10">
        <v>0</v>
      </c>
      <c r="T34" s="10">
        <v>0</v>
      </c>
      <c r="U34" s="10">
        <v>0</v>
      </c>
      <c r="V34" s="10">
        <v>0</v>
      </c>
      <c r="W34" s="10">
        <v>0</v>
      </c>
      <c r="X34" s="10">
        <v>0</v>
      </c>
      <c r="Y34" s="10">
        <v>0</v>
      </c>
      <c r="Z34" s="10">
        <v>0</v>
      </c>
      <c r="AA34" s="10">
        <v>0</v>
      </c>
      <c r="AB34" s="10">
        <v>1</v>
      </c>
      <c r="AC34" s="10">
        <v>0</v>
      </c>
    </row>
    <row r="35" spans="1:29" x14ac:dyDescent="0.35">
      <c r="A35" s="10">
        <v>2030</v>
      </c>
      <c r="B35" s="10" t="s">
        <v>453</v>
      </c>
      <c r="C35" s="10">
        <v>0.93599999999999994</v>
      </c>
      <c r="D35" s="10">
        <v>0</v>
      </c>
      <c r="E35" s="10">
        <v>3.1E-2</v>
      </c>
      <c r="F35" s="10">
        <v>2.7666666666666666E-2</v>
      </c>
      <c r="G35" s="10">
        <v>5.333333333333334E-3</v>
      </c>
      <c r="H35" s="10">
        <v>0</v>
      </c>
      <c r="I35" s="10">
        <v>0</v>
      </c>
      <c r="J35" s="10">
        <v>0</v>
      </c>
      <c r="K35" s="10">
        <v>0</v>
      </c>
      <c r="L35" s="10">
        <v>0</v>
      </c>
      <c r="M35" s="10">
        <v>0</v>
      </c>
      <c r="N35" s="10">
        <v>0</v>
      </c>
      <c r="O35" s="10">
        <v>0</v>
      </c>
      <c r="P35" s="10">
        <v>0</v>
      </c>
      <c r="Q35" s="10">
        <v>0</v>
      </c>
      <c r="R35" s="10">
        <v>0</v>
      </c>
      <c r="S35" s="10">
        <v>0</v>
      </c>
      <c r="T35" s="10">
        <v>0</v>
      </c>
      <c r="U35" s="10">
        <v>0</v>
      </c>
      <c r="V35" s="10">
        <v>0</v>
      </c>
      <c r="W35" s="10">
        <v>0</v>
      </c>
      <c r="X35" s="10">
        <v>0</v>
      </c>
      <c r="Y35" s="10">
        <v>0</v>
      </c>
      <c r="Z35" s="10">
        <v>0</v>
      </c>
      <c r="AA35" s="10">
        <v>0</v>
      </c>
      <c r="AB35" s="10">
        <v>0</v>
      </c>
      <c r="AC35" s="10">
        <v>0</v>
      </c>
    </row>
    <row r="36" spans="1:29" x14ac:dyDescent="0.35">
      <c r="A36" s="10">
        <v>2030</v>
      </c>
      <c r="B36" s="10" t="s">
        <v>454</v>
      </c>
      <c r="C36" s="10">
        <v>0</v>
      </c>
      <c r="D36" s="10">
        <v>0</v>
      </c>
      <c r="E36" s="10">
        <v>0</v>
      </c>
      <c r="F36" s="10">
        <v>0</v>
      </c>
      <c r="G36" s="10">
        <v>0</v>
      </c>
      <c r="H36" s="10">
        <v>0</v>
      </c>
      <c r="I36" s="10">
        <v>0</v>
      </c>
      <c r="J36" s="10">
        <v>0.76024481099999996</v>
      </c>
      <c r="K36" s="10">
        <v>0.23975518900000001</v>
      </c>
      <c r="L36" s="10">
        <v>0</v>
      </c>
      <c r="M36" s="10">
        <v>0</v>
      </c>
      <c r="N36" s="10">
        <v>0</v>
      </c>
      <c r="O36" s="10">
        <v>0</v>
      </c>
      <c r="P36" s="10">
        <v>0</v>
      </c>
      <c r="Q36" s="10">
        <v>0</v>
      </c>
      <c r="R36" s="10">
        <v>0</v>
      </c>
      <c r="S36" s="10">
        <v>0</v>
      </c>
      <c r="T36" s="10">
        <v>0</v>
      </c>
      <c r="U36" s="10">
        <v>0</v>
      </c>
      <c r="V36" s="10">
        <v>0</v>
      </c>
      <c r="W36" s="10">
        <v>0</v>
      </c>
      <c r="X36" s="10">
        <v>0</v>
      </c>
      <c r="Y36" s="10">
        <v>0</v>
      </c>
      <c r="Z36" s="10">
        <v>0</v>
      </c>
      <c r="AA36" s="10">
        <v>0</v>
      </c>
      <c r="AB36" s="10">
        <v>0</v>
      </c>
      <c r="AC36" s="10">
        <v>0</v>
      </c>
    </row>
    <row r="37" spans="1:29" x14ac:dyDescent="0.35">
      <c r="A37" s="10">
        <v>2030</v>
      </c>
      <c r="B37" s="10" t="s">
        <v>455</v>
      </c>
      <c r="C37" s="10">
        <v>0.93599999999999994</v>
      </c>
      <c r="D37" s="10">
        <v>0</v>
      </c>
      <c r="E37" s="10">
        <v>3.1E-2</v>
      </c>
      <c r="F37" s="10">
        <v>2.7666666666666666E-2</v>
      </c>
      <c r="G37" s="10">
        <v>5.333333333333334E-3</v>
      </c>
      <c r="H37" s="10">
        <v>0</v>
      </c>
      <c r="I37" s="10">
        <v>0</v>
      </c>
      <c r="J37" s="10">
        <v>0</v>
      </c>
      <c r="K37" s="10">
        <v>0</v>
      </c>
      <c r="L37" s="10">
        <v>0</v>
      </c>
      <c r="M37" s="10">
        <v>0</v>
      </c>
      <c r="N37" s="10">
        <v>0</v>
      </c>
      <c r="O37" s="10">
        <v>0</v>
      </c>
      <c r="P37" s="10">
        <v>0</v>
      </c>
      <c r="Q37" s="10">
        <v>0</v>
      </c>
      <c r="R37" s="10">
        <v>0</v>
      </c>
      <c r="S37" s="10">
        <v>0</v>
      </c>
      <c r="T37" s="10">
        <v>0</v>
      </c>
      <c r="U37" s="10">
        <v>0</v>
      </c>
      <c r="V37" s="10">
        <v>0</v>
      </c>
      <c r="W37" s="10">
        <v>0</v>
      </c>
      <c r="X37" s="10">
        <v>0</v>
      </c>
      <c r="Y37" s="10">
        <v>0</v>
      </c>
      <c r="Z37" s="10">
        <v>0</v>
      </c>
      <c r="AA37" s="10">
        <v>0</v>
      </c>
      <c r="AB37" s="10">
        <v>0</v>
      </c>
      <c r="AC37" s="10">
        <v>0</v>
      </c>
    </row>
    <row r="38" spans="1:29" x14ac:dyDescent="0.35">
      <c r="A38" s="10">
        <v>2030</v>
      </c>
      <c r="B38" s="10" t="s">
        <v>457</v>
      </c>
      <c r="C38" s="10">
        <v>0</v>
      </c>
      <c r="D38" s="10">
        <v>0</v>
      </c>
      <c r="E38" s="10">
        <v>0</v>
      </c>
      <c r="F38" s="10">
        <v>0</v>
      </c>
      <c r="G38" s="10">
        <v>0</v>
      </c>
      <c r="H38" s="10">
        <v>0</v>
      </c>
      <c r="I38" s="10">
        <v>0</v>
      </c>
      <c r="J38" s="10">
        <v>0</v>
      </c>
      <c r="K38" s="10">
        <v>0</v>
      </c>
      <c r="L38" s="10">
        <v>0</v>
      </c>
      <c r="M38" s="10">
        <v>0</v>
      </c>
      <c r="N38" s="10">
        <v>0</v>
      </c>
      <c r="O38" s="10">
        <v>0</v>
      </c>
      <c r="P38" s="10">
        <v>0</v>
      </c>
      <c r="Q38" s="10">
        <v>0.29447516544011604</v>
      </c>
      <c r="R38" s="10">
        <v>0.60583634820302701</v>
      </c>
      <c r="S38" s="10">
        <v>9.9688486356856953E-2</v>
      </c>
      <c r="T38" s="10">
        <v>0</v>
      </c>
      <c r="U38" s="10">
        <v>0</v>
      </c>
      <c r="V38" s="10">
        <v>0</v>
      </c>
      <c r="W38" s="10">
        <v>0</v>
      </c>
      <c r="X38" s="10">
        <v>0</v>
      </c>
      <c r="Y38" s="10">
        <v>0</v>
      </c>
      <c r="Z38" s="10">
        <v>0</v>
      </c>
      <c r="AA38" s="10">
        <v>0</v>
      </c>
      <c r="AB38" s="10">
        <v>0</v>
      </c>
      <c r="AC38" s="10">
        <v>0</v>
      </c>
    </row>
    <row r="39" spans="1:29" x14ac:dyDescent="0.35">
      <c r="A39" s="10">
        <v>2030</v>
      </c>
      <c r="B39" s="10" t="s">
        <v>456</v>
      </c>
      <c r="C39" s="10">
        <v>0</v>
      </c>
      <c r="D39" s="10">
        <v>0</v>
      </c>
      <c r="E39" s="10">
        <v>0</v>
      </c>
      <c r="F39" s="10">
        <v>0</v>
      </c>
      <c r="G39" s="10">
        <v>0</v>
      </c>
      <c r="H39" s="10">
        <v>0</v>
      </c>
      <c r="I39" s="10">
        <v>0</v>
      </c>
      <c r="J39" s="10">
        <v>0</v>
      </c>
      <c r="K39" s="10">
        <v>0</v>
      </c>
      <c r="L39" s="10">
        <v>2.38095238095236E-2</v>
      </c>
      <c r="M39" s="10">
        <v>0.59841269841269895</v>
      </c>
      <c r="N39" s="10">
        <v>0.20634920634920639</v>
      </c>
      <c r="O39" s="10">
        <v>0.17142857142857104</v>
      </c>
      <c r="P39" s="10">
        <v>0</v>
      </c>
      <c r="Q39" s="10">
        <v>0</v>
      </c>
      <c r="R39" s="10">
        <v>0</v>
      </c>
      <c r="S39" s="10">
        <v>0</v>
      </c>
      <c r="T39" s="10">
        <v>0</v>
      </c>
      <c r="U39" s="10">
        <v>0</v>
      </c>
      <c r="V39" s="10">
        <v>0</v>
      </c>
      <c r="W39" s="10">
        <v>0</v>
      </c>
      <c r="X39" s="10">
        <v>0</v>
      </c>
      <c r="Y39" s="10">
        <v>0</v>
      </c>
      <c r="Z39" s="10">
        <v>0</v>
      </c>
      <c r="AA39" s="10">
        <v>0</v>
      </c>
      <c r="AB39" s="10">
        <v>0</v>
      </c>
      <c r="AC39" s="10">
        <v>0</v>
      </c>
    </row>
    <row r="40" spans="1:29" x14ac:dyDescent="0.35">
      <c r="A40" s="10">
        <v>2030</v>
      </c>
      <c r="B40" s="10" t="s">
        <v>458</v>
      </c>
      <c r="C40" s="10">
        <v>0</v>
      </c>
      <c r="D40" s="10">
        <v>0</v>
      </c>
      <c r="E40" s="10">
        <v>0</v>
      </c>
      <c r="F40" s="10">
        <v>0</v>
      </c>
      <c r="G40" s="10">
        <v>0</v>
      </c>
      <c r="H40" s="10">
        <v>0</v>
      </c>
      <c r="I40" s="10">
        <v>0</v>
      </c>
      <c r="J40" s="10">
        <v>0</v>
      </c>
      <c r="K40" s="10">
        <v>0</v>
      </c>
      <c r="L40" s="10">
        <v>2.1708683473389164E-2</v>
      </c>
      <c r="M40" s="10">
        <v>0.54561157796451965</v>
      </c>
      <c r="N40" s="10">
        <v>0.18814192343604111</v>
      </c>
      <c r="O40" s="10">
        <v>0.156302521008403</v>
      </c>
      <c r="P40" s="10">
        <v>0</v>
      </c>
      <c r="Q40" s="10">
        <v>2.5983102832951417E-2</v>
      </c>
      <c r="R40" s="10">
        <v>5.3456148370855328E-2</v>
      </c>
      <c r="S40" s="10">
        <v>8.7960429138403198E-3</v>
      </c>
      <c r="T40" s="10">
        <v>0</v>
      </c>
      <c r="U40" s="10">
        <v>0</v>
      </c>
      <c r="V40" s="10">
        <v>0</v>
      </c>
      <c r="W40" s="10">
        <v>0</v>
      </c>
      <c r="X40" s="10">
        <v>0</v>
      </c>
      <c r="Y40" s="10">
        <v>0</v>
      </c>
      <c r="Z40" s="10">
        <v>0</v>
      </c>
      <c r="AA40" s="10">
        <v>0</v>
      </c>
      <c r="AB40" s="10">
        <v>0</v>
      </c>
      <c r="AC40" s="10">
        <v>0</v>
      </c>
    </row>
    <row r="41" spans="1:29" x14ac:dyDescent="0.35">
      <c r="A41" s="10">
        <v>2040</v>
      </c>
      <c r="B41" s="10" t="s">
        <v>446</v>
      </c>
      <c r="C41" s="10">
        <v>0</v>
      </c>
      <c r="D41" s="10">
        <v>0</v>
      </c>
      <c r="E41" s="10">
        <v>0</v>
      </c>
      <c r="F41" s="10">
        <v>0</v>
      </c>
      <c r="G41" s="10">
        <v>0</v>
      </c>
      <c r="H41" s="10">
        <v>0</v>
      </c>
      <c r="I41" s="10">
        <v>0</v>
      </c>
      <c r="J41" s="10">
        <v>0</v>
      </c>
      <c r="K41" s="10">
        <v>0</v>
      </c>
      <c r="L41" s="10">
        <v>0</v>
      </c>
      <c r="M41" s="10">
        <v>0</v>
      </c>
      <c r="N41" s="10">
        <v>0</v>
      </c>
      <c r="O41" s="10">
        <v>0</v>
      </c>
      <c r="P41" s="10">
        <v>0</v>
      </c>
      <c r="Q41" s="10">
        <v>0</v>
      </c>
      <c r="R41" s="10">
        <v>0</v>
      </c>
      <c r="S41" s="10">
        <v>0</v>
      </c>
      <c r="T41" s="10">
        <v>0</v>
      </c>
      <c r="U41" s="10">
        <v>0</v>
      </c>
      <c r="V41" s="10">
        <v>0</v>
      </c>
      <c r="W41" s="10">
        <v>0</v>
      </c>
      <c r="X41" s="10">
        <v>1</v>
      </c>
      <c r="Y41" s="10">
        <v>0</v>
      </c>
      <c r="Z41" s="10">
        <v>0</v>
      </c>
      <c r="AA41" s="10">
        <v>0</v>
      </c>
      <c r="AB41" s="10">
        <v>0</v>
      </c>
      <c r="AC41" s="10">
        <v>0</v>
      </c>
    </row>
    <row r="42" spans="1:29" x14ac:dyDescent="0.35">
      <c r="A42" s="10">
        <v>2040</v>
      </c>
      <c r="B42" s="10" t="s">
        <v>447</v>
      </c>
      <c r="C42" s="10">
        <v>0</v>
      </c>
      <c r="D42" s="10">
        <v>0</v>
      </c>
      <c r="E42" s="10">
        <v>0</v>
      </c>
      <c r="F42" s="10">
        <v>0</v>
      </c>
      <c r="G42" s="10">
        <v>0</v>
      </c>
      <c r="H42" s="10">
        <v>0</v>
      </c>
      <c r="I42" s="10">
        <v>0</v>
      </c>
      <c r="J42" s="10">
        <v>0</v>
      </c>
      <c r="K42" s="10">
        <v>0</v>
      </c>
      <c r="L42" s="10">
        <v>0</v>
      </c>
      <c r="M42" s="10">
        <v>0</v>
      </c>
      <c r="N42" s="10">
        <v>0</v>
      </c>
      <c r="O42" s="10">
        <v>0</v>
      </c>
      <c r="P42" s="10">
        <v>0</v>
      </c>
      <c r="Q42" s="10">
        <v>0</v>
      </c>
      <c r="R42" s="10">
        <v>0</v>
      </c>
      <c r="S42" s="10">
        <v>0</v>
      </c>
      <c r="T42" s="10">
        <v>0</v>
      </c>
      <c r="U42" s="10">
        <v>0</v>
      </c>
      <c r="V42" s="10">
        <v>0</v>
      </c>
      <c r="W42" s="10">
        <v>0</v>
      </c>
      <c r="X42" s="10">
        <v>0</v>
      </c>
      <c r="Y42" s="10">
        <v>0</v>
      </c>
      <c r="Z42" s="10">
        <v>1</v>
      </c>
      <c r="AA42" s="10">
        <v>0</v>
      </c>
      <c r="AB42" s="10">
        <v>0</v>
      </c>
      <c r="AC42" s="10">
        <v>0</v>
      </c>
    </row>
    <row r="43" spans="1:29" x14ac:dyDescent="0.35">
      <c r="A43" s="10">
        <v>2040</v>
      </c>
      <c r="B43" s="10" t="s">
        <v>448</v>
      </c>
      <c r="C43" s="10">
        <v>0</v>
      </c>
      <c r="D43" s="10">
        <v>0</v>
      </c>
      <c r="E43" s="10">
        <v>0</v>
      </c>
      <c r="F43" s="10">
        <v>0</v>
      </c>
      <c r="G43" s="10">
        <v>0</v>
      </c>
      <c r="H43" s="10">
        <v>0</v>
      </c>
      <c r="I43" s="10">
        <v>0</v>
      </c>
      <c r="J43" s="10">
        <v>0</v>
      </c>
      <c r="K43" s="10">
        <v>0</v>
      </c>
      <c r="L43" s="10">
        <v>0</v>
      </c>
      <c r="M43" s="10">
        <v>0</v>
      </c>
      <c r="N43" s="10">
        <v>0</v>
      </c>
      <c r="O43" s="10">
        <v>0</v>
      </c>
      <c r="P43" s="10">
        <v>0</v>
      </c>
      <c r="Q43" s="10">
        <v>0</v>
      </c>
      <c r="R43" s="10">
        <v>0</v>
      </c>
      <c r="S43" s="10">
        <v>0</v>
      </c>
      <c r="T43" s="10">
        <v>0</v>
      </c>
      <c r="U43" s="10">
        <v>0</v>
      </c>
      <c r="V43" s="10">
        <v>0</v>
      </c>
      <c r="W43" s="10">
        <v>0</v>
      </c>
      <c r="X43" s="10">
        <v>0</v>
      </c>
      <c r="Y43" s="10">
        <v>0</v>
      </c>
      <c r="Z43" s="10">
        <v>0</v>
      </c>
      <c r="AA43" s="10">
        <v>1</v>
      </c>
      <c r="AB43" s="10">
        <v>0</v>
      </c>
      <c r="AC43" s="10">
        <v>0</v>
      </c>
    </row>
    <row r="44" spans="1:29" x14ac:dyDescent="0.35">
      <c r="A44" s="10">
        <v>2040</v>
      </c>
      <c r="B44" s="10" t="s">
        <v>449</v>
      </c>
      <c r="C44" s="10">
        <v>0</v>
      </c>
      <c r="D44" s="10">
        <v>0</v>
      </c>
      <c r="E44" s="10">
        <v>0</v>
      </c>
      <c r="F44" s="10">
        <v>0</v>
      </c>
      <c r="G44" s="10">
        <v>0</v>
      </c>
      <c r="H44" s="10">
        <v>0</v>
      </c>
      <c r="I44" s="10">
        <v>0</v>
      </c>
      <c r="J44" s="10">
        <v>0</v>
      </c>
      <c r="K44" s="10">
        <v>0</v>
      </c>
      <c r="L44" s="10">
        <v>0</v>
      </c>
      <c r="M44" s="10">
        <v>0</v>
      </c>
      <c r="N44" s="10">
        <v>0</v>
      </c>
      <c r="O44" s="10">
        <v>0</v>
      </c>
      <c r="P44" s="10">
        <v>0</v>
      </c>
      <c r="Q44" s="10">
        <v>0</v>
      </c>
      <c r="R44" s="10">
        <v>0</v>
      </c>
      <c r="S44" s="10">
        <v>0</v>
      </c>
      <c r="T44" s="10">
        <v>0</v>
      </c>
      <c r="U44" s="10">
        <v>0</v>
      </c>
      <c r="V44" s="10">
        <v>0</v>
      </c>
      <c r="W44" s="10">
        <v>0</v>
      </c>
      <c r="X44" s="10">
        <v>0</v>
      </c>
      <c r="Y44" s="10">
        <v>1</v>
      </c>
      <c r="Z44" s="10">
        <v>0</v>
      </c>
      <c r="AA44" s="10">
        <v>0</v>
      </c>
      <c r="AB44" s="10">
        <v>0</v>
      </c>
      <c r="AC44" s="10">
        <v>0</v>
      </c>
    </row>
    <row r="45" spans="1:29" x14ac:dyDescent="0.35">
      <c r="A45" s="10">
        <v>2040</v>
      </c>
      <c r="B45" s="10" t="s">
        <v>450</v>
      </c>
      <c r="C45" s="10">
        <v>0</v>
      </c>
      <c r="D45" s="10">
        <v>0</v>
      </c>
      <c r="E45" s="10">
        <v>0</v>
      </c>
      <c r="F45" s="10">
        <v>0</v>
      </c>
      <c r="G45" s="10">
        <v>0</v>
      </c>
      <c r="H45" s="10">
        <v>0</v>
      </c>
      <c r="I45" s="10">
        <v>0</v>
      </c>
      <c r="J45" s="10">
        <v>0</v>
      </c>
      <c r="K45" s="10">
        <v>0</v>
      </c>
      <c r="L45" s="10">
        <v>0</v>
      </c>
      <c r="M45" s="10">
        <v>0</v>
      </c>
      <c r="N45" s="10">
        <v>0</v>
      </c>
      <c r="O45" s="10">
        <v>0</v>
      </c>
      <c r="P45" s="10">
        <v>0</v>
      </c>
      <c r="Q45" s="10">
        <v>0</v>
      </c>
      <c r="R45" s="10">
        <v>0</v>
      </c>
      <c r="S45" s="10">
        <v>0</v>
      </c>
      <c r="T45" s="10">
        <v>0</v>
      </c>
      <c r="U45" s="10">
        <v>0</v>
      </c>
      <c r="V45" s="10">
        <v>0</v>
      </c>
      <c r="W45" s="10">
        <v>1</v>
      </c>
      <c r="X45" s="10">
        <v>0</v>
      </c>
      <c r="Y45" s="10">
        <v>0</v>
      </c>
      <c r="Z45" s="10">
        <v>0</v>
      </c>
      <c r="AA45" s="10">
        <v>0</v>
      </c>
      <c r="AB45" s="10">
        <v>0</v>
      </c>
      <c r="AC45" s="10">
        <v>0</v>
      </c>
    </row>
    <row r="46" spans="1:29" x14ac:dyDescent="0.35">
      <c r="A46" s="10">
        <v>2040</v>
      </c>
      <c r="B46" s="10" t="s">
        <v>451</v>
      </c>
      <c r="C46" s="10">
        <v>0</v>
      </c>
      <c r="D46" s="10">
        <v>0</v>
      </c>
      <c r="E46" s="10">
        <v>0</v>
      </c>
      <c r="F46" s="10">
        <v>0</v>
      </c>
      <c r="G46" s="10">
        <v>0</v>
      </c>
      <c r="H46" s="10">
        <v>0</v>
      </c>
      <c r="I46" s="10">
        <v>0</v>
      </c>
      <c r="J46" s="10">
        <v>0</v>
      </c>
      <c r="K46" s="10">
        <v>0</v>
      </c>
      <c r="L46" s="10">
        <v>0</v>
      </c>
      <c r="M46" s="10">
        <v>0</v>
      </c>
      <c r="N46" s="10">
        <v>0</v>
      </c>
      <c r="O46" s="10">
        <v>0</v>
      </c>
      <c r="P46" s="10">
        <v>0</v>
      </c>
      <c r="Q46" s="10">
        <v>0</v>
      </c>
      <c r="R46" s="10">
        <v>0</v>
      </c>
      <c r="S46" s="10">
        <v>0</v>
      </c>
      <c r="T46" s="10">
        <v>1</v>
      </c>
      <c r="U46" s="10">
        <v>0</v>
      </c>
      <c r="V46" s="10">
        <v>0</v>
      </c>
      <c r="W46" s="10">
        <v>0</v>
      </c>
      <c r="X46" s="10">
        <v>0</v>
      </c>
      <c r="Y46" s="10">
        <v>0</v>
      </c>
      <c r="Z46" s="10">
        <v>0</v>
      </c>
      <c r="AA46" s="10">
        <v>0</v>
      </c>
      <c r="AB46" s="10">
        <v>0</v>
      </c>
      <c r="AC46" s="10">
        <v>0</v>
      </c>
    </row>
    <row r="47" spans="1:29" x14ac:dyDescent="0.35">
      <c r="A47" s="10">
        <v>2040</v>
      </c>
      <c r="B47" s="10" t="s">
        <v>452</v>
      </c>
      <c r="C47" s="10">
        <v>0</v>
      </c>
      <c r="D47" s="10">
        <v>0</v>
      </c>
      <c r="E47" s="10">
        <v>0</v>
      </c>
      <c r="F47" s="10">
        <v>0</v>
      </c>
      <c r="G47" s="10">
        <v>0</v>
      </c>
      <c r="H47" s="10">
        <v>0</v>
      </c>
      <c r="I47" s="10">
        <v>0</v>
      </c>
      <c r="J47" s="10">
        <v>0</v>
      </c>
      <c r="K47" s="10">
        <v>0</v>
      </c>
      <c r="L47" s="10">
        <v>0</v>
      </c>
      <c r="M47" s="10">
        <v>0</v>
      </c>
      <c r="N47" s="10">
        <v>0</v>
      </c>
      <c r="O47" s="10">
        <v>0</v>
      </c>
      <c r="P47" s="10">
        <v>0</v>
      </c>
      <c r="Q47" s="10">
        <v>0</v>
      </c>
      <c r="R47" s="10">
        <v>0</v>
      </c>
      <c r="S47" s="10">
        <v>0</v>
      </c>
      <c r="T47" s="10">
        <v>0</v>
      </c>
      <c r="U47" s="10">
        <v>0</v>
      </c>
      <c r="V47" s="10">
        <v>0</v>
      </c>
      <c r="W47" s="10">
        <v>0</v>
      </c>
      <c r="X47" s="10">
        <v>0</v>
      </c>
      <c r="Y47" s="10">
        <v>0</v>
      </c>
      <c r="Z47" s="10">
        <v>0</v>
      </c>
      <c r="AA47" s="10">
        <v>0</v>
      </c>
      <c r="AB47" s="10">
        <v>1</v>
      </c>
      <c r="AC47" s="10">
        <v>0</v>
      </c>
    </row>
    <row r="48" spans="1:29" x14ac:dyDescent="0.35">
      <c r="A48" s="10">
        <v>2040</v>
      </c>
      <c r="B48" s="10" t="s">
        <v>453</v>
      </c>
      <c r="C48" s="10">
        <v>0.91800000000000004</v>
      </c>
      <c r="D48" s="10">
        <v>0</v>
      </c>
      <c r="E48" s="10">
        <v>3.7999999999999999E-2</v>
      </c>
      <c r="F48" s="10">
        <v>3.6333333333333329E-2</v>
      </c>
      <c r="G48" s="10">
        <v>7.6666666666666671E-3</v>
      </c>
      <c r="H48" s="10">
        <v>0</v>
      </c>
      <c r="I48" s="10">
        <v>0</v>
      </c>
      <c r="J48" s="10">
        <v>0</v>
      </c>
      <c r="K48" s="10">
        <v>0</v>
      </c>
      <c r="L48" s="10">
        <v>0</v>
      </c>
      <c r="M48" s="10">
        <v>0</v>
      </c>
      <c r="N48" s="10">
        <v>0</v>
      </c>
      <c r="O48" s="10">
        <v>0</v>
      </c>
      <c r="P48" s="10">
        <v>0</v>
      </c>
      <c r="Q48" s="10">
        <v>0</v>
      </c>
      <c r="R48" s="10">
        <v>0</v>
      </c>
      <c r="S48" s="10">
        <v>0</v>
      </c>
      <c r="T48" s="10">
        <v>0</v>
      </c>
      <c r="U48" s="10">
        <v>0</v>
      </c>
      <c r="V48" s="10">
        <v>0</v>
      </c>
      <c r="W48" s="10">
        <v>0</v>
      </c>
      <c r="X48" s="10">
        <v>0</v>
      </c>
      <c r="Y48" s="10">
        <v>0</v>
      </c>
      <c r="Z48" s="10">
        <v>0</v>
      </c>
      <c r="AA48" s="10">
        <v>0</v>
      </c>
      <c r="AB48" s="10">
        <v>0</v>
      </c>
      <c r="AC48" s="10">
        <v>0</v>
      </c>
    </row>
    <row r="49" spans="1:29" x14ac:dyDescent="0.35">
      <c r="A49" s="10">
        <v>2040</v>
      </c>
      <c r="B49" s="10" t="s">
        <v>454</v>
      </c>
      <c r="C49" s="10">
        <v>0</v>
      </c>
      <c r="D49" s="10">
        <v>0</v>
      </c>
      <c r="E49" s="10">
        <v>0</v>
      </c>
      <c r="F49" s="10">
        <v>0</v>
      </c>
      <c r="G49" s="10">
        <v>0</v>
      </c>
      <c r="H49" s="10">
        <v>0</v>
      </c>
      <c r="I49" s="10">
        <v>0</v>
      </c>
      <c r="J49" s="10">
        <v>0.76024481099999996</v>
      </c>
      <c r="K49" s="10">
        <v>0.23975518900000001</v>
      </c>
      <c r="L49" s="10">
        <v>0</v>
      </c>
      <c r="M49" s="10">
        <v>0</v>
      </c>
      <c r="N49" s="10">
        <v>0</v>
      </c>
      <c r="O49" s="10">
        <v>0</v>
      </c>
      <c r="P49" s="10">
        <v>0</v>
      </c>
      <c r="Q49" s="10">
        <v>0</v>
      </c>
      <c r="R49" s="10">
        <v>0</v>
      </c>
      <c r="S49" s="10">
        <v>0</v>
      </c>
      <c r="T49" s="10">
        <v>0</v>
      </c>
      <c r="U49" s="10">
        <v>0</v>
      </c>
      <c r="V49" s="10">
        <v>0</v>
      </c>
      <c r="W49" s="10">
        <v>0</v>
      </c>
      <c r="X49" s="10">
        <v>0</v>
      </c>
      <c r="Y49" s="10">
        <v>0</v>
      </c>
      <c r="Z49" s="10">
        <v>0</v>
      </c>
      <c r="AA49" s="10">
        <v>0</v>
      </c>
      <c r="AB49" s="10">
        <v>0</v>
      </c>
      <c r="AC49" s="10">
        <v>0</v>
      </c>
    </row>
    <row r="50" spans="1:29" x14ac:dyDescent="0.35">
      <c r="A50" s="10">
        <v>2040</v>
      </c>
      <c r="B50" s="10" t="s">
        <v>455</v>
      </c>
      <c r="C50" s="10">
        <v>0.91800000000000004</v>
      </c>
      <c r="D50" s="10">
        <v>0</v>
      </c>
      <c r="E50" s="10">
        <v>3.7999999999999999E-2</v>
      </c>
      <c r="F50" s="10">
        <v>3.6333333333333329E-2</v>
      </c>
      <c r="G50" s="10">
        <v>7.6666666666666671E-3</v>
      </c>
      <c r="H50" s="10">
        <v>0</v>
      </c>
      <c r="I50" s="10">
        <v>0</v>
      </c>
      <c r="J50" s="10">
        <v>0</v>
      </c>
      <c r="K50" s="10">
        <v>0</v>
      </c>
      <c r="L50" s="10">
        <v>0</v>
      </c>
      <c r="M50" s="10">
        <v>0</v>
      </c>
      <c r="N50" s="10">
        <v>0</v>
      </c>
      <c r="O50" s="10">
        <v>0</v>
      </c>
      <c r="P50" s="10">
        <v>0</v>
      </c>
      <c r="Q50" s="10">
        <v>0</v>
      </c>
      <c r="R50" s="10">
        <v>0</v>
      </c>
      <c r="S50" s="10">
        <v>0</v>
      </c>
      <c r="T50" s="10">
        <v>0</v>
      </c>
      <c r="U50" s="10">
        <v>0</v>
      </c>
      <c r="V50" s="10">
        <v>0</v>
      </c>
      <c r="W50" s="10">
        <v>0</v>
      </c>
      <c r="X50" s="10">
        <v>0</v>
      </c>
      <c r="Y50" s="10">
        <v>0</v>
      </c>
      <c r="Z50" s="10">
        <v>0</v>
      </c>
      <c r="AA50" s="10">
        <v>0</v>
      </c>
      <c r="AB50" s="10">
        <v>0</v>
      </c>
      <c r="AC50" s="10">
        <v>0</v>
      </c>
    </row>
    <row r="51" spans="1:29" x14ac:dyDescent="0.35">
      <c r="A51" s="10">
        <v>2040</v>
      </c>
      <c r="B51" s="10" t="s">
        <v>457</v>
      </c>
      <c r="C51" s="10">
        <v>0</v>
      </c>
      <c r="D51" s="10">
        <v>0</v>
      </c>
      <c r="E51" s="10">
        <v>0</v>
      </c>
      <c r="F51" s="10">
        <v>0</v>
      </c>
      <c r="G51" s="10">
        <v>0</v>
      </c>
      <c r="H51" s="10">
        <v>0</v>
      </c>
      <c r="I51" s="10">
        <v>0</v>
      </c>
      <c r="J51" s="10">
        <v>0</v>
      </c>
      <c r="K51" s="10">
        <v>0</v>
      </c>
      <c r="L51" s="10">
        <v>0</v>
      </c>
      <c r="M51" s="10">
        <v>0</v>
      </c>
      <c r="N51" s="10">
        <v>0</v>
      </c>
      <c r="O51" s="10">
        <v>0</v>
      </c>
      <c r="P51" s="10">
        <v>0</v>
      </c>
      <c r="Q51" s="10">
        <v>0.29817954064099295</v>
      </c>
      <c r="R51" s="10">
        <v>0.59422463594933295</v>
      </c>
      <c r="S51" s="10">
        <v>0.10759582340967405</v>
      </c>
      <c r="T51" s="10">
        <v>0</v>
      </c>
      <c r="U51" s="10">
        <v>0</v>
      </c>
      <c r="V51" s="10">
        <v>0</v>
      </c>
      <c r="W51" s="10">
        <v>0</v>
      </c>
      <c r="X51" s="10">
        <v>0</v>
      </c>
      <c r="Y51" s="10">
        <v>0</v>
      </c>
      <c r="Z51" s="10">
        <v>0</v>
      </c>
      <c r="AA51" s="10">
        <v>0</v>
      </c>
      <c r="AB51" s="10">
        <v>0</v>
      </c>
      <c r="AC51" s="10">
        <v>0</v>
      </c>
    </row>
    <row r="52" spans="1:29" x14ac:dyDescent="0.35">
      <c r="A52" s="10">
        <v>2040</v>
      </c>
      <c r="B52" s="10" t="s">
        <v>456</v>
      </c>
      <c r="C52" s="10">
        <v>0</v>
      </c>
      <c r="D52" s="10">
        <v>0</v>
      </c>
      <c r="E52" s="10">
        <v>0</v>
      </c>
      <c r="F52" s="10">
        <v>0</v>
      </c>
      <c r="G52" s="10">
        <v>0</v>
      </c>
      <c r="H52" s="10">
        <v>0</v>
      </c>
      <c r="I52" s="10">
        <v>0</v>
      </c>
      <c r="J52" s="10">
        <v>0</v>
      </c>
      <c r="K52" s="10">
        <v>0</v>
      </c>
      <c r="L52" s="10">
        <v>1.4285714285714299E-2</v>
      </c>
      <c r="M52" s="10">
        <v>0.553968253968255</v>
      </c>
      <c r="N52" s="10">
        <v>0.2349206349206347</v>
      </c>
      <c r="O52" s="10">
        <v>0.19682539682539602</v>
      </c>
      <c r="P52" s="10">
        <v>0</v>
      </c>
      <c r="Q52" s="10">
        <v>0</v>
      </c>
      <c r="R52" s="10">
        <v>0</v>
      </c>
      <c r="S52" s="10">
        <v>0</v>
      </c>
      <c r="T52" s="10">
        <v>0</v>
      </c>
      <c r="U52" s="10">
        <v>0</v>
      </c>
      <c r="V52" s="10">
        <v>0</v>
      </c>
      <c r="W52" s="10">
        <v>0</v>
      </c>
      <c r="X52" s="10">
        <v>0</v>
      </c>
      <c r="Y52" s="10">
        <v>0</v>
      </c>
      <c r="Z52" s="10">
        <v>0</v>
      </c>
      <c r="AA52" s="10">
        <v>0</v>
      </c>
      <c r="AB52" s="10">
        <v>0</v>
      </c>
      <c r="AC52" s="10">
        <v>0</v>
      </c>
    </row>
    <row r="53" spans="1:29" x14ac:dyDescent="0.35">
      <c r="A53" s="10">
        <v>2040</v>
      </c>
      <c r="B53" s="10" t="s">
        <v>458</v>
      </c>
      <c r="C53" s="10">
        <v>0</v>
      </c>
      <c r="D53" s="10">
        <v>0</v>
      </c>
      <c r="E53" s="10">
        <v>0</v>
      </c>
      <c r="F53" s="10">
        <v>0</v>
      </c>
      <c r="G53" s="10">
        <v>0</v>
      </c>
      <c r="H53" s="10">
        <v>0</v>
      </c>
      <c r="I53" s="10">
        <v>0</v>
      </c>
      <c r="J53" s="10">
        <v>0</v>
      </c>
      <c r="K53" s="10">
        <v>0</v>
      </c>
      <c r="L53" s="10">
        <v>1.2903225806451625E-2</v>
      </c>
      <c r="M53" s="10">
        <v>0.50035842293906907</v>
      </c>
      <c r="N53" s="10">
        <v>0.21218637992831521</v>
      </c>
      <c r="O53" s="10">
        <v>0.17777777777777704</v>
      </c>
      <c r="P53" s="10">
        <v>0</v>
      </c>
      <c r="Q53" s="10">
        <v>2.8856084578160607E-2</v>
      </c>
      <c r="R53" s="10">
        <v>5.7505609930580605E-2</v>
      </c>
      <c r="S53" s="10">
        <v>1.0412499039645876E-2</v>
      </c>
      <c r="T53" s="10">
        <v>0</v>
      </c>
      <c r="U53" s="10">
        <v>0</v>
      </c>
      <c r="V53" s="10">
        <v>0</v>
      </c>
      <c r="W53" s="10">
        <v>0</v>
      </c>
      <c r="X53" s="10">
        <v>0</v>
      </c>
      <c r="Y53" s="10">
        <v>0</v>
      </c>
      <c r="Z53" s="10">
        <v>0</v>
      </c>
      <c r="AA53" s="10">
        <v>0</v>
      </c>
      <c r="AB53" s="10">
        <v>0</v>
      </c>
      <c r="AC53" s="10">
        <v>0</v>
      </c>
    </row>
    <row r="54" spans="1:29" x14ac:dyDescent="0.35">
      <c r="A54" s="10">
        <v>2050</v>
      </c>
      <c r="B54" s="10" t="s">
        <v>446</v>
      </c>
      <c r="C54" s="10">
        <v>0</v>
      </c>
      <c r="D54" s="10">
        <v>0</v>
      </c>
      <c r="E54" s="10">
        <v>0</v>
      </c>
      <c r="F54" s="10">
        <v>0</v>
      </c>
      <c r="G54" s="10">
        <v>0</v>
      </c>
      <c r="H54" s="10">
        <v>0</v>
      </c>
      <c r="I54" s="10">
        <v>0</v>
      </c>
      <c r="J54" s="10">
        <v>0</v>
      </c>
      <c r="K54" s="10">
        <v>0</v>
      </c>
      <c r="L54" s="10">
        <v>0</v>
      </c>
      <c r="M54" s="10">
        <v>0</v>
      </c>
      <c r="N54" s="10">
        <v>0</v>
      </c>
      <c r="O54" s="10">
        <v>0</v>
      </c>
      <c r="P54" s="10">
        <v>0</v>
      </c>
      <c r="Q54" s="10">
        <v>0</v>
      </c>
      <c r="R54" s="10">
        <v>0</v>
      </c>
      <c r="S54" s="10">
        <v>0</v>
      </c>
      <c r="T54" s="10">
        <v>0</v>
      </c>
      <c r="U54" s="10">
        <v>0</v>
      </c>
      <c r="V54" s="10">
        <v>0</v>
      </c>
      <c r="W54" s="10">
        <v>0</v>
      </c>
      <c r="X54" s="10">
        <v>1</v>
      </c>
      <c r="Y54" s="10">
        <v>0</v>
      </c>
      <c r="Z54" s="10">
        <v>0</v>
      </c>
      <c r="AA54" s="10">
        <v>0</v>
      </c>
      <c r="AB54" s="10">
        <v>0</v>
      </c>
      <c r="AC54" s="10">
        <v>0</v>
      </c>
    </row>
    <row r="55" spans="1:29" x14ac:dyDescent="0.35">
      <c r="A55" s="10">
        <v>2050</v>
      </c>
      <c r="B55" s="10" t="s">
        <v>447</v>
      </c>
      <c r="C55" s="10">
        <v>0</v>
      </c>
      <c r="D55" s="10">
        <v>0</v>
      </c>
      <c r="E55" s="10">
        <v>0</v>
      </c>
      <c r="F55" s="10">
        <v>0</v>
      </c>
      <c r="G55" s="10">
        <v>0</v>
      </c>
      <c r="H55" s="10">
        <v>0</v>
      </c>
      <c r="I55" s="10">
        <v>0</v>
      </c>
      <c r="J55" s="10">
        <v>0</v>
      </c>
      <c r="K55" s="10">
        <v>0</v>
      </c>
      <c r="L55" s="10">
        <v>0</v>
      </c>
      <c r="M55" s="10">
        <v>0</v>
      </c>
      <c r="N55" s="10">
        <v>0</v>
      </c>
      <c r="O55" s="10">
        <v>0</v>
      </c>
      <c r="P55" s="10">
        <v>0</v>
      </c>
      <c r="Q55" s="10">
        <v>0</v>
      </c>
      <c r="R55" s="10">
        <v>0</v>
      </c>
      <c r="S55" s="10">
        <v>0</v>
      </c>
      <c r="T55" s="10">
        <v>0</v>
      </c>
      <c r="U55" s="10">
        <v>0</v>
      </c>
      <c r="V55" s="10">
        <v>0</v>
      </c>
      <c r="W55" s="10">
        <v>0</v>
      </c>
      <c r="X55" s="10">
        <v>0</v>
      </c>
      <c r="Y55" s="10">
        <v>0</v>
      </c>
      <c r="Z55" s="10">
        <v>1</v>
      </c>
      <c r="AA55" s="10">
        <v>0</v>
      </c>
      <c r="AB55" s="10">
        <v>0</v>
      </c>
      <c r="AC55" s="10">
        <v>0</v>
      </c>
    </row>
    <row r="56" spans="1:29" x14ac:dyDescent="0.35">
      <c r="A56" s="10">
        <v>2050</v>
      </c>
      <c r="B56" s="10" t="s">
        <v>448</v>
      </c>
      <c r="C56" s="10">
        <v>0</v>
      </c>
      <c r="D56" s="10">
        <v>0</v>
      </c>
      <c r="E56" s="10">
        <v>0</v>
      </c>
      <c r="F56" s="10">
        <v>0</v>
      </c>
      <c r="G56" s="10">
        <v>0</v>
      </c>
      <c r="H56" s="10">
        <v>0</v>
      </c>
      <c r="I56" s="10">
        <v>0</v>
      </c>
      <c r="J56" s="10">
        <v>0</v>
      </c>
      <c r="K56" s="10">
        <v>0</v>
      </c>
      <c r="L56" s="10">
        <v>0</v>
      </c>
      <c r="M56" s="10">
        <v>0</v>
      </c>
      <c r="N56" s="10">
        <v>0</v>
      </c>
      <c r="O56" s="10">
        <v>0</v>
      </c>
      <c r="P56" s="10">
        <v>0</v>
      </c>
      <c r="Q56" s="10">
        <v>0</v>
      </c>
      <c r="R56" s="10">
        <v>0</v>
      </c>
      <c r="S56" s="10">
        <v>0</v>
      </c>
      <c r="T56" s="10">
        <v>0</v>
      </c>
      <c r="U56" s="10">
        <v>0</v>
      </c>
      <c r="V56" s="10">
        <v>0</v>
      </c>
      <c r="W56" s="10">
        <v>0</v>
      </c>
      <c r="X56" s="10">
        <v>0</v>
      </c>
      <c r="Y56" s="10">
        <v>0</v>
      </c>
      <c r="Z56" s="10">
        <v>0</v>
      </c>
      <c r="AA56" s="10">
        <v>1</v>
      </c>
      <c r="AB56" s="10">
        <v>0</v>
      </c>
      <c r="AC56" s="10">
        <v>0</v>
      </c>
    </row>
    <row r="57" spans="1:29" x14ac:dyDescent="0.35">
      <c r="A57" s="10">
        <v>2050</v>
      </c>
      <c r="B57" s="10" t="s">
        <v>449</v>
      </c>
      <c r="C57" s="10">
        <v>0</v>
      </c>
      <c r="D57" s="10">
        <v>0</v>
      </c>
      <c r="E57" s="10">
        <v>0</v>
      </c>
      <c r="F57" s="10">
        <v>0</v>
      </c>
      <c r="G57" s="10">
        <v>0</v>
      </c>
      <c r="H57" s="10">
        <v>0</v>
      </c>
      <c r="I57" s="10">
        <v>0</v>
      </c>
      <c r="J57" s="10">
        <v>0</v>
      </c>
      <c r="K57" s="10">
        <v>0</v>
      </c>
      <c r="L57" s="10">
        <v>0</v>
      </c>
      <c r="M57" s="10">
        <v>0</v>
      </c>
      <c r="N57" s="10">
        <v>0</v>
      </c>
      <c r="O57" s="10">
        <v>0</v>
      </c>
      <c r="P57" s="10">
        <v>0</v>
      </c>
      <c r="Q57" s="10">
        <v>0</v>
      </c>
      <c r="R57" s="10">
        <v>0</v>
      </c>
      <c r="S57" s="10">
        <v>0</v>
      </c>
      <c r="T57" s="10">
        <v>0</v>
      </c>
      <c r="U57" s="10">
        <v>0</v>
      </c>
      <c r="V57" s="10">
        <v>0</v>
      </c>
      <c r="W57" s="10">
        <v>0</v>
      </c>
      <c r="X57" s="10">
        <v>0</v>
      </c>
      <c r="Y57" s="10">
        <v>1</v>
      </c>
      <c r="Z57" s="10">
        <v>0</v>
      </c>
      <c r="AA57" s="10">
        <v>0</v>
      </c>
      <c r="AB57" s="10">
        <v>0</v>
      </c>
      <c r="AC57" s="10">
        <v>0</v>
      </c>
    </row>
    <row r="58" spans="1:29" x14ac:dyDescent="0.35">
      <c r="A58" s="10">
        <v>2050</v>
      </c>
      <c r="B58" s="10" t="s">
        <v>450</v>
      </c>
      <c r="C58" s="10">
        <v>0</v>
      </c>
      <c r="D58" s="10">
        <v>0</v>
      </c>
      <c r="E58" s="10">
        <v>0</v>
      </c>
      <c r="F58" s="10">
        <v>0</v>
      </c>
      <c r="G58" s="10">
        <v>0</v>
      </c>
      <c r="H58" s="10">
        <v>0</v>
      </c>
      <c r="I58" s="10">
        <v>0</v>
      </c>
      <c r="J58" s="10">
        <v>0</v>
      </c>
      <c r="K58" s="10">
        <v>0</v>
      </c>
      <c r="L58" s="10">
        <v>0</v>
      </c>
      <c r="M58" s="10">
        <v>0</v>
      </c>
      <c r="N58" s="10">
        <v>0</v>
      </c>
      <c r="O58" s="10">
        <v>0</v>
      </c>
      <c r="P58" s="10">
        <v>0</v>
      </c>
      <c r="Q58" s="10">
        <v>0</v>
      </c>
      <c r="R58" s="10">
        <v>0</v>
      </c>
      <c r="S58" s="10">
        <v>0</v>
      </c>
      <c r="T58" s="10">
        <v>0</v>
      </c>
      <c r="U58" s="10">
        <v>0</v>
      </c>
      <c r="V58" s="10">
        <v>0</v>
      </c>
      <c r="W58" s="10">
        <v>1</v>
      </c>
      <c r="X58" s="10">
        <v>0</v>
      </c>
      <c r="Y58" s="10">
        <v>0</v>
      </c>
      <c r="Z58" s="10">
        <v>0</v>
      </c>
      <c r="AA58" s="10">
        <v>0</v>
      </c>
      <c r="AB58" s="10">
        <v>0</v>
      </c>
      <c r="AC58" s="10">
        <v>0</v>
      </c>
    </row>
    <row r="59" spans="1:29" x14ac:dyDescent="0.35">
      <c r="A59" s="10">
        <v>2050</v>
      </c>
      <c r="B59" s="10" t="s">
        <v>451</v>
      </c>
      <c r="C59" s="10">
        <v>0</v>
      </c>
      <c r="D59" s="10">
        <v>0</v>
      </c>
      <c r="E59" s="10">
        <v>0</v>
      </c>
      <c r="F59" s="10">
        <v>0</v>
      </c>
      <c r="G59" s="10">
        <v>0</v>
      </c>
      <c r="H59" s="10">
        <v>0</v>
      </c>
      <c r="I59" s="10">
        <v>0</v>
      </c>
      <c r="J59" s="10">
        <v>0</v>
      </c>
      <c r="K59" s="10">
        <v>0</v>
      </c>
      <c r="L59" s="10">
        <v>0</v>
      </c>
      <c r="M59" s="10">
        <v>0</v>
      </c>
      <c r="N59" s="10">
        <v>0</v>
      </c>
      <c r="O59" s="10">
        <v>0</v>
      </c>
      <c r="P59" s="10">
        <v>0</v>
      </c>
      <c r="Q59" s="10">
        <v>0</v>
      </c>
      <c r="R59" s="10">
        <v>0</v>
      </c>
      <c r="S59" s="10">
        <v>0</v>
      </c>
      <c r="T59" s="10">
        <v>1</v>
      </c>
      <c r="U59" s="10">
        <v>0</v>
      </c>
      <c r="V59" s="10">
        <v>0</v>
      </c>
      <c r="W59" s="10">
        <v>0</v>
      </c>
      <c r="X59" s="10">
        <v>0</v>
      </c>
      <c r="Y59" s="10">
        <v>0</v>
      </c>
      <c r="Z59" s="10">
        <v>0</v>
      </c>
      <c r="AA59" s="10">
        <v>0</v>
      </c>
      <c r="AB59" s="10">
        <v>0</v>
      </c>
      <c r="AC59" s="10">
        <v>0</v>
      </c>
    </row>
    <row r="60" spans="1:29" x14ac:dyDescent="0.35">
      <c r="A60" s="10">
        <v>2050</v>
      </c>
      <c r="B60" s="10" t="s">
        <v>452</v>
      </c>
      <c r="C60" s="10">
        <v>0</v>
      </c>
      <c r="D60" s="10">
        <v>0</v>
      </c>
      <c r="E60" s="10">
        <v>0</v>
      </c>
      <c r="F60" s="10">
        <v>0</v>
      </c>
      <c r="G60" s="10">
        <v>0</v>
      </c>
      <c r="H60" s="10">
        <v>0</v>
      </c>
      <c r="I60" s="10">
        <v>0</v>
      </c>
      <c r="J60" s="10">
        <v>0</v>
      </c>
      <c r="K60" s="10">
        <v>0</v>
      </c>
      <c r="L60" s="10">
        <v>0</v>
      </c>
      <c r="M60" s="10">
        <v>0</v>
      </c>
      <c r="N60" s="10">
        <v>0</v>
      </c>
      <c r="O60" s="10">
        <v>0</v>
      </c>
      <c r="P60" s="10">
        <v>0</v>
      </c>
      <c r="Q60" s="10">
        <v>0</v>
      </c>
      <c r="R60" s="10">
        <v>0</v>
      </c>
      <c r="S60" s="10">
        <v>0</v>
      </c>
      <c r="T60" s="10">
        <v>0</v>
      </c>
      <c r="U60" s="10">
        <v>0</v>
      </c>
      <c r="V60" s="10">
        <v>0</v>
      </c>
      <c r="W60" s="10">
        <v>0</v>
      </c>
      <c r="X60" s="10">
        <v>0</v>
      </c>
      <c r="Y60" s="10">
        <v>0</v>
      </c>
      <c r="Z60" s="10">
        <v>0</v>
      </c>
      <c r="AA60" s="10">
        <v>0</v>
      </c>
      <c r="AB60" s="10">
        <v>1</v>
      </c>
      <c r="AC60" s="10">
        <v>0</v>
      </c>
    </row>
    <row r="61" spans="1:29" x14ac:dyDescent="0.35">
      <c r="A61" s="10">
        <v>2050</v>
      </c>
      <c r="B61" s="10" t="s">
        <v>453</v>
      </c>
      <c r="C61" s="10">
        <v>0.9</v>
      </c>
      <c r="D61" s="10">
        <v>0</v>
      </c>
      <c r="E61" s="10">
        <v>4.4999999999999998E-2</v>
      </c>
      <c r="F61" s="10">
        <v>4.4999999999999998E-2</v>
      </c>
      <c r="G61" s="10">
        <v>0.01</v>
      </c>
      <c r="H61" s="10">
        <v>0</v>
      </c>
      <c r="I61" s="10">
        <v>0</v>
      </c>
      <c r="J61" s="10">
        <v>0</v>
      </c>
      <c r="K61" s="10">
        <v>0</v>
      </c>
      <c r="L61" s="10">
        <v>0</v>
      </c>
      <c r="M61" s="10">
        <v>0</v>
      </c>
      <c r="N61" s="10">
        <v>0</v>
      </c>
      <c r="O61" s="10">
        <v>0</v>
      </c>
      <c r="P61" s="10">
        <v>0</v>
      </c>
      <c r="Q61" s="10">
        <v>0</v>
      </c>
      <c r="R61" s="10">
        <v>0</v>
      </c>
      <c r="S61" s="10">
        <v>0</v>
      </c>
      <c r="T61" s="10">
        <v>0</v>
      </c>
      <c r="U61" s="10">
        <v>0</v>
      </c>
      <c r="V61" s="10">
        <v>0</v>
      </c>
      <c r="W61" s="10">
        <v>0</v>
      </c>
      <c r="X61" s="10">
        <v>0</v>
      </c>
      <c r="Y61" s="10">
        <v>0</v>
      </c>
      <c r="Z61" s="10">
        <v>0</v>
      </c>
      <c r="AA61" s="10">
        <v>0</v>
      </c>
      <c r="AB61" s="10">
        <v>0</v>
      </c>
      <c r="AC61" s="10">
        <v>0</v>
      </c>
    </row>
    <row r="62" spans="1:29" x14ac:dyDescent="0.35">
      <c r="A62" s="10">
        <v>2050</v>
      </c>
      <c r="B62" s="10" t="s">
        <v>454</v>
      </c>
      <c r="C62" s="10">
        <v>0</v>
      </c>
      <c r="D62" s="10">
        <v>0</v>
      </c>
      <c r="E62" s="10">
        <v>0</v>
      </c>
      <c r="F62" s="10">
        <v>0</v>
      </c>
      <c r="G62" s="10">
        <v>0</v>
      </c>
      <c r="H62" s="10">
        <v>0</v>
      </c>
      <c r="I62" s="10">
        <v>0</v>
      </c>
      <c r="J62" s="10">
        <v>0.76024481099999996</v>
      </c>
      <c r="K62" s="10">
        <v>0.23975518900000001</v>
      </c>
      <c r="L62" s="10">
        <v>0</v>
      </c>
      <c r="M62" s="10">
        <v>0</v>
      </c>
      <c r="N62" s="10">
        <v>0</v>
      </c>
      <c r="O62" s="10">
        <v>0</v>
      </c>
      <c r="P62" s="10">
        <v>0</v>
      </c>
      <c r="Q62" s="10">
        <v>0</v>
      </c>
      <c r="R62" s="10">
        <v>0</v>
      </c>
      <c r="S62" s="10">
        <v>0</v>
      </c>
      <c r="T62" s="10">
        <v>0</v>
      </c>
      <c r="U62" s="10">
        <v>0</v>
      </c>
      <c r="V62" s="10">
        <v>0</v>
      </c>
      <c r="W62" s="10">
        <v>0</v>
      </c>
      <c r="X62" s="10">
        <v>0</v>
      </c>
      <c r="Y62" s="10">
        <v>0</v>
      </c>
      <c r="Z62" s="10">
        <v>0</v>
      </c>
      <c r="AA62" s="10">
        <v>0</v>
      </c>
      <c r="AB62" s="10">
        <v>0</v>
      </c>
      <c r="AC62" s="10">
        <v>0</v>
      </c>
    </row>
    <row r="63" spans="1:29" x14ac:dyDescent="0.35">
      <c r="A63" s="10">
        <v>2050</v>
      </c>
      <c r="B63" s="10" t="s">
        <v>455</v>
      </c>
      <c r="C63" s="10">
        <v>0.9</v>
      </c>
      <c r="D63" s="10">
        <v>0</v>
      </c>
      <c r="E63" s="10">
        <v>4.4999999999999998E-2</v>
      </c>
      <c r="F63" s="10">
        <v>4.4999999999999998E-2</v>
      </c>
      <c r="G63" s="10">
        <v>0.01</v>
      </c>
      <c r="H63" s="10">
        <v>0</v>
      </c>
      <c r="I63" s="10">
        <v>0</v>
      </c>
      <c r="J63" s="10">
        <v>0</v>
      </c>
      <c r="K63" s="10">
        <v>0</v>
      </c>
      <c r="L63" s="10">
        <v>0</v>
      </c>
      <c r="M63" s="10">
        <v>0</v>
      </c>
      <c r="N63" s="10">
        <v>0</v>
      </c>
      <c r="O63" s="10">
        <v>0</v>
      </c>
      <c r="P63" s="10">
        <v>0</v>
      </c>
      <c r="Q63" s="10">
        <v>0</v>
      </c>
      <c r="R63" s="10">
        <v>0</v>
      </c>
      <c r="S63" s="10">
        <v>0</v>
      </c>
      <c r="T63" s="10">
        <v>0</v>
      </c>
      <c r="U63" s="10">
        <v>0</v>
      </c>
      <c r="V63" s="10">
        <v>0</v>
      </c>
      <c r="W63" s="10">
        <v>0</v>
      </c>
      <c r="X63" s="10">
        <v>0</v>
      </c>
      <c r="Y63" s="10">
        <v>0</v>
      </c>
      <c r="Z63" s="10">
        <v>0</v>
      </c>
      <c r="AA63" s="10">
        <v>0</v>
      </c>
      <c r="AB63" s="10">
        <v>0</v>
      </c>
      <c r="AC63" s="10">
        <v>0</v>
      </c>
    </row>
    <row r="64" spans="1:29" x14ac:dyDescent="0.35">
      <c r="A64" s="10">
        <v>2050</v>
      </c>
      <c r="B64" s="10" t="s">
        <v>457</v>
      </c>
      <c r="C64" s="10">
        <v>0</v>
      </c>
      <c r="D64" s="10">
        <v>0</v>
      </c>
      <c r="E64" s="10">
        <v>0</v>
      </c>
      <c r="F64" s="10">
        <v>0</v>
      </c>
      <c r="G64" s="10">
        <v>0</v>
      </c>
      <c r="H64" s="10">
        <v>0</v>
      </c>
      <c r="I64" s="10">
        <v>0</v>
      </c>
      <c r="J64" s="10">
        <v>0</v>
      </c>
      <c r="K64" s="10">
        <v>0</v>
      </c>
      <c r="L64" s="10">
        <v>0</v>
      </c>
      <c r="M64" s="10">
        <v>0</v>
      </c>
      <c r="N64" s="10">
        <v>0</v>
      </c>
      <c r="O64" s="10">
        <v>0</v>
      </c>
      <c r="P64" s="10">
        <v>0</v>
      </c>
      <c r="Q64" s="10">
        <v>0.3</v>
      </c>
      <c r="R64" s="10">
        <v>0.59</v>
      </c>
      <c r="S64" s="10">
        <v>0.11</v>
      </c>
      <c r="T64" s="10">
        <v>0</v>
      </c>
      <c r="U64" s="10">
        <v>0</v>
      </c>
      <c r="V64" s="10">
        <v>0</v>
      </c>
      <c r="W64" s="10">
        <v>0</v>
      </c>
      <c r="X64" s="10">
        <v>0</v>
      </c>
      <c r="Y64" s="10">
        <v>0</v>
      </c>
      <c r="Z64" s="10">
        <v>0</v>
      </c>
      <c r="AA64" s="10">
        <v>0</v>
      </c>
      <c r="AB64" s="10">
        <v>0</v>
      </c>
      <c r="AC64" s="10">
        <v>0</v>
      </c>
    </row>
    <row r="65" spans="1:29" x14ac:dyDescent="0.35">
      <c r="A65" s="10">
        <v>2050</v>
      </c>
      <c r="B65" s="10" t="s">
        <v>456</v>
      </c>
      <c r="C65" s="10">
        <v>0</v>
      </c>
      <c r="D65" s="10">
        <v>0</v>
      </c>
      <c r="E65" s="10">
        <v>0</v>
      </c>
      <c r="F65" s="10">
        <v>0</v>
      </c>
      <c r="G65" s="10">
        <v>0</v>
      </c>
      <c r="H65" s="10">
        <v>0</v>
      </c>
      <c r="I65" s="10">
        <v>0</v>
      </c>
      <c r="J65" s="10">
        <v>0</v>
      </c>
      <c r="K65" s="10">
        <v>0</v>
      </c>
      <c r="L65" s="10">
        <v>0</v>
      </c>
      <c r="M65" s="10">
        <v>0.503</v>
      </c>
      <c r="N65" s="10">
        <v>0.26500000000000001</v>
      </c>
      <c r="O65" s="10">
        <v>0.23200000000000004</v>
      </c>
      <c r="P65" s="10">
        <v>0</v>
      </c>
      <c r="Q65" s="10">
        <v>0</v>
      </c>
      <c r="R65" s="10">
        <v>0</v>
      </c>
      <c r="S65" s="10">
        <v>0</v>
      </c>
      <c r="T65" s="10">
        <v>0</v>
      </c>
      <c r="U65" s="10">
        <v>0</v>
      </c>
      <c r="V65" s="10">
        <v>0</v>
      </c>
      <c r="W65" s="10">
        <v>0</v>
      </c>
      <c r="X65" s="10">
        <v>0</v>
      </c>
      <c r="Y65" s="10">
        <v>0</v>
      </c>
      <c r="Z65" s="10">
        <v>0</v>
      </c>
      <c r="AA65" s="10">
        <v>0</v>
      </c>
      <c r="AB65" s="10">
        <v>0</v>
      </c>
      <c r="AC65" s="10">
        <v>0</v>
      </c>
    </row>
    <row r="66" spans="1:29" x14ac:dyDescent="0.35">
      <c r="A66" s="10">
        <v>2050</v>
      </c>
      <c r="B66" s="10" t="s">
        <v>458</v>
      </c>
      <c r="C66" s="10">
        <v>0</v>
      </c>
      <c r="D66" s="10">
        <v>0</v>
      </c>
      <c r="E66" s="10">
        <v>0</v>
      </c>
      <c r="F66" s="10">
        <v>0</v>
      </c>
      <c r="G66" s="10">
        <v>0</v>
      </c>
      <c r="H66" s="10">
        <v>0</v>
      </c>
      <c r="I66" s="10">
        <v>0</v>
      </c>
      <c r="J66" s="10">
        <v>0</v>
      </c>
      <c r="K66" s="10">
        <v>0</v>
      </c>
      <c r="L66" s="10">
        <v>0</v>
      </c>
      <c r="M66" s="10">
        <v>0.44832608695652171</v>
      </c>
      <c r="N66" s="10">
        <v>0.23619565217391306</v>
      </c>
      <c r="O66" s="10">
        <v>0.20678260869565221</v>
      </c>
      <c r="P66" s="10">
        <v>0</v>
      </c>
      <c r="Q66" s="10">
        <v>3.2608695652173912E-2</v>
      </c>
      <c r="R66" s="10">
        <v>6.4130434782608686E-2</v>
      </c>
      <c r="S66" s="10">
        <v>1.1956521739130435E-2</v>
      </c>
      <c r="T66" s="10">
        <v>0</v>
      </c>
      <c r="U66" s="10">
        <v>0</v>
      </c>
      <c r="V66" s="10">
        <v>0</v>
      </c>
      <c r="W66" s="10">
        <v>0</v>
      </c>
      <c r="X66" s="10">
        <v>0</v>
      </c>
      <c r="Y66" s="10">
        <v>0</v>
      </c>
      <c r="Z66" s="10">
        <v>0</v>
      </c>
      <c r="AA66" s="10">
        <v>0</v>
      </c>
      <c r="AB66" s="10">
        <v>0</v>
      </c>
      <c r="AC66" s="10">
        <v>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8C4BE1-41DD-44C5-BCA1-377A9208387B}">
  <sheetPr>
    <tabColor theme="4" tint="0.79998168889431442"/>
  </sheetPr>
  <dimension ref="A1:S66"/>
  <sheetViews>
    <sheetView zoomScale="70" zoomScaleNormal="70" workbookViewId="0">
      <selection activeCell="H44" sqref="H44"/>
    </sheetView>
  </sheetViews>
  <sheetFormatPr baseColWidth="10" defaultRowHeight="14.5" x14ac:dyDescent="0.35"/>
  <cols>
    <col min="2" max="2" width="35.08984375" bestFit="1" customWidth="1"/>
    <col min="3" max="3" width="34.1796875" bestFit="1" customWidth="1"/>
    <col min="5" max="5" width="12.36328125" bestFit="1" customWidth="1"/>
  </cols>
  <sheetData>
    <row r="1" spans="1:19" x14ac:dyDescent="0.35">
      <c r="A1" s="23" t="s">
        <v>460</v>
      </c>
      <c r="B1" s="23" t="s">
        <v>459</v>
      </c>
      <c r="C1" s="23" t="s">
        <v>443</v>
      </c>
      <c r="D1" s="23" t="s">
        <v>444</v>
      </c>
      <c r="E1" s="23" t="s">
        <v>48</v>
      </c>
      <c r="F1" s="23" t="s">
        <v>49</v>
      </c>
      <c r="G1" s="23" t="s">
        <v>445</v>
      </c>
      <c r="H1" s="23" t="s">
        <v>54</v>
      </c>
      <c r="I1" s="23" t="s">
        <v>55</v>
      </c>
      <c r="J1" s="23" t="s">
        <v>56</v>
      </c>
      <c r="K1" s="23" t="s">
        <v>57</v>
      </c>
      <c r="L1" s="23" t="s">
        <v>399</v>
      </c>
      <c r="M1" s="23" t="s">
        <v>35</v>
      </c>
      <c r="N1" s="23" t="s">
        <v>22</v>
      </c>
      <c r="O1" s="23" t="s">
        <v>58</v>
      </c>
      <c r="P1" s="23" t="s">
        <v>59</v>
      </c>
      <c r="Q1" s="23" t="s">
        <v>60</v>
      </c>
      <c r="R1" s="23" t="s">
        <v>61</v>
      </c>
      <c r="S1" s="23" t="s">
        <v>62</v>
      </c>
    </row>
    <row r="2" spans="1:19" x14ac:dyDescent="0.35">
      <c r="A2" s="10">
        <v>2010</v>
      </c>
      <c r="B2" s="10" t="s">
        <v>446</v>
      </c>
      <c r="C2" s="10">
        <v>0</v>
      </c>
      <c r="D2" s="10">
        <v>0</v>
      </c>
      <c r="E2" s="10">
        <v>0</v>
      </c>
      <c r="F2" s="10">
        <v>0</v>
      </c>
      <c r="G2" s="10">
        <v>0</v>
      </c>
      <c r="H2" s="10">
        <v>0</v>
      </c>
      <c r="I2" s="10">
        <v>0</v>
      </c>
      <c r="J2" s="10">
        <v>0</v>
      </c>
      <c r="K2" s="10">
        <v>0</v>
      </c>
      <c r="L2" s="10">
        <v>0</v>
      </c>
      <c r="M2" s="10">
        <v>0</v>
      </c>
      <c r="N2" s="10">
        <v>1</v>
      </c>
      <c r="O2" s="10">
        <v>0</v>
      </c>
      <c r="P2" s="10">
        <v>0</v>
      </c>
      <c r="Q2" s="10">
        <v>0</v>
      </c>
      <c r="R2" s="10">
        <v>0</v>
      </c>
      <c r="S2" s="10">
        <v>0</v>
      </c>
    </row>
    <row r="3" spans="1:19" x14ac:dyDescent="0.35">
      <c r="A3" s="10">
        <v>2010</v>
      </c>
      <c r="B3" s="10" t="s">
        <v>447</v>
      </c>
      <c r="C3" s="10">
        <v>0</v>
      </c>
      <c r="D3" s="10">
        <v>0</v>
      </c>
      <c r="E3" s="10">
        <v>0</v>
      </c>
      <c r="F3" s="10">
        <v>0</v>
      </c>
      <c r="G3" s="10">
        <v>0</v>
      </c>
      <c r="H3" s="10">
        <v>0</v>
      </c>
      <c r="I3" s="10">
        <v>0</v>
      </c>
      <c r="J3" s="10">
        <v>0</v>
      </c>
      <c r="K3" s="10">
        <v>0</v>
      </c>
      <c r="L3" s="10">
        <v>0</v>
      </c>
      <c r="M3" s="10">
        <v>0</v>
      </c>
      <c r="N3" s="10">
        <v>0</v>
      </c>
      <c r="O3" s="10">
        <v>0</v>
      </c>
      <c r="P3" s="10">
        <v>1</v>
      </c>
      <c r="Q3" s="10">
        <v>0</v>
      </c>
      <c r="R3" s="10">
        <v>0</v>
      </c>
      <c r="S3" s="10">
        <v>0</v>
      </c>
    </row>
    <row r="4" spans="1:19" x14ac:dyDescent="0.35">
      <c r="A4" s="10">
        <v>2010</v>
      </c>
      <c r="B4" s="10" t="s">
        <v>448</v>
      </c>
      <c r="C4" s="10">
        <v>0</v>
      </c>
      <c r="D4" s="10">
        <v>0</v>
      </c>
      <c r="E4" s="10">
        <v>0</v>
      </c>
      <c r="F4" s="10">
        <v>0</v>
      </c>
      <c r="G4" s="10">
        <v>0</v>
      </c>
      <c r="H4" s="10">
        <v>0</v>
      </c>
      <c r="I4" s="10">
        <v>0</v>
      </c>
      <c r="J4" s="10">
        <v>0</v>
      </c>
      <c r="K4" s="10">
        <v>0</v>
      </c>
      <c r="L4" s="10">
        <v>0</v>
      </c>
      <c r="M4" s="10">
        <v>0</v>
      </c>
      <c r="N4" s="10">
        <v>0</v>
      </c>
      <c r="O4" s="10">
        <v>0</v>
      </c>
      <c r="P4" s="10">
        <v>0</v>
      </c>
      <c r="Q4" s="10">
        <v>1</v>
      </c>
      <c r="R4" s="10">
        <v>0</v>
      </c>
      <c r="S4" s="10">
        <v>0</v>
      </c>
    </row>
    <row r="5" spans="1:19" x14ac:dyDescent="0.35">
      <c r="A5" s="10">
        <v>2010</v>
      </c>
      <c r="B5" s="10" t="s">
        <v>449</v>
      </c>
      <c r="C5" s="10">
        <v>0</v>
      </c>
      <c r="D5" s="10">
        <v>0</v>
      </c>
      <c r="E5" s="10">
        <v>0</v>
      </c>
      <c r="F5" s="10">
        <v>0</v>
      </c>
      <c r="G5" s="10">
        <v>0</v>
      </c>
      <c r="H5" s="10">
        <v>0</v>
      </c>
      <c r="I5" s="10">
        <v>0</v>
      </c>
      <c r="J5" s="10">
        <v>0</v>
      </c>
      <c r="K5" s="10">
        <v>0</v>
      </c>
      <c r="L5" s="10">
        <v>0</v>
      </c>
      <c r="M5" s="10">
        <v>0</v>
      </c>
      <c r="N5" s="10">
        <v>0</v>
      </c>
      <c r="O5" s="10">
        <v>1</v>
      </c>
      <c r="P5" s="10">
        <v>0</v>
      </c>
      <c r="Q5" s="10">
        <v>0</v>
      </c>
      <c r="R5" s="10">
        <v>0</v>
      </c>
      <c r="S5" s="10">
        <v>0</v>
      </c>
    </row>
    <row r="6" spans="1:19" x14ac:dyDescent="0.35">
      <c r="A6" s="10">
        <v>2010</v>
      </c>
      <c r="B6" s="10" t="s">
        <v>450</v>
      </c>
      <c r="C6" s="10">
        <v>0</v>
      </c>
      <c r="D6" s="10">
        <v>0</v>
      </c>
      <c r="E6" s="10">
        <v>0</v>
      </c>
      <c r="F6" s="10">
        <v>0</v>
      </c>
      <c r="G6" s="10">
        <v>0</v>
      </c>
      <c r="H6" s="10">
        <v>0</v>
      </c>
      <c r="I6" s="10">
        <v>0</v>
      </c>
      <c r="J6" s="10">
        <v>0</v>
      </c>
      <c r="K6" s="10">
        <v>0</v>
      </c>
      <c r="L6" s="10">
        <v>0</v>
      </c>
      <c r="M6" s="10">
        <v>1</v>
      </c>
      <c r="N6" s="10">
        <v>0</v>
      </c>
      <c r="O6" s="10">
        <v>0</v>
      </c>
      <c r="P6" s="10">
        <v>0</v>
      </c>
      <c r="Q6" s="10">
        <v>0</v>
      </c>
      <c r="R6" s="10">
        <v>0</v>
      </c>
      <c r="S6" s="10">
        <v>0</v>
      </c>
    </row>
    <row r="7" spans="1:19" x14ac:dyDescent="0.35">
      <c r="A7" s="10">
        <v>2010</v>
      </c>
      <c r="B7" s="10" t="s">
        <v>451</v>
      </c>
      <c r="C7" s="10">
        <v>0</v>
      </c>
      <c r="D7" s="10">
        <v>0</v>
      </c>
      <c r="E7" s="10">
        <v>0</v>
      </c>
      <c r="F7" s="10">
        <v>0</v>
      </c>
      <c r="G7" s="10">
        <v>0</v>
      </c>
      <c r="H7" s="10">
        <v>0</v>
      </c>
      <c r="I7" s="10">
        <v>0</v>
      </c>
      <c r="J7" s="10">
        <v>0</v>
      </c>
      <c r="K7" s="10">
        <v>0</v>
      </c>
      <c r="L7" s="10">
        <v>1</v>
      </c>
      <c r="M7" s="10">
        <v>0</v>
      </c>
      <c r="N7" s="10">
        <v>0</v>
      </c>
      <c r="O7" s="10">
        <v>0</v>
      </c>
      <c r="P7" s="10">
        <v>0</v>
      </c>
      <c r="Q7" s="10">
        <v>0</v>
      </c>
      <c r="R7" s="10">
        <v>0</v>
      </c>
      <c r="S7" s="10">
        <v>0</v>
      </c>
    </row>
    <row r="8" spans="1:19" x14ac:dyDescent="0.35">
      <c r="A8" s="10">
        <v>2010</v>
      </c>
      <c r="B8" s="10" t="s">
        <v>452</v>
      </c>
      <c r="C8" s="10">
        <v>0</v>
      </c>
      <c r="D8" s="10">
        <v>0</v>
      </c>
      <c r="E8" s="10">
        <v>0</v>
      </c>
      <c r="F8" s="10">
        <v>0</v>
      </c>
      <c r="G8" s="10">
        <v>0</v>
      </c>
      <c r="H8" s="10">
        <v>0</v>
      </c>
      <c r="I8" s="10">
        <v>0</v>
      </c>
      <c r="J8" s="10">
        <v>0</v>
      </c>
      <c r="K8" s="10">
        <v>0</v>
      </c>
      <c r="L8" s="10">
        <v>0</v>
      </c>
      <c r="M8" s="10">
        <v>0</v>
      </c>
      <c r="N8" s="10">
        <v>0</v>
      </c>
      <c r="O8" s="10">
        <v>0</v>
      </c>
      <c r="P8" s="10">
        <v>0</v>
      </c>
      <c r="Q8" s="10">
        <v>0</v>
      </c>
      <c r="R8" s="10">
        <v>1</v>
      </c>
      <c r="S8" s="10">
        <v>0</v>
      </c>
    </row>
    <row r="9" spans="1:19" x14ac:dyDescent="0.35">
      <c r="A9" s="10">
        <v>2010</v>
      </c>
      <c r="B9" s="10" t="s">
        <v>453</v>
      </c>
      <c r="C9" s="10">
        <v>0.95399999999999996</v>
      </c>
      <c r="D9" s="10">
        <v>4.5999999999999999E-2</v>
      </c>
      <c r="E9" s="10">
        <v>0</v>
      </c>
      <c r="F9" s="10">
        <v>0</v>
      </c>
      <c r="G9" s="10">
        <v>0</v>
      </c>
      <c r="H9" s="10">
        <v>0</v>
      </c>
      <c r="I9" s="10">
        <v>0</v>
      </c>
      <c r="J9" s="10">
        <v>0</v>
      </c>
      <c r="K9" s="10">
        <v>0</v>
      </c>
      <c r="L9" s="10">
        <v>0</v>
      </c>
      <c r="M9" s="10">
        <v>0</v>
      </c>
      <c r="N9" s="10">
        <v>0</v>
      </c>
      <c r="O9" s="10">
        <v>0</v>
      </c>
      <c r="P9" s="10">
        <v>0</v>
      </c>
      <c r="Q9" s="10">
        <v>0</v>
      </c>
      <c r="R9" s="10">
        <v>0</v>
      </c>
      <c r="S9" s="10">
        <v>0</v>
      </c>
    </row>
    <row r="10" spans="1:19" x14ac:dyDescent="0.35">
      <c r="A10" s="10">
        <v>2010</v>
      </c>
      <c r="B10" s="10" t="s">
        <v>454</v>
      </c>
      <c r="C10" s="10">
        <v>0</v>
      </c>
      <c r="D10" s="10">
        <v>0</v>
      </c>
      <c r="E10" s="10">
        <v>0.76024481099999996</v>
      </c>
      <c r="F10" s="10">
        <v>0.23975518900000001</v>
      </c>
      <c r="G10" s="10">
        <v>0</v>
      </c>
      <c r="H10" s="10">
        <v>0</v>
      </c>
      <c r="I10" s="10">
        <v>0</v>
      </c>
      <c r="J10" s="10">
        <v>0</v>
      </c>
      <c r="K10" s="10">
        <v>0</v>
      </c>
      <c r="L10" s="10">
        <v>0</v>
      </c>
      <c r="M10" s="10">
        <v>0</v>
      </c>
      <c r="N10" s="10">
        <v>0</v>
      </c>
      <c r="O10" s="10">
        <v>0</v>
      </c>
      <c r="P10" s="10">
        <v>0</v>
      </c>
      <c r="Q10" s="10">
        <v>0</v>
      </c>
      <c r="R10" s="10">
        <v>0</v>
      </c>
      <c r="S10" s="10">
        <v>0</v>
      </c>
    </row>
    <row r="11" spans="1:19" x14ac:dyDescent="0.35">
      <c r="A11" s="10">
        <v>2010</v>
      </c>
      <c r="B11" s="10" t="s">
        <v>455</v>
      </c>
      <c r="C11" s="10">
        <v>0.95399999999999996</v>
      </c>
      <c r="D11" s="10">
        <v>4.5999999999999999E-2</v>
      </c>
      <c r="E11" s="10">
        <v>0</v>
      </c>
      <c r="F11" s="10">
        <v>0</v>
      </c>
      <c r="G11" s="10">
        <v>0</v>
      </c>
      <c r="H11" s="10">
        <v>0</v>
      </c>
      <c r="I11" s="10">
        <v>0</v>
      </c>
      <c r="J11" s="10">
        <v>0</v>
      </c>
      <c r="K11" s="10">
        <v>0</v>
      </c>
      <c r="L11" s="10">
        <v>0</v>
      </c>
      <c r="M11" s="10">
        <v>0</v>
      </c>
      <c r="N11" s="10">
        <v>0</v>
      </c>
      <c r="O11" s="10">
        <v>0</v>
      </c>
      <c r="P11" s="10">
        <v>0</v>
      </c>
      <c r="Q11" s="10">
        <v>0</v>
      </c>
      <c r="R11" s="10">
        <v>0</v>
      </c>
      <c r="S11" s="10">
        <v>0</v>
      </c>
    </row>
    <row r="12" spans="1:19" x14ac:dyDescent="0.35">
      <c r="A12" s="10">
        <v>2010</v>
      </c>
      <c r="B12" s="10" t="s">
        <v>456</v>
      </c>
      <c r="C12" s="10">
        <v>0</v>
      </c>
      <c r="D12" s="10">
        <v>0</v>
      </c>
      <c r="E12" s="10">
        <v>0</v>
      </c>
      <c r="F12" s="10">
        <v>0</v>
      </c>
      <c r="G12" s="10">
        <v>1</v>
      </c>
      <c r="H12" s="10">
        <v>0</v>
      </c>
      <c r="I12" s="10">
        <v>0</v>
      </c>
      <c r="J12" s="10">
        <v>0</v>
      </c>
      <c r="K12" s="10">
        <v>0</v>
      </c>
      <c r="L12" s="10">
        <v>0</v>
      </c>
      <c r="M12" s="10">
        <v>0</v>
      </c>
      <c r="N12" s="10">
        <v>0</v>
      </c>
      <c r="O12" s="10">
        <v>0</v>
      </c>
      <c r="P12" s="10">
        <v>0</v>
      </c>
      <c r="Q12" s="10">
        <v>0</v>
      </c>
      <c r="R12" s="10">
        <v>0</v>
      </c>
      <c r="S12" s="10">
        <v>0</v>
      </c>
    </row>
    <row r="13" spans="1:19" x14ac:dyDescent="0.35">
      <c r="A13" s="10">
        <v>2010</v>
      </c>
      <c r="B13" s="10" t="s">
        <v>457</v>
      </c>
      <c r="C13" s="10">
        <v>0</v>
      </c>
      <c r="D13" s="10">
        <v>0</v>
      </c>
      <c r="E13" s="10">
        <v>0</v>
      </c>
      <c r="F13" s="10">
        <v>0</v>
      </c>
      <c r="G13" s="10">
        <v>0</v>
      </c>
      <c r="H13" s="10">
        <v>5.2557625903430598E-2</v>
      </c>
      <c r="I13" s="10">
        <v>0.19743619327031695</v>
      </c>
      <c r="J13" s="10">
        <v>0.56804677649308144</v>
      </c>
      <c r="K13" s="10">
        <v>0.18195940433317104</v>
      </c>
      <c r="L13" s="10">
        <v>0</v>
      </c>
      <c r="M13" s="10">
        <v>0</v>
      </c>
      <c r="N13" s="10">
        <v>0</v>
      </c>
      <c r="O13" s="10">
        <v>0</v>
      </c>
      <c r="P13" s="10">
        <v>0</v>
      </c>
      <c r="Q13" s="10">
        <v>0</v>
      </c>
      <c r="R13" s="10">
        <v>0</v>
      </c>
      <c r="S13" s="10">
        <v>0</v>
      </c>
    </row>
    <row r="14" spans="1:19" x14ac:dyDescent="0.35">
      <c r="A14" s="10">
        <v>2010</v>
      </c>
      <c r="B14" s="10" t="s">
        <v>458</v>
      </c>
      <c r="C14" s="10">
        <v>0</v>
      </c>
      <c r="D14" s="10">
        <v>0</v>
      </c>
      <c r="E14" s="10">
        <v>0</v>
      </c>
      <c r="F14" s="10">
        <v>0</v>
      </c>
      <c r="G14" s="10">
        <v>0.91666666666666663</v>
      </c>
      <c r="H14" s="10">
        <v>4.3798021586192162E-3</v>
      </c>
      <c r="I14" s="10">
        <v>1.6453016105859745E-2</v>
      </c>
      <c r="J14" s="10">
        <v>4.7337231374423451E-2</v>
      </c>
      <c r="K14" s="10">
        <v>1.5163283694430919E-2</v>
      </c>
      <c r="L14" s="10">
        <v>0</v>
      </c>
      <c r="M14" s="10">
        <v>0</v>
      </c>
      <c r="N14" s="10">
        <v>0</v>
      </c>
      <c r="O14" s="10">
        <v>0</v>
      </c>
      <c r="P14" s="10">
        <v>0</v>
      </c>
      <c r="Q14" s="10">
        <v>0</v>
      </c>
      <c r="R14" s="10">
        <v>0</v>
      </c>
      <c r="S14" s="10">
        <v>0</v>
      </c>
    </row>
    <row r="15" spans="1:19" x14ac:dyDescent="0.35">
      <c r="A15" s="10">
        <v>2020</v>
      </c>
      <c r="B15" s="10" t="s">
        <v>446</v>
      </c>
      <c r="C15" s="10">
        <v>0</v>
      </c>
      <c r="D15" s="10">
        <v>0</v>
      </c>
      <c r="E15" s="10">
        <v>0</v>
      </c>
      <c r="F15" s="10">
        <v>0</v>
      </c>
      <c r="G15" s="10">
        <v>0</v>
      </c>
      <c r="H15" s="10">
        <v>0</v>
      </c>
      <c r="I15" s="10">
        <v>0</v>
      </c>
      <c r="J15" s="10">
        <v>0</v>
      </c>
      <c r="K15" s="10">
        <v>0</v>
      </c>
      <c r="L15" s="10">
        <v>0</v>
      </c>
      <c r="M15" s="10">
        <v>0</v>
      </c>
      <c r="N15" s="10">
        <v>1</v>
      </c>
      <c r="O15" s="10">
        <v>0</v>
      </c>
      <c r="P15" s="10">
        <v>0</v>
      </c>
      <c r="Q15" s="10">
        <v>0</v>
      </c>
      <c r="R15" s="10">
        <v>0</v>
      </c>
      <c r="S15" s="10">
        <v>0</v>
      </c>
    </row>
    <row r="16" spans="1:19" x14ac:dyDescent="0.35">
      <c r="A16" s="10">
        <v>2020</v>
      </c>
      <c r="B16" s="10" t="s">
        <v>447</v>
      </c>
      <c r="C16" s="10">
        <v>0</v>
      </c>
      <c r="D16" s="10">
        <v>0</v>
      </c>
      <c r="E16" s="10">
        <v>0</v>
      </c>
      <c r="F16" s="10">
        <v>0</v>
      </c>
      <c r="G16" s="10">
        <v>0</v>
      </c>
      <c r="H16" s="10">
        <v>0</v>
      </c>
      <c r="I16" s="10">
        <v>0</v>
      </c>
      <c r="J16" s="10">
        <v>0</v>
      </c>
      <c r="K16" s="10">
        <v>0</v>
      </c>
      <c r="L16" s="10">
        <v>0</v>
      </c>
      <c r="M16" s="10">
        <v>0</v>
      </c>
      <c r="N16" s="10">
        <v>0</v>
      </c>
      <c r="O16" s="10">
        <v>0</v>
      </c>
      <c r="P16" s="10">
        <v>1</v>
      </c>
      <c r="Q16" s="10">
        <v>0</v>
      </c>
      <c r="R16" s="10">
        <v>0</v>
      </c>
      <c r="S16" s="10">
        <v>0</v>
      </c>
    </row>
    <row r="17" spans="1:19" x14ac:dyDescent="0.35">
      <c r="A17" s="10">
        <v>2020</v>
      </c>
      <c r="B17" s="10" t="s">
        <v>448</v>
      </c>
      <c r="C17" s="10">
        <v>0</v>
      </c>
      <c r="D17" s="10">
        <v>0</v>
      </c>
      <c r="E17" s="10">
        <v>0</v>
      </c>
      <c r="F17" s="10">
        <v>0</v>
      </c>
      <c r="G17" s="10">
        <v>0</v>
      </c>
      <c r="H17" s="10">
        <v>0</v>
      </c>
      <c r="I17" s="10">
        <v>0</v>
      </c>
      <c r="J17" s="10">
        <v>0</v>
      </c>
      <c r="K17" s="10">
        <v>0</v>
      </c>
      <c r="L17" s="10">
        <v>0</v>
      </c>
      <c r="M17" s="10">
        <v>0</v>
      </c>
      <c r="N17" s="10">
        <v>0</v>
      </c>
      <c r="O17" s="10">
        <v>0</v>
      </c>
      <c r="P17" s="10">
        <v>0</v>
      </c>
      <c r="Q17" s="10">
        <v>1</v>
      </c>
      <c r="R17" s="10">
        <v>0</v>
      </c>
      <c r="S17" s="10">
        <v>0</v>
      </c>
    </row>
    <row r="18" spans="1:19" x14ac:dyDescent="0.35">
      <c r="A18" s="10">
        <v>2020</v>
      </c>
      <c r="B18" s="10" t="s">
        <v>449</v>
      </c>
      <c r="C18" s="10">
        <v>0</v>
      </c>
      <c r="D18" s="10">
        <v>0</v>
      </c>
      <c r="E18" s="10">
        <v>0</v>
      </c>
      <c r="F18" s="10">
        <v>0</v>
      </c>
      <c r="G18" s="10">
        <v>0</v>
      </c>
      <c r="H18" s="10">
        <v>0</v>
      </c>
      <c r="I18" s="10">
        <v>0</v>
      </c>
      <c r="J18" s="10">
        <v>0</v>
      </c>
      <c r="K18" s="10">
        <v>0</v>
      </c>
      <c r="L18" s="10">
        <v>0</v>
      </c>
      <c r="M18" s="10">
        <v>0</v>
      </c>
      <c r="N18" s="10">
        <v>0</v>
      </c>
      <c r="O18" s="10">
        <v>1</v>
      </c>
      <c r="P18" s="10">
        <v>0</v>
      </c>
      <c r="Q18" s="10">
        <v>0</v>
      </c>
      <c r="R18" s="10">
        <v>0</v>
      </c>
      <c r="S18" s="10">
        <v>0</v>
      </c>
    </row>
    <row r="19" spans="1:19" x14ac:dyDescent="0.35">
      <c r="A19" s="10">
        <v>2020</v>
      </c>
      <c r="B19" s="10" t="s">
        <v>450</v>
      </c>
      <c r="C19" s="10">
        <v>0</v>
      </c>
      <c r="D19" s="10">
        <v>0</v>
      </c>
      <c r="E19" s="10">
        <v>0</v>
      </c>
      <c r="F19" s="10">
        <v>0</v>
      </c>
      <c r="G19" s="10">
        <v>0</v>
      </c>
      <c r="H19" s="10">
        <v>0</v>
      </c>
      <c r="I19" s="10">
        <v>0</v>
      </c>
      <c r="J19" s="10">
        <v>0</v>
      </c>
      <c r="K19" s="10">
        <v>0</v>
      </c>
      <c r="L19" s="10">
        <v>0</v>
      </c>
      <c r="M19" s="10">
        <v>1</v>
      </c>
      <c r="N19" s="10">
        <v>0</v>
      </c>
      <c r="O19" s="10">
        <v>0</v>
      </c>
      <c r="P19" s="10">
        <v>0</v>
      </c>
      <c r="Q19" s="10">
        <v>0</v>
      </c>
      <c r="R19" s="10">
        <v>0</v>
      </c>
      <c r="S19" s="10">
        <v>0</v>
      </c>
    </row>
    <row r="20" spans="1:19" x14ac:dyDescent="0.35">
      <c r="A20" s="10">
        <v>2020</v>
      </c>
      <c r="B20" s="10" t="s">
        <v>451</v>
      </c>
      <c r="C20" s="10">
        <v>0</v>
      </c>
      <c r="D20" s="10">
        <v>0</v>
      </c>
      <c r="E20" s="10">
        <v>0</v>
      </c>
      <c r="F20" s="10">
        <v>0</v>
      </c>
      <c r="G20" s="10">
        <v>0</v>
      </c>
      <c r="H20" s="10">
        <v>0</v>
      </c>
      <c r="I20" s="10">
        <v>0</v>
      </c>
      <c r="J20" s="10">
        <v>0</v>
      </c>
      <c r="K20" s="10">
        <v>0</v>
      </c>
      <c r="L20" s="10">
        <v>1</v>
      </c>
      <c r="M20" s="10">
        <v>0</v>
      </c>
      <c r="N20" s="10">
        <v>0</v>
      </c>
      <c r="O20" s="10">
        <v>0</v>
      </c>
      <c r="P20" s="10">
        <v>0</v>
      </c>
      <c r="Q20" s="10">
        <v>0</v>
      </c>
      <c r="R20" s="10">
        <v>0</v>
      </c>
      <c r="S20" s="10">
        <v>0</v>
      </c>
    </row>
    <row r="21" spans="1:19" x14ac:dyDescent="0.35">
      <c r="A21" s="10">
        <v>2020</v>
      </c>
      <c r="B21" s="10" t="s">
        <v>452</v>
      </c>
      <c r="C21" s="10">
        <v>0</v>
      </c>
      <c r="D21" s="10">
        <v>0</v>
      </c>
      <c r="E21" s="10">
        <v>0</v>
      </c>
      <c r="F21" s="10">
        <v>0</v>
      </c>
      <c r="G21" s="10">
        <v>0</v>
      </c>
      <c r="H21" s="10">
        <v>0</v>
      </c>
      <c r="I21" s="10">
        <v>0</v>
      </c>
      <c r="J21" s="10">
        <v>0</v>
      </c>
      <c r="K21" s="10">
        <v>0</v>
      </c>
      <c r="L21" s="10">
        <v>0</v>
      </c>
      <c r="M21" s="10">
        <v>0</v>
      </c>
      <c r="N21" s="10">
        <v>0</v>
      </c>
      <c r="O21" s="10">
        <v>0</v>
      </c>
      <c r="P21" s="10">
        <v>0</v>
      </c>
      <c r="Q21" s="10">
        <v>0</v>
      </c>
      <c r="R21" s="10">
        <v>1</v>
      </c>
      <c r="S21" s="10">
        <v>0</v>
      </c>
    </row>
    <row r="22" spans="1:19" x14ac:dyDescent="0.35">
      <c r="A22" s="10">
        <v>2020</v>
      </c>
      <c r="B22" s="10" t="s">
        <v>453</v>
      </c>
      <c r="C22" s="10">
        <v>0.95399999999999996</v>
      </c>
      <c r="D22" s="10">
        <v>4.5999999999999999E-2</v>
      </c>
      <c r="E22" s="10">
        <v>0</v>
      </c>
      <c r="F22" s="10">
        <v>0</v>
      </c>
      <c r="G22" s="10">
        <v>0</v>
      </c>
      <c r="H22" s="10">
        <v>0</v>
      </c>
      <c r="I22" s="10">
        <v>0</v>
      </c>
      <c r="J22" s="10">
        <v>0</v>
      </c>
      <c r="K22" s="10">
        <v>0</v>
      </c>
      <c r="L22" s="10">
        <v>0</v>
      </c>
      <c r="M22" s="10">
        <v>0</v>
      </c>
      <c r="N22" s="10">
        <v>0</v>
      </c>
      <c r="O22" s="10">
        <v>0</v>
      </c>
      <c r="P22" s="10">
        <v>0</v>
      </c>
      <c r="Q22" s="10">
        <v>0</v>
      </c>
      <c r="R22" s="10">
        <v>0</v>
      </c>
      <c r="S22" s="10">
        <v>0</v>
      </c>
    </row>
    <row r="23" spans="1:19" x14ac:dyDescent="0.35">
      <c r="A23" s="10">
        <v>2020</v>
      </c>
      <c r="B23" s="10" t="s">
        <v>454</v>
      </c>
      <c r="C23" s="10">
        <v>0</v>
      </c>
      <c r="D23" s="10">
        <v>0</v>
      </c>
      <c r="E23" s="10">
        <v>0.76024481099999996</v>
      </c>
      <c r="F23" s="10">
        <v>0.23975518900000001</v>
      </c>
      <c r="G23" s="10">
        <v>0</v>
      </c>
      <c r="H23" s="10">
        <v>0</v>
      </c>
      <c r="I23" s="10">
        <v>0</v>
      </c>
      <c r="J23" s="10">
        <v>0</v>
      </c>
      <c r="K23" s="10">
        <v>0</v>
      </c>
      <c r="L23" s="10">
        <v>0</v>
      </c>
      <c r="M23" s="10">
        <v>0</v>
      </c>
      <c r="N23" s="10">
        <v>0</v>
      </c>
      <c r="O23" s="10">
        <v>0</v>
      </c>
      <c r="P23" s="10">
        <v>0</v>
      </c>
      <c r="Q23" s="10">
        <v>0</v>
      </c>
      <c r="R23" s="10">
        <v>0</v>
      </c>
      <c r="S23" s="10">
        <v>0</v>
      </c>
    </row>
    <row r="24" spans="1:19" x14ac:dyDescent="0.35">
      <c r="A24" s="10">
        <v>2020</v>
      </c>
      <c r="B24" s="10" t="s">
        <v>455</v>
      </c>
      <c r="C24" s="10">
        <v>0.95399999999999996</v>
      </c>
      <c r="D24" s="10">
        <v>4.5999999999999999E-2</v>
      </c>
      <c r="E24" s="10">
        <v>0</v>
      </c>
      <c r="F24" s="10">
        <v>0</v>
      </c>
      <c r="G24" s="10">
        <v>0</v>
      </c>
      <c r="H24" s="10">
        <v>0</v>
      </c>
      <c r="I24" s="10">
        <v>0</v>
      </c>
      <c r="J24" s="10">
        <v>0</v>
      </c>
      <c r="K24" s="10">
        <v>0</v>
      </c>
      <c r="L24" s="10">
        <v>0</v>
      </c>
      <c r="M24" s="10">
        <v>0</v>
      </c>
      <c r="N24" s="10">
        <v>0</v>
      </c>
      <c r="O24" s="10">
        <v>0</v>
      </c>
      <c r="P24" s="10">
        <v>0</v>
      </c>
      <c r="Q24" s="10">
        <v>0</v>
      </c>
      <c r="R24" s="10">
        <v>0</v>
      </c>
      <c r="S24" s="10">
        <v>0</v>
      </c>
    </row>
    <row r="25" spans="1:19" x14ac:dyDescent="0.35">
      <c r="A25" s="10">
        <v>2020</v>
      </c>
      <c r="B25" s="10" t="s">
        <v>456</v>
      </c>
      <c r="C25" s="10">
        <v>0</v>
      </c>
      <c r="D25" s="10">
        <v>0</v>
      </c>
      <c r="E25" s="10">
        <v>0</v>
      </c>
      <c r="F25" s="10">
        <v>0</v>
      </c>
      <c r="G25" s="10">
        <v>1</v>
      </c>
      <c r="H25" s="10">
        <v>0</v>
      </c>
      <c r="I25" s="10">
        <v>0</v>
      </c>
      <c r="J25" s="10">
        <v>0</v>
      </c>
      <c r="K25" s="10">
        <v>0</v>
      </c>
      <c r="L25" s="10">
        <v>0</v>
      </c>
      <c r="M25" s="10">
        <v>0</v>
      </c>
      <c r="N25" s="10">
        <v>0</v>
      </c>
      <c r="O25" s="10">
        <v>0</v>
      </c>
      <c r="P25" s="10">
        <v>0</v>
      </c>
      <c r="Q25" s="10">
        <v>0</v>
      </c>
      <c r="R25" s="10">
        <v>0</v>
      </c>
      <c r="S25" s="10">
        <v>0</v>
      </c>
    </row>
    <row r="26" spans="1:19" x14ac:dyDescent="0.35">
      <c r="A26" s="10">
        <v>2020</v>
      </c>
      <c r="B26" s="10" t="s">
        <v>457</v>
      </c>
      <c r="C26" s="10">
        <v>0</v>
      </c>
      <c r="D26" s="10">
        <v>0</v>
      </c>
      <c r="E26" s="10">
        <v>0</v>
      </c>
      <c r="F26" s="10">
        <v>0</v>
      </c>
      <c r="G26" s="10">
        <v>0</v>
      </c>
      <c r="H26" s="10">
        <v>5.2557625903430598E-2</v>
      </c>
      <c r="I26" s="10">
        <v>0.19743619327031695</v>
      </c>
      <c r="J26" s="10">
        <v>0.56804677649308144</v>
      </c>
      <c r="K26" s="10">
        <v>0.18195940433317104</v>
      </c>
      <c r="L26" s="10">
        <v>0</v>
      </c>
      <c r="M26" s="10">
        <v>0</v>
      </c>
      <c r="N26" s="10">
        <v>0</v>
      </c>
      <c r="O26" s="10">
        <v>0</v>
      </c>
      <c r="P26" s="10">
        <v>0</v>
      </c>
      <c r="Q26" s="10">
        <v>0</v>
      </c>
      <c r="R26" s="10">
        <v>0</v>
      </c>
      <c r="S26" s="10">
        <v>0</v>
      </c>
    </row>
    <row r="27" spans="1:19" x14ac:dyDescent="0.35">
      <c r="A27" s="10">
        <v>2020</v>
      </c>
      <c r="B27" s="10" t="s">
        <v>458</v>
      </c>
      <c r="C27" s="10">
        <v>0</v>
      </c>
      <c r="D27" s="10">
        <v>0</v>
      </c>
      <c r="E27" s="10">
        <v>0</v>
      </c>
      <c r="F27" s="10">
        <v>0</v>
      </c>
      <c r="G27" s="10">
        <v>0.91666666666666663</v>
      </c>
      <c r="H27" s="10">
        <v>4.3798021586192162E-3</v>
      </c>
      <c r="I27" s="10">
        <v>1.6453016105859745E-2</v>
      </c>
      <c r="J27" s="10">
        <v>4.7337231374423451E-2</v>
      </c>
      <c r="K27" s="10">
        <v>1.5163283694430919E-2</v>
      </c>
      <c r="L27" s="10">
        <v>0</v>
      </c>
      <c r="M27" s="10">
        <v>0</v>
      </c>
      <c r="N27" s="10">
        <v>0</v>
      </c>
      <c r="O27" s="10">
        <v>0</v>
      </c>
      <c r="P27" s="10">
        <v>0</v>
      </c>
      <c r="Q27" s="10">
        <v>0</v>
      </c>
      <c r="R27" s="10">
        <v>0</v>
      </c>
      <c r="S27" s="10">
        <v>0</v>
      </c>
    </row>
    <row r="28" spans="1:19" x14ac:dyDescent="0.35">
      <c r="A28" s="10">
        <v>2030</v>
      </c>
      <c r="B28" s="10" t="s">
        <v>446</v>
      </c>
      <c r="C28" s="10">
        <v>0</v>
      </c>
      <c r="D28" s="10">
        <v>0</v>
      </c>
      <c r="E28" s="10">
        <v>0</v>
      </c>
      <c r="F28" s="10">
        <v>0</v>
      </c>
      <c r="G28" s="10">
        <v>0</v>
      </c>
      <c r="H28" s="10">
        <v>0</v>
      </c>
      <c r="I28" s="10">
        <v>0</v>
      </c>
      <c r="J28" s="10">
        <v>0</v>
      </c>
      <c r="K28" s="10">
        <v>0</v>
      </c>
      <c r="L28" s="10">
        <v>0</v>
      </c>
      <c r="M28" s="10">
        <v>0</v>
      </c>
      <c r="N28" s="10">
        <v>1</v>
      </c>
      <c r="O28" s="10">
        <v>0</v>
      </c>
      <c r="P28" s="10">
        <v>0</v>
      </c>
      <c r="Q28" s="10">
        <v>0</v>
      </c>
      <c r="R28" s="10">
        <v>0</v>
      </c>
      <c r="S28" s="10">
        <v>0</v>
      </c>
    </row>
    <row r="29" spans="1:19" x14ac:dyDescent="0.35">
      <c r="A29" s="10">
        <v>2030</v>
      </c>
      <c r="B29" s="10" t="s">
        <v>447</v>
      </c>
      <c r="C29" s="10">
        <v>0</v>
      </c>
      <c r="D29" s="10">
        <v>0</v>
      </c>
      <c r="E29" s="10">
        <v>0</v>
      </c>
      <c r="F29" s="10">
        <v>0</v>
      </c>
      <c r="G29" s="10">
        <v>0</v>
      </c>
      <c r="H29" s="10">
        <v>0</v>
      </c>
      <c r="I29" s="10">
        <v>0</v>
      </c>
      <c r="J29" s="10">
        <v>0</v>
      </c>
      <c r="K29" s="10">
        <v>0</v>
      </c>
      <c r="L29" s="10">
        <v>0</v>
      </c>
      <c r="M29" s="10">
        <v>0</v>
      </c>
      <c r="N29" s="10">
        <v>0</v>
      </c>
      <c r="O29" s="10">
        <v>0</v>
      </c>
      <c r="P29" s="10">
        <v>1</v>
      </c>
      <c r="Q29" s="10">
        <v>0</v>
      </c>
      <c r="R29" s="10">
        <v>0</v>
      </c>
      <c r="S29" s="10">
        <v>0</v>
      </c>
    </row>
    <row r="30" spans="1:19" x14ac:dyDescent="0.35">
      <c r="A30" s="10">
        <v>2030</v>
      </c>
      <c r="B30" s="10" t="s">
        <v>448</v>
      </c>
      <c r="C30" s="10">
        <v>0</v>
      </c>
      <c r="D30" s="10">
        <v>0</v>
      </c>
      <c r="E30" s="10">
        <v>0</v>
      </c>
      <c r="F30" s="10">
        <v>0</v>
      </c>
      <c r="G30" s="10">
        <v>0</v>
      </c>
      <c r="H30" s="10">
        <v>0</v>
      </c>
      <c r="I30" s="10">
        <v>0</v>
      </c>
      <c r="J30" s="10">
        <v>0</v>
      </c>
      <c r="K30" s="10">
        <v>0</v>
      </c>
      <c r="L30" s="10">
        <v>0</v>
      </c>
      <c r="M30" s="10">
        <v>0</v>
      </c>
      <c r="N30" s="10">
        <v>0</v>
      </c>
      <c r="O30" s="10">
        <v>0</v>
      </c>
      <c r="P30" s="10">
        <v>0</v>
      </c>
      <c r="Q30" s="10">
        <v>1</v>
      </c>
      <c r="R30" s="10">
        <v>0</v>
      </c>
      <c r="S30" s="10">
        <v>0</v>
      </c>
    </row>
    <row r="31" spans="1:19" x14ac:dyDescent="0.35">
      <c r="A31" s="10">
        <v>2030</v>
      </c>
      <c r="B31" s="10" t="s">
        <v>449</v>
      </c>
      <c r="C31" s="10">
        <v>0</v>
      </c>
      <c r="D31" s="10">
        <v>0</v>
      </c>
      <c r="E31" s="10">
        <v>0</v>
      </c>
      <c r="F31" s="10">
        <v>0</v>
      </c>
      <c r="G31" s="10">
        <v>0</v>
      </c>
      <c r="H31" s="10">
        <v>0</v>
      </c>
      <c r="I31" s="10">
        <v>0</v>
      </c>
      <c r="J31" s="10">
        <v>0</v>
      </c>
      <c r="K31" s="10">
        <v>0</v>
      </c>
      <c r="L31" s="10">
        <v>0</v>
      </c>
      <c r="M31" s="10">
        <v>0</v>
      </c>
      <c r="N31" s="10">
        <v>0</v>
      </c>
      <c r="O31" s="10">
        <v>1</v>
      </c>
      <c r="P31" s="10">
        <v>0</v>
      </c>
      <c r="Q31" s="10">
        <v>0</v>
      </c>
      <c r="R31" s="10">
        <v>0</v>
      </c>
      <c r="S31" s="10">
        <v>0</v>
      </c>
    </row>
    <row r="32" spans="1:19" x14ac:dyDescent="0.35">
      <c r="A32" s="10">
        <v>2030</v>
      </c>
      <c r="B32" s="10" t="s">
        <v>450</v>
      </c>
      <c r="C32" s="10">
        <v>0</v>
      </c>
      <c r="D32" s="10">
        <v>0</v>
      </c>
      <c r="E32" s="10">
        <v>0</v>
      </c>
      <c r="F32" s="10">
        <v>0</v>
      </c>
      <c r="G32" s="10">
        <v>0</v>
      </c>
      <c r="H32" s="10">
        <v>0</v>
      </c>
      <c r="I32" s="10">
        <v>0</v>
      </c>
      <c r="J32" s="10">
        <v>0</v>
      </c>
      <c r="K32" s="10">
        <v>0</v>
      </c>
      <c r="L32" s="10">
        <v>0</v>
      </c>
      <c r="M32" s="10">
        <v>1</v>
      </c>
      <c r="N32" s="10">
        <v>0</v>
      </c>
      <c r="O32" s="10">
        <v>0</v>
      </c>
      <c r="P32" s="10">
        <v>0</v>
      </c>
      <c r="Q32" s="10">
        <v>0</v>
      </c>
      <c r="R32" s="10">
        <v>0</v>
      </c>
      <c r="S32" s="10">
        <v>0</v>
      </c>
    </row>
    <row r="33" spans="1:19" x14ac:dyDescent="0.35">
      <c r="A33" s="10">
        <v>2030</v>
      </c>
      <c r="B33" s="10" t="s">
        <v>451</v>
      </c>
      <c r="C33" s="10">
        <v>0</v>
      </c>
      <c r="D33" s="10">
        <v>0</v>
      </c>
      <c r="E33" s="10">
        <v>0</v>
      </c>
      <c r="F33" s="10">
        <v>0</v>
      </c>
      <c r="G33" s="10">
        <v>0</v>
      </c>
      <c r="H33" s="10">
        <v>0</v>
      </c>
      <c r="I33" s="10">
        <v>0</v>
      </c>
      <c r="J33" s="10">
        <v>0</v>
      </c>
      <c r="K33" s="10">
        <v>0</v>
      </c>
      <c r="L33" s="10">
        <v>1</v>
      </c>
      <c r="M33" s="10">
        <v>0</v>
      </c>
      <c r="N33" s="10">
        <v>0</v>
      </c>
      <c r="O33" s="10">
        <v>0</v>
      </c>
      <c r="P33" s="10">
        <v>0</v>
      </c>
      <c r="Q33" s="10">
        <v>0</v>
      </c>
      <c r="R33" s="10">
        <v>0</v>
      </c>
      <c r="S33" s="10">
        <v>0</v>
      </c>
    </row>
    <row r="34" spans="1:19" x14ac:dyDescent="0.35">
      <c r="A34" s="10">
        <v>2030</v>
      </c>
      <c r="B34" s="10" t="s">
        <v>452</v>
      </c>
      <c r="C34" s="10">
        <v>0</v>
      </c>
      <c r="D34" s="10">
        <v>0</v>
      </c>
      <c r="E34" s="10">
        <v>0</v>
      </c>
      <c r="F34" s="10">
        <v>0</v>
      </c>
      <c r="G34" s="10">
        <v>0</v>
      </c>
      <c r="H34" s="10">
        <v>0</v>
      </c>
      <c r="I34" s="10">
        <v>0</v>
      </c>
      <c r="J34" s="10">
        <v>0</v>
      </c>
      <c r="K34" s="10">
        <v>0</v>
      </c>
      <c r="L34" s="10">
        <v>0</v>
      </c>
      <c r="M34" s="10">
        <v>0</v>
      </c>
      <c r="N34" s="10">
        <v>0</v>
      </c>
      <c r="O34" s="10">
        <v>0</v>
      </c>
      <c r="P34" s="10">
        <v>0</v>
      </c>
      <c r="Q34" s="10">
        <v>0</v>
      </c>
      <c r="R34" s="10">
        <v>1</v>
      </c>
      <c r="S34" s="10">
        <v>0</v>
      </c>
    </row>
    <row r="35" spans="1:19" x14ac:dyDescent="0.35">
      <c r="A35" s="10">
        <v>2030</v>
      </c>
      <c r="B35" s="10" t="s">
        <v>453</v>
      </c>
      <c r="C35" s="10">
        <v>0.93599999999999994</v>
      </c>
      <c r="D35" s="10">
        <v>6.4000000000000001E-2</v>
      </c>
      <c r="E35" s="10">
        <v>0</v>
      </c>
      <c r="F35" s="10">
        <v>0</v>
      </c>
      <c r="G35" s="10">
        <v>0</v>
      </c>
      <c r="H35" s="10">
        <v>0</v>
      </c>
      <c r="I35" s="10">
        <v>0</v>
      </c>
      <c r="J35" s="10">
        <v>0</v>
      </c>
      <c r="K35" s="10">
        <v>0</v>
      </c>
      <c r="L35" s="10">
        <v>0</v>
      </c>
      <c r="M35" s="10">
        <v>0</v>
      </c>
      <c r="N35" s="10">
        <v>0</v>
      </c>
      <c r="O35" s="10">
        <v>0</v>
      </c>
      <c r="P35" s="10">
        <v>0</v>
      </c>
      <c r="Q35" s="10">
        <v>0</v>
      </c>
      <c r="R35" s="10">
        <v>0</v>
      </c>
      <c r="S35" s="10">
        <v>0</v>
      </c>
    </row>
    <row r="36" spans="1:19" x14ac:dyDescent="0.35">
      <c r="A36" s="10">
        <v>2030</v>
      </c>
      <c r="B36" s="10" t="s">
        <v>454</v>
      </c>
      <c r="C36" s="10">
        <v>0</v>
      </c>
      <c r="D36" s="10">
        <v>0</v>
      </c>
      <c r="E36" s="10">
        <v>0.76024481099999996</v>
      </c>
      <c r="F36" s="10">
        <v>0.23975518900000001</v>
      </c>
      <c r="G36" s="10">
        <v>0</v>
      </c>
      <c r="H36" s="10">
        <v>0</v>
      </c>
      <c r="I36" s="10">
        <v>0</v>
      </c>
      <c r="J36" s="10">
        <v>0</v>
      </c>
      <c r="K36" s="10">
        <v>0</v>
      </c>
      <c r="L36" s="10">
        <v>0</v>
      </c>
      <c r="M36" s="10">
        <v>0</v>
      </c>
      <c r="N36" s="10">
        <v>0</v>
      </c>
      <c r="O36" s="10">
        <v>0</v>
      </c>
      <c r="P36" s="10">
        <v>0</v>
      </c>
      <c r="Q36" s="10">
        <v>0</v>
      </c>
      <c r="R36" s="10">
        <v>0</v>
      </c>
      <c r="S36" s="10">
        <v>0</v>
      </c>
    </row>
    <row r="37" spans="1:19" x14ac:dyDescent="0.35">
      <c r="A37" s="10">
        <v>2030</v>
      </c>
      <c r="B37" s="10" t="s">
        <v>455</v>
      </c>
      <c r="C37" s="10">
        <v>0.93599999999999994</v>
      </c>
      <c r="D37" s="10">
        <v>6.4000000000000001E-2</v>
      </c>
      <c r="E37" s="10">
        <v>0</v>
      </c>
      <c r="F37" s="10">
        <v>0</v>
      </c>
      <c r="G37" s="10">
        <v>0</v>
      </c>
      <c r="H37" s="10">
        <v>0</v>
      </c>
      <c r="I37" s="10">
        <v>0</v>
      </c>
      <c r="J37" s="10">
        <v>0</v>
      </c>
      <c r="K37" s="10">
        <v>0</v>
      </c>
      <c r="L37" s="10">
        <v>0</v>
      </c>
      <c r="M37" s="10">
        <v>0</v>
      </c>
      <c r="N37" s="10">
        <v>0</v>
      </c>
      <c r="O37" s="10">
        <v>0</v>
      </c>
      <c r="P37" s="10">
        <v>0</v>
      </c>
      <c r="Q37" s="10">
        <v>0</v>
      </c>
      <c r="R37" s="10">
        <v>0</v>
      </c>
      <c r="S37" s="10">
        <v>0</v>
      </c>
    </row>
    <row r="38" spans="1:19" x14ac:dyDescent="0.35">
      <c r="A38" s="10">
        <v>2030</v>
      </c>
      <c r="B38" s="10" t="s">
        <v>456</v>
      </c>
      <c r="C38" s="10">
        <v>0</v>
      </c>
      <c r="D38" s="10">
        <v>0</v>
      </c>
      <c r="E38" s="10">
        <v>0</v>
      </c>
      <c r="F38" s="10">
        <v>0</v>
      </c>
      <c r="G38" s="10">
        <v>1</v>
      </c>
      <c r="H38" s="10">
        <v>0</v>
      </c>
      <c r="I38" s="10">
        <v>0</v>
      </c>
      <c r="J38" s="10">
        <v>0</v>
      </c>
      <c r="K38" s="10">
        <v>0</v>
      </c>
      <c r="L38" s="10">
        <v>0</v>
      </c>
      <c r="M38" s="10">
        <v>0</v>
      </c>
      <c r="N38" s="10">
        <v>0</v>
      </c>
      <c r="O38" s="10">
        <v>0</v>
      </c>
      <c r="P38" s="10">
        <v>0</v>
      </c>
      <c r="Q38" s="10">
        <v>0</v>
      </c>
      <c r="R38" s="10">
        <v>0</v>
      </c>
      <c r="S38" s="10">
        <v>0</v>
      </c>
    </row>
    <row r="39" spans="1:19" x14ac:dyDescent="0.35">
      <c r="A39" s="10">
        <v>2030</v>
      </c>
      <c r="B39" s="10" t="s">
        <v>457</v>
      </c>
      <c r="C39" s="10">
        <v>0</v>
      </c>
      <c r="D39" s="10">
        <v>0</v>
      </c>
      <c r="E39" s="10">
        <v>0</v>
      </c>
      <c r="F39" s="10">
        <v>0</v>
      </c>
      <c r="G39" s="10">
        <v>0</v>
      </c>
      <c r="H39" s="10">
        <v>0</v>
      </c>
      <c r="I39" s="10">
        <v>0.29447516544011604</v>
      </c>
      <c r="J39" s="10">
        <v>0.60583634820302701</v>
      </c>
      <c r="K39" s="10">
        <v>9.9688486356856953E-2</v>
      </c>
      <c r="L39" s="10">
        <v>0</v>
      </c>
      <c r="M39" s="10">
        <v>0</v>
      </c>
      <c r="N39" s="10">
        <v>0</v>
      </c>
      <c r="O39" s="10">
        <v>0</v>
      </c>
      <c r="P39" s="10">
        <v>0</v>
      </c>
      <c r="Q39" s="10">
        <v>0</v>
      </c>
      <c r="R39" s="10">
        <v>0</v>
      </c>
      <c r="S39" s="10">
        <v>0</v>
      </c>
    </row>
    <row r="40" spans="1:19" x14ac:dyDescent="0.35">
      <c r="A40" s="10">
        <v>2030</v>
      </c>
      <c r="B40" s="10" t="s">
        <v>458</v>
      </c>
      <c r="C40" s="10">
        <v>0</v>
      </c>
      <c r="D40" s="10">
        <v>0</v>
      </c>
      <c r="E40" s="10">
        <v>0</v>
      </c>
      <c r="F40" s="10">
        <v>0</v>
      </c>
      <c r="G40" s="10">
        <v>0.91176470588235292</v>
      </c>
      <c r="H40" s="10">
        <v>0</v>
      </c>
      <c r="I40" s="10">
        <v>2.5983102832951417E-2</v>
      </c>
      <c r="J40" s="10">
        <v>5.3456148370855328E-2</v>
      </c>
      <c r="K40" s="10">
        <v>8.7960429138403198E-3</v>
      </c>
      <c r="L40" s="10">
        <v>0</v>
      </c>
      <c r="M40" s="10">
        <v>0</v>
      </c>
      <c r="N40" s="10">
        <v>0</v>
      </c>
      <c r="O40" s="10">
        <v>0</v>
      </c>
      <c r="P40" s="10">
        <v>0</v>
      </c>
      <c r="Q40" s="10">
        <v>0</v>
      </c>
      <c r="R40" s="10">
        <v>0</v>
      </c>
      <c r="S40" s="10">
        <v>0</v>
      </c>
    </row>
    <row r="41" spans="1:19" x14ac:dyDescent="0.35">
      <c r="A41" s="10">
        <v>2040</v>
      </c>
      <c r="B41" s="10" t="s">
        <v>446</v>
      </c>
      <c r="C41" s="10">
        <v>0</v>
      </c>
      <c r="D41" s="10">
        <v>0</v>
      </c>
      <c r="E41" s="10">
        <v>0</v>
      </c>
      <c r="F41" s="10">
        <v>0</v>
      </c>
      <c r="G41" s="10">
        <v>0</v>
      </c>
      <c r="H41" s="10">
        <v>0</v>
      </c>
      <c r="I41" s="10">
        <v>0</v>
      </c>
      <c r="J41" s="10">
        <v>0</v>
      </c>
      <c r="K41" s="10">
        <v>0</v>
      </c>
      <c r="L41" s="10">
        <v>0</v>
      </c>
      <c r="M41" s="10">
        <v>0</v>
      </c>
      <c r="N41" s="10">
        <v>1</v>
      </c>
      <c r="O41" s="10">
        <v>0</v>
      </c>
      <c r="P41" s="10">
        <v>0</v>
      </c>
      <c r="Q41" s="10">
        <v>0</v>
      </c>
      <c r="R41" s="10">
        <v>0</v>
      </c>
      <c r="S41" s="10">
        <v>0</v>
      </c>
    </row>
    <row r="42" spans="1:19" x14ac:dyDescent="0.35">
      <c r="A42" s="10">
        <v>2040</v>
      </c>
      <c r="B42" s="10" t="s">
        <v>447</v>
      </c>
      <c r="C42" s="10">
        <v>0</v>
      </c>
      <c r="D42" s="10">
        <v>0</v>
      </c>
      <c r="E42" s="10">
        <v>0</v>
      </c>
      <c r="F42" s="10">
        <v>0</v>
      </c>
      <c r="G42" s="10">
        <v>0</v>
      </c>
      <c r="H42" s="10">
        <v>0</v>
      </c>
      <c r="I42" s="10">
        <v>0</v>
      </c>
      <c r="J42" s="10">
        <v>0</v>
      </c>
      <c r="K42" s="10">
        <v>0</v>
      </c>
      <c r="L42" s="10">
        <v>0</v>
      </c>
      <c r="M42" s="10">
        <v>0</v>
      </c>
      <c r="N42" s="10">
        <v>0</v>
      </c>
      <c r="O42" s="10">
        <v>0</v>
      </c>
      <c r="P42" s="10">
        <v>1</v>
      </c>
      <c r="Q42" s="10">
        <v>0</v>
      </c>
      <c r="R42" s="10">
        <v>0</v>
      </c>
      <c r="S42" s="10">
        <v>0</v>
      </c>
    </row>
    <row r="43" spans="1:19" x14ac:dyDescent="0.35">
      <c r="A43" s="10">
        <v>2040</v>
      </c>
      <c r="B43" s="10" t="s">
        <v>448</v>
      </c>
      <c r="C43" s="10">
        <v>0</v>
      </c>
      <c r="D43" s="10">
        <v>0</v>
      </c>
      <c r="E43" s="10">
        <v>0</v>
      </c>
      <c r="F43" s="10">
        <v>0</v>
      </c>
      <c r="G43" s="10">
        <v>0</v>
      </c>
      <c r="H43" s="10">
        <v>0</v>
      </c>
      <c r="I43" s="10">
        <v>0</v>
      </c>
      <c r="J43" s="10">
        <v>0</v>
      </c>
      <c r="K43" s="10">
        <v>0</v>
      </c>
      <c r="L43" s="10">
        <v>0</v>
      </c>
      <c r="M43" s="10">
        <v>0</v>
      </c>
      <c r="N43" s="10">
        <v>0</v>
      </c>
      <c r="O43" s="10">
        <v>0</v>
      </c>
      <c r="P43" s="10">
        <v>0</v>
      </c>
      <c r="Q43" s="10">
        <v>1</v>
      </c>
      <c r="R43" s="10">
        <v>0</v>
      </c>
      <c r="S43" s="10">
        <v>0</v>
      </c>
    </row>
    <row r="44" spans="1:19" x14ac:dyDescent="0.35">
      <c r="A44" s="10">
        <v>2040</v>
      </c>
      <c r="B44" s="10" t="s">
        <v>449</v>
      </c>
      <c r="C44" s="10">
        <v>0</v>
      </c>
      <c r="D44" s="10">
        <v>0</v>
      </c>
      <c r="E44" s="10">
        <v>0</v>
      </c>
      <c r="F44" s="10">
        <v>0</v>
      </c>
      <c r="G44" s="10">
        <v>0</v>
      </c>
      <c r="H44" s="10">
        <v>0</v>
      </c>
      <c r="I44" s="10">
        <v>0</v>
      </c>
      <c r="J44" s="10">
        <v>0</v>
      </c>
      <c r="K44" s="10">
        <v>0</v>
      </c>
      <c r="L44" s="10">
        <v>0</v>
      </c>
      <c r="M44" s="10">
        <v>0</v>
      </c>
      <c r="N44" s="10">
        <v>0</v>
      </c>
      <c r="O44" s="10">
        <v>1</v>
      </c>
      <c r="P44" s="10">
        <v>0</v>
      </c>
      <c r="Q44" s="10">
        <v>0</v>
      </c>
      <c r="R44" s="10">
        <v>0</v>
      </c>
      <c r="S44" s="10">
        <v>0</v>
      </c>
    </row>
    <row r="45" spans="1:19" x14ac:dyDescent="0.35">
      <c r="A45" s="10">
        <v>2040</v>
      </c>
      <c r="B45" s="10" t="s">
        <v>450</v>
      </c>
      <c r="C45" s="10">
        <v>0</v>
      </c>
      <c r="D45" s="10">
        <v>0</v>
      </c>
      <c r="E45" s="10">
        <v>0</v>
      </c>
      <c r="F45" s="10">
        <v>0</v>
      </c>
      <c r="G45" s="10">
        <v>0</v>
      </c>
      <c r="H45" s="10">
        <v>0</v>
      </c>
      <c r="I45" s="10">
        <v>0</v>
      </c>
      <c r="J45" s="10">
        <v>0</v>
      </c>
      <c r="K45" s="10">
        <v>0</v>
      </c>
      <c r="L45" s="10">
        <v>0</v>
      </c>
      <c r="M45" s="10">
        <v>1</v>
      </c>
      <c r="N45" s="10">
        <v>0</v>
      </c>
      <c r="O45" s="10">
        <v>0</v>
      </c>
      <c r="P45" s="10">
        <v>0</v>
      </c>
      <c r="Q45" s="10">
        <v>0</v>
      </c>
      <c r="R45" s="10">
        <v>0</v>
      </c>
      <c r="S45" s="10">
        <v>0</v>
      </c>
    </row>
    <row r="46" spans="1:19" x14ac:dyDescent="0.35">
      <c r="A46" s="10">
        <v>2040</v>
      </c>
      <c r="B46" s="10" t="s">
        <v>451</v>
      </c>
      <c r="C46" s="10">
        <v>0</v>
      </c>
      <c r="D46" s="10">
        <v>0</v>
      </c>
      <c r="E46" s="10">
        <v>0</v>
      </c>
      <c r="F46" s="10">
        <v>0</v>
      </c>
      <c r="G46" s="10">
        <v>0</v>
      </c>
      <c r="H46" s="10">
        <v>0</v>
      </c>
      <c r="I46" s="10">
        <v>0</v>
      </c>
      <c r="J46" s="10">
        <v>0</v>
      </c>
      <c r="K46" s="10">
        <v>0</v>
      </c>
      <c r="L46" s="10">
        <v>1</v>
      </c>
      <c r="M46" s="10">
        <v>0</v>
      </c>
      <c r="N46" s="10">
        <v>0</v>
      </c>
      <c r="O46" s="10">
        <v>0</v>
      </c>
      <c r="P46" s="10">
        <v>0</v>
      </c>
      <c r="Q46" s="10">
        <v>0</v>
      </c>
      <c r="R46" s="10">
        <v>0</v>
      </c>
      <c r="S46" s="10">
        <v>0</v>
      </c>
    </row>
    <row r="47" spans="1:19" x14ac:dyDescent="0.35">
      <c r="A47" s="10">
        <v>2040</v>
      </c>
      <c r="B47" s="10" t="s">
        <v>452</v>
      </c>
      <c r="C47" s="10">
        <v>0</v>
      </c>
      <c r="D47" s="10">
        <v>0</v>
      </c>
      <c r="E47" s="10">
        <v>0</v>
      </c>
      <c r="F47" s="10">
        <v>0</v>
      </c>
      <c r="G47" s="10">
        <v>0</v>
      </c>
      <c r="H47" s="10">
        <v>0</v>
      </c>
      <c r="I47" s="10">
        <v>0</v>
      </c>
      <c r="J47" s="10">
        <v>0</v>
      </c>
      <c r="K47" s="10">
        <v>0</v>
      </c>
      <c r="L47" s="10">
        <v>0</v>
      </c>
      <c r="M47" s="10">
        <v>0</v>
      </c>
      <c r="N47" s="10">
        <v>0</v>
      </c>
      <c r="O47" s="10">
        <v>0</v>
      </c>
      <c r="P47" s="10">
        <v>0</v>
      </c>
      <c r="Q47" s="10">
        <v>0</v>
      </c>
      <c r="R47" s="10">
        <v>1</v>
      </c>
      <c r="S47" s="10">
        <v>0</v>
      </c>
    </row>
    <row r="48" spans="1:19" x14ac:dyDescent="0.35">
      <c r="A48" s="10">
        <v>2040</v>
      </c>
      <c r="B48" s="10" t="s">
        <v>453</v>
      </c>
      <c r="C48" s="10">
        <v>0.91800000000000004</v>
      </c>
      <c r="D48" s="10">
        <v>8.2000000000000003E-2</v>
      </c>
      <c r="E48" s="10">
        <v>0</v>
      </c>
      <c r="F48" s="10">
        <v>0</v>
      </c>
      <c r="G48" s="10">
        <v>0</v>
      </c>
      <c r="H48" s="10">
        <v>0</v>
      </c>
      <c r="I48" s="10">
        <v>0</v>
      </c>
      <c r="J48" s="10">
        <v>0</v>
      </c>
      <c r="K48" s="10">
        <v>0</v>
      </c>
      <c r="L48" s="10">
        <v>0</v>
      </c>
      <c r="M48" s="10">
        <v>0</v>
      </c>
      <c r="N48" s="10">
        <v>0</v>
      </c>
      <c r="O48" s="10">
        <v>0</v>
      </c>
      <c r="P48" s="10">
        <v>0</v>
      </c>
      <c r="Q48" s="10">
        <v>0</v>
      </c>
      <c r="R48" s="10">
        <v>0</v>
      </c>
      <c r="S48" s="10">
        <v>0</v>
      </c>
    </row>
    <row r="49" spans="1:19" x14ac:dyDescent="0.35">
      <c r="A49" s="10">
        <v>2040</v>
      </c>
      <c r="B49" s="10" t="s">
        <v>454</v>
      </c>
      <c r="C49" s="10">
        <v>0</v>
      </c>
      <c r="D49" s="10">
        <v>0</v>
      </c>
      <c r="E49" s="10">
        <v>0.76024481099999996</v>
      </c>
      <c r="F49" s="10">
        <v>0.23975518900000001</v>
      </c>
      <c r="G49" s="10">
        <v>0</v>
      </c>
      <c r="H49" s="10">
        <v>0</v>
      </c>
      <c r="I49" s="10">
        <v>0</v>
      </c>
      <c r="J49" s="10">
        <v>0</v>
      </c>
      <c r="K49" s="10">
        <v>0</v>
      </c>
      <c r="L49" s="10">
        <v>0</v>
      </c>
      <c r="M49" s="10">
        <v>0</v>
      </c>
      <c r="N49" s="10">
        <v>0</v>
      </c>
      <c r="O49" s="10">
        <v>0</v>
      </c>
      <c r="P49" s="10">
        <v>0</v>
      </c>
      <c r="Q49" s="10">
        <v>0</v>
      </c>
      <c r="R49" s="10">
        <v>0</v>
      </c>
      <c r="S49" s="10">
        <v>0</v>
      </c>
    </row>
    <row r="50" spans="1:19" x14ac:dyDescent="0.35">
      <c r="A50" s="10">
        <v>2040</v>
      </c>
      <c r="B50" s="10" t="s">
        <v>455</v>
      </c>
      <c r="C50" s="10">
        <v>0.91800000000000004</v>
      </c>
      <c r="D50" s="10">
        <v>8.2000000000000003E-2</v>
      </c>
      <c r="E50" s="10">
        <v>0</v>
      </c>
      <c r="F50" s="10">
        <v>0</v>
      </c>
      <c r="G50" s="10">
        <v>0</v>
      </c>
      <c r="H50" s="10">
        <v>0</v>
      </c>
      <c r="I50" s="10">
        <v>0</v>
      </c>
      <c r="J50" s="10">
        <v>0</v>
      </c>
      <c r="K50" s="10">
        <v>0</v>
      </c>
      <c r="L50" s="10">
        <v>0</v>
      </c>
      <c r="M50" s="10">
        <v>0</v>
      </c>
      <c r="N50" s="10">
        <v>0</v>
      </c>
      <c r="O50" s="10">
        <v>0</v>
      </c>
      <c r="P50" s="10">
        <v>0</v>
      </c>
      <c r="Q50" s="10">
        <v>0</v>
      </c>
      <c r="R50" s="10">
        <v>0</v>
      </c>
      <c r="S50" s="10">
        <v>0</v>
      </c>
    </row>
    <row r="51" spans="1:19" x14ac:dyDescent="0.35">
      <c r="A51" s="10">
        <v>2040</v>
      </c>
      <c r="B51" s="10" t="s">
        <v>456</v>
      </c>
      <c r="C51" s="10">
        <v>0</v>
      </c>
      <c r="D51" s="10">
        <v>0</v>
      </c>
      <c r="E51" s="10">
        <v>0</v>
      </c>
      <c r="F51" s="10">
        <v>0</v>
      </c>
      <c r="G51" s="10">
        <v>1</v>
      </c>
      <c r="H51" s="10">
        <v>0</v>
      </c>
      <c r="I51" s="10">
        <v>0</v>
      </c>
      <c r="J51" s="10">
        <v>0</v>
      </c>
      <c r="K51" s="10">
        <v>0</v>
      </c>
      <c r="L51" s="10">
        <v>0</v>
      </c>
      <c r="M51" s="10">
        <v>0</v>
      </c>
      <c r="N51" s="10">
        <v>0</v>
      </c>
      <c r="O51" s="10">
        <v>0</v>
      </c>
      <c r="P51" s="10">
        <v>0</v>
      </c>
      <c r="Q51" s="10">
        <v>0</v>
      </c>
      <c r="R51" s="10">
        <v>0</v>
      </c>
      <c r="S51" s="10">
        <v>0</v>
      </c>
    </row>
    <row r="52" spans="1:19" x14ac:dyDescent="0.35">
      <c r="A52" s="10">
        <v>2040</v>
      </c>
      <c r="B52" s="10" t="s">
        <v>457</v>
      </c>
      <c r="C52" s="10">
        <v>0</v>
      </c>
      <c r="D52" s="10">
        <v>0</v>
      </c>
      <c r="E52" s="10">
        <v>0</v>
      </c>
      <c r="F52" s="10">
        <v>0</v>
      </c>
      <c r="G52" s="10">
        <v>0</v>
      </c>
      <c r="H52" s="10">
        <v>0</v>
      </c>
      <c r="I52" s="10">
        <v>0.29817954064099295</v>
      </c>
      <c r="J52" s="10">
        <v>0.59422463594933295</v>
      </c>
      <c r="K52" s="10">
        <v>0.10759582340967405</v>
      </c>
      <c r="L52" s="10">
        <v>0</v>
      </c>
      <c r="M52" s="10">
        <v>0</v>
      </c>
      <c r="N52" s="10">
        <v>0</v>
      </c>
      <c r="O52" s="10">
        <v>0</v>
      </c>
      <c r="P52" s="10">
        <v>0</v>
      </c>
      <c r="Q52" s="10">
        <v>0</v>
      </c>
      <c r="R52" s="10">
        <v>0</v>
      </c>
      <c r="S52" s="10">
        <v>0</v>
      </c>
    </row>
    <row r="53" spans="1:19" x14ac:dyDescent="0.35">
      <c r="A53" s="10">
        <v>2040</v>
      </c>
      <c r="B53" s="10" t="s">
        <v>458</v>
      </c>
      <c r="C53" s="10">
        <v>0</v>
      </c>
      <c r="D53" s="10">
        <v>0</v>
      </c>
      <c r="E53" s="10">
        <v>0</v>
      </c>
      <c r="F53" s="10">
        <v>0</v>
      </c>
      <c r="G53" s="10">
        <v>0.90322580645161288</v>
      </c>
      <c r="H53" s="10">
        <v>0</v>
      </c>
      <c r="I53" s="10">
        <v>2.8856084578160607E-2</v>
      </c>
      <c r="J53" s="10">
        <v>5.7505609930580605E-2</v>
      </c>
      <c r="K53" s="10">
        <v>1.0412499039645876E-2</v>
      </c>
      <c r="L53" s="10">
        <v>0</v>
      </c>
      <c r="M53" s="10">
        <v>0</v>
      </c>
      <c r="N53" s="10">
        <v>0</v>
      </c>
      <c r="O53" s="10">
        <v>0</v>
      </c>
      <c r="P53" s="10">
        <v>0</v>
      </c>
      <c r="Q53" s="10">
        <v>0</v>
      </c>
      <c r="R53" s="10">
        <v>0</v>
      </c>
      <c r="S53" s="10">
        <v>0</v>
      </c>
    </row>
    <row r="54" spans="1:19" x14ac:dyDescent="0.35">
      <c r="A54" s="10">
        <v>2050</v>
      </c>
      <c r="B54" s="10" t="s">
        <v>446</v>
      </c>
      <c r="C54" s="10">
        <v>0</v>
      </c>
      <c r="D54" s="10">
        <v>0</v>
      </c>
      <c r="E54" s="10">
        <v>0</v>
      </c>
      <c r="F54" s="10">
        <v>0</v>
      </c>
      <c r="G54" s="10">
        <v>0</v>
      </c>
      <c r="H54" s="10">
        <v>0</v>
      </c>
      <c r="I54" s="10">
        <v>0</v>
      </c>
      <c r="J54" s="10">
        <v>0</v>
      </c>
      <c r="K54" s="10">
        <v>0</v>
      </c>
      <c r="L54" s="10">
        <v>0</v>
      </c>
      <c r="M54" s="10">
        <v>0</v>
      </c>
      <c r="N54" s="10">
        <v>1</v>
      </c>
      <c r="O54" s="10">
        <v>0</v>
      </c>
      <c r="P54" s="10">
        <v>0</v>
      </c>
      <c r="Q54" s="10">
        <v>0</v>
      </c>
      <c r="R54" s="10">
        <v>0</v>
      </c>
      <c r="S54" s="10">
        <v>0</v>
      </c>
    </row>
    <row r="55" spans="1:19" x14ac:dyDescent="0.35">
      <c r="A55" s="10">
        <v>2050</v>
      </c>
      <c r="B55" s="10" t="s">
        <v>447</v>
      </c>
      <c r="C55" s="10">
        <v>0</v>
      </c>
      <c r="D55" s="10">
        <v>0</v>
      </c>
      <c r="E55" s="10">
        <v>0</v>
      </c>
      <c r="F55" s="10">
        <v>0</v>
      </c>
      <c r="G55" s="10">
        <v>0</v>
      </c>
      <c r="H55" s="10">
        <v>0</v>
      </c>
      <c r="I55" s="10">
        <v>0</v>
      </c>
      <c r="J55" s="10">
        <v>0</v>
      </c>
      <c r="K55" s="10">
        <v>0</v>
      </c>
      <c r="L55" s="10">
        <v>0</v>
      </c>
      <c r="M55" s="10">
        <v>0</v>
      </c>
      <c r="N55" s="10">
        <v>0</v>
      </c>
      <c r="O55" s="10">
        <v>0</v>
      </c>
      <c r="P55" s="10">
        <v>1</v>
      </c>
      <c r="Q55" s="10">
        <v>0</v>
      </c>
      <c r="R55" s="10">
        <v>0</v>
      </c>
      <c r="S55" s="10">
        <v>0</v>
      </c>
    </row>
    <row r="56" spans="1:19" x14ac:dyDescent="0.35">
      <c r="A56" s="10">
        <v>2050</v>
      </c>
      <c r="B56" s="10" t="s">
        <v>448</v>
      </c>
      <c r="C56" s="10">
        <v>0</v>
      </c>
      <c r="D56" s="10">
        <v>0</v>
      </c>
      <c r="E56" s="10">
        <v>0</v>
      </c>
      <c r="F56" s="10">
        <v>0</v>
      </c>
      <c r="G56" s="10">
        <v>0</v>
      </c>
      <c r="H56" s="10">
        <v>0</v>
      </c>
      <c r="I56" s="10">
        <v>0</v>
      </c>
      <c r="J56" s="10">
        <v>0</v>
      </c>
      <c r="K56" s="10">
        <v>0</v>
      </c>
      <c r="L56" s="10">
        <v>0</v>
      </c>
      <c r="M56" s="10">
        <v>0</v>
      </c>
      <c r="N56" s="10">
        <v>0</v>
      </c>
      <c r="O56" s="10">
        <v>0</v>
      </c>
      <c r="P56" s="10">
        <v>0</v>
      </c>
      <c r="Q56" s="10">
        <v>1</v>
      </c>
      <c r="R56" s="10">
        <v>0</v>
      </c>
      <c r="S56" s="10">
        <v>0</v>
      </c>
    </row>
    <row r="57" spans="1:19" x14ac:dyDescent="0.35">
      <c r="A57" s="10">
        <v>2050</v>
      </c>
      <c r="B57" s="10" t="s">
        <v>449</v>
      </c>
      <c r="C57" s="10">
        <v>0</v>
      </c>
      <c r="D57" s="10">
        <v>0</v>
      </c>
      <c r="E57" s="10">
        <v>0</v>
      </c>
      <c r="F57" s="10">
        <v>0</v>
      </c>
      <c r="G57" s="10">
        <v>0</v>
      </c>
      <c r="H57" s="10">
        <v>0</v>
      </c>
      <c r="I57" s="10">
        <v>0</v>
      </c>
      <c r="J57" s="10">
        <v>0</v>
      </c>
      <c r="K57" s="10">
        <v>0</v>
      </c>
      <c r="L57" s="10">
        <v>0</v>
      </c>
      <c r="M57" s="10">
        <v>0</v>
      </c>
      <c r="N57" s="10">
        <v>0</v>
      </c>
      <c r="O57" s="10">
        <v>1</v>
      </c>
      <c r="P57" s="10">
        <v>0</v>
      </c>
      <c r="Q57" s="10">
        <v>0</v>
      </c>
      <c r="R57" s="10">
        <v>0</v>
      </c>
      <c r="S57" s="10">
        <v>0</v>
      </c>
    </row>
    <row r="58" spans="1:19" x14ac:dyDescent="0.35">
      <c r="A58" s="10">
        <v>2050</v>
      </c>
      <c r="B58" s="10" t="s">
        <v>450</v>
      </c>
      <c r="C58" s="10">
        <v>0</v>
      </c>
      <c r="D58" s="10">
        <v>0</v>
      </c>
      <c r="E58" s="10">
        <v>0</v>
      </c>
      <c r="F58" s="10">
        <v>0</v>
      </c>
      <c r="G58" s="10">
        <v>0</v>
      </c>
      <c r="H58" s="10">
        <v>0</v>
      </c>
      <c r="I58" s="10">
        <v>0</v>
      </c>
      <c r="J58" s="10">
        <v>0</v>
      </c>
      <c r="K58" s="10">
        <v>0</v>
      </c>
      <c r="L58" s="10">
        <v>0</v>
      </c>
      <c r="M58" s="10">
        <v>1</v>
      </c>
      <c r="N58" s="10">
        <v>0</v>
      </c>
      <c r="O58" s="10">
        <v>0</v>
      </c>
      <c r="P58" s="10">
        <v>0</v>
      </c>
      <c r="Q58" s="10">
        <v>0</v>
      </c>
      <c r="R58" s="10">
        <v>0</v>
      </c>
      <c r="S58" s="10">
        <v>0</v>
      </c>
    </row>
    <row r="59" spans="1:19" x14ac:dyDescent="0.35">
      <c r="A59" s="10">
        <v>2050</v>
      </c>
      <c r="B59" s="10" t="s">
        <v>451</v>
      </c>
      <c r="C59" s="10">
        <v>0</v>
      </c>
      <c r="D59" s="10">
        <v>0</v>
      </c>
      <c r="E59" s="10">
        <v>0</v>
      </c>
      <c r="F59" s="10">
        <v>0</v>
      </c>
      <c r="G59" s="10">
        <v>0</v>
      </c>
      <c r="H59" s="10">
        <v>0</v>
      </c>
      <c r="I59" s="10">
        <v>0</v>
      </c>
      <c r="J59" s="10">
        <v>0</v>
      </c>
      <c r="K59" s="10">
        <v>0</v>
      </c>
      <c r="L59" s="10">
        <v>1</v>
      </c>
      <c r="M59" s="10">
        <v>0</v>
      </c>
      <c r="N59" s="10">
        <v>0</v>
      </c>
      <c r="O59" s="10">
        <v>0</v>
      </c>
      <c r="P59" s="10">
        <v>0</v>
      </c>
      <c r="Q59" s="10">
        <v>0</v>
      </c>
      <c r="R59" s="10">
        <v>0</v>
      </c>
      <c r="S59" s="10">
        <v>0</v>
      </c>
    </row>
    <row r="60" spans="1:19" x14ac:dyDescent="0.35">
      <c r="A60" s="10">
        <v>2050</v>
      </c>
      <c r="B60" s="10" t="s">
        <v>452</v>
      </c>
      <c r="C60" s="10">
        <v>0</v>
      </c>
      <c r="D60" s="10">
        <v>0</v>
      </c>
      <c r="E60" s="10">
        <v>0</v>
      </c>
      <c r="F60" s="10">
        <v>0</v>
      </c>
      <c r="G60" s="10">
        <v>0</v>
      </c>
      <c r="H60" s="10">
        <v>0</v>
      </c>
      <c r="I60" s="10">
        <v>0</v>
      </c>
      <c r="J60" s="10">
        <v>0</v>
      </c>
      <c r="K60" s="10">
        <v>0</v>
      </c>
      <c r="L60" s="10">
        <v>0</v>
      </c>
      <c r="M60" s="10">
        <v>0</v>
      </c>
      <c r="N60" s="10">
        <v>0</v>
      </c>
      <c r="O60" s="10">
        <v>0</v>
      </c>
      <c r="P60" s="10">
        <v>0</v>
      </c>
      <c r="Q60" s="10">
        <v>0</v>
      </c>
      <c r="R60" s="10">
        <v>1</v>
      </c>
      <c r="S60" s="10">
        <v>0</v>
      </c>
    </row>
    <row r="61" spans="1:19" x14ac:dyDescent="0.35">
      <c r="A61" s="10">
        <v>2050</v>
      </c>
      <c r="B61" s="10" t="s">
        <v>453</v>
      </c>
      <c r="C61" s="10">
        <v>0.9</v>
      </c>
      <c r="D61" s="10">
        <v>9.9999999999999992E-2</v>
      </c>
      <c r="E61" s="10">
        <v>0</v>
      </c>
      <c r="F61" s="10">
        <v>0</v>
      </c>
      <c r="G61" s="10">
        <v>0</v>
      </c>
      <c r="H61" s="10">
        <v>0</v>
      </c>
      <c r="I61" s="10">
        <v>0</v>
      </c>
      <c r="J61" s="10">
        <v>0</v>
      </c>
      <c r="K61" s="10">
        <v>0</v>
      </c>
      <c r="L61" s="10">
        <v>0</v>
      </c>
      <c r="M61" s="10">
        <v>0</v>
      </c>
      <c r="N61" s="10">
        <v>0</v>
      </c>
      <c r="O61" s="10">
        <v>0</v>
      </c>
      <c r="P61" s="10">
        <v>0</v>
      </c>
      <c r="Q61" s="10">
        <v>0</v>
      </c>
      <c r="R61" s="10">
        <v>0</v>
      </c>
      <c r="S61" s="10">
        <v>0</v>
      </c>
    </row>
    <row r="62" spans="1:19" x14ac:dyDescent="0.35">
      <c r="A62" s="10">
        <v>2050</v>
      </c>
      <c r="B62" s="10" t="s">
        <v>454</v>
      </c>
      <c r="C62" s="10">
        <v>0</v>
      </c>
      <c r="D62" s="10">
        <v>0</v>
      </c>
      <c r="E62" s="10">
        <v>0.76024481099999996</v>
      </c>
      <c r="F62" s="10">
        <v>0.23975518900000001</v>
      </c>
      <c r="G62" s="10">
        <v>0</v>
      </c>
      <c r="H62" s="10">
        <v>0</v>
      </c>
      <c r="I62" s="10">
        <v>0</v>
      </c>
      <c r="J62" s="10">
        <v>0</v>
      </c>
      <c r="K62" s="10">
        <v>0</v>
      </c>
      <c r="L62" s="10">
        <v>0</v>
      </c>
      <c r="M62" s="10">
        <v>0</v>
      </c>
      <c r="N62" s="10">
        <v>0</v>
      </c>
      <c r="O62" s="10">
        <v>0</v>
      </c>
      <c r="P62" s="10">
        <v>0</v>
      </c>
      <c r="Q62" s="10">
        <v>0</v>
      </c>
      <c r="R62" s="10">
        <v>0</v>
      </c>
      <c r="S62" s="10">
        <v>0</v>
      </c>
    </row>
    <row r="63" spans="1:19" x14ac:dyDescent="0.35">
      <c r="A63" s="10">
        <v>2050</v>
      </c>
      <c r="B63" s="10" t="s">
        <v>455</v>
      </c>
      <c r="C63" s="10">
        <v>0.9</v>
      </c>
      <c r="D63" s="10">
        <v>9.9999999999999992E-2</v>
      </c>
      <c r="E63" s="10">
        <v>0</v>
      </c>
      <c r="F63" s="10">
        <v>0</v>
      </c>
      <c r="G63" s="10">
        <v>0</v>
      </c>
      <c r="H63" s="10">
        <v>0</v>
      </c>
      <c r="I63" s="10">
        <v>0</v>
      </c>
      <c r="J63" s="10">
        <v>0</v>
      </c>
      <c r="K63" s="10">
        <v>0</v>
      </c>
      <c r="L63" s="10">
        <v>0</v>
      </c>
      <c r="M63" s="10">
        <v>0</v>
      </c>
      <c r="N63" s="10">
        <v>0</v>
      </c>
      <c r="O63" s="10">
        <v>0</v>
      </c>
      <c r="P63" s="10">
        <v>0</v>
      </c>
      <c r="Q63" s="10">
        <v>0</v>
      </c>
      <c r="R63" s="10">
        <v>0</v>
      </c>
      <c r="S63" s="10">
        <v>0</v>
      </c>
    </row>
    <row r="64" spans="1:19" x14ac:dyDescent="0.35">
      <c r="A64" s="10">
        <v>2050</v>
      </c>
      <c r="B64" s="10" t="s">
        <v>456</v>
      </c>
      <c r="C64" s="10">
        <v>0</v>
      </c>
      <c r="D64" s="10">
        <v>0</v>
      </c>
      <c r="E64" s="10">
        <v>0</v>
      </c>
      <c r="F64" s="10">
        <v>0</v>
      </c>
      <c r="G64" s="10">
        <v>1</v>
      </c>
      <c r="H64" s="10">
        <v>0</v>
      </c>
      <c r="I64" s="10">
        <v>0</v>
      </c>
      <c r="J64" s="10">
        <v>0</v>
      </c>
      <c r="K64" s="10">
        <v>0</v>
      </c>
      <c r="L64" s="10">
        <v>0</v>
      </c>
      <c r="M64" s="10">
        <v>0</v>
      </c>
      <c r="N64" s="10">
        <v>0</v>
      </c>
      <c r="O64" s="10">
        <v>0</v>
      </c>
      <c r="P64" s="10">
        <v>0</v>
      </c>
      <c r="Q64" s="10">
        <v>0</v>
      </c>
      <c r="R64" s="10">
        <v>0</v>
      </c>
      <c r="S64" s="10">
        <v>0</v>
      </c>
    </row>
    <row r="65" spans="1:19" x14ac:dyDescent="0.35">
      <c r="A65" s="10">
        <v>2050</v>
      </c>
      <c r="B65" s="10" t="s">
        <v>457</v>
      </c>
      <c r="C65" s="10">
        <v>0</v>
      </c>
      <c r="D65" s="10">
        <v>0</v>
      </c>
      <c r="E65" s="10">
        <v>0</v>
      </c>
      <c r="F65" s="10">
        <v>0</v>
      </c>
      <c r="G65" s="10">
        <v>0</v>
      </c>
      <c r="H65" s="10">
        <v>0</v>
      </c>
      <c r="I65" s="10">
        <v>0.3</v>
      </c>
      <c r="J65" s="10">
        <v>0.59</v>
      </c>
      <c r="K65" s="10">
        <v>0.11</v>
      </c>
      <c r="L65" s="10">
        <v>0</v>
      </c>
      <c r="M65" s="10">
        <v>0</v>
      </c>
      <c r="N65" s="10">
        <v>0</v>
      </c>
      <c r="O65" s="10">
        <v>0</v>
      </c>
      <c r="P65" s="10">
        <v>0</v>
      </c>
      <c r="Q65" s="10">
        <v>0</v>
      </c>
      <c r="R65" s="10">
        <v>0</v>
      </c>
      <c r="S65" s="10">
        <v>0</v>
      </c>
    </row>
    <row r="66" spans="1:19" x14ac:dyDescent="0.35">
      <c r="A66" s="10">
        <v>2050</v>
      </c>
      <c r="B66" s="10" t="s">
        <v>458</v>
      </c>
      <c r="C66" s="10">
        <v>0</v>
      </c>
      <c r="D66" s="10">
        <v>0</v>
      </c>
      <c r="E66" s="10">
        <v>0</v>
      </c>
      <c r="F66" s="10">
        <v>0</v>
      </c>
      <c r="G66" s="10">
        <v>0.89130434782608692</v>
      </c>
      <c r="H66" s="10">
        <v>0</v>
      </c>
      <c r="I66" s="10">
        <v>3.2608695652173912E-2</v>
      </c>
      <c r="J66" s="10">
        <v>6.4130434782608686E-2</v>
      </c>
      <c r="K66" s="10">
        <v>1.1956521739130435E-2</v>
      </c>
      <c r="L66" s="10">
        <v>0</v>
      </c>
      <c r="M66" s="10">
        <v>0</v>
      </c>
      <c r="N66" s="10">
        <v>0</v>
      </c>
      <c r="O66" s="10">
        <v>0</v>
      </c>
      <c r="P66" s="10">
        <v>0</v>
      </c>
      <c r="Q66" s="10">
        <v>0</v>
      </c>
      <c r="R66" s="10">
        <v>0</v>
      </c>
      <c r="S66" s="10">
        <v>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72CBBB-7F59-43D6-B604-C46B26367D53}">
  <sheetPr>
    <tabColor theme="9" tint="0.79998168889431442"/>
  </sheetPr>
  <dimension ref="A1:D13"/>
  <sheetViews>
    <sheetView workbookViewId="0">
      <selection activeCell="F15" sqref="F15"/>
    </sheetView>
  </sheetViews>
  <sheetFormatPr baseColWidth="10" defaultRowHeight="14.5" x14ac:dyDescent="0.35"/>
  <cols>
    <col min="1" max="1" width="13.453125" bestFit="1" customWidth="1"/>
    <col min="2" max="2" width="6.6328125" bestFit="1" customWidth="1"/>
    <col min="3" max="3" width="6.36328125" bestFit="1" customWidth="1"/>
    <col min="4" max="4" width="20.7265625" bestFit="1" customWidth="1"/>
    <col min="5" max="5" width="20.26953125" bestFit="1" customWidth="1"/>
  </cols>
  <sheetData>
    <row r="1" spans="1:4" x14ac:dyDescent="0.35">
      <c r="A1" s="171" t="s">
        <v>396</v>
      </c>
      <c r="B1" s="171" t="s">
        <v>70</v>
      </c>
      <c r="C1" s="171" t="s">
        <v>68</v>
      </c>
      <c r="D1" s="171" t="s">
        <v>4</v>
      </c>
    </row>
    <row r="2" spans="1:4" x14ac:dyDescent="0.35">
      <c r="A2" s="152" t="s">
        <v>22</v>
      </c>
      <c r="B2" s="46">
        <v>0.7</v>
      </c>
      <c r="C2" s="34" t="s">
        <v>69</v>
      </c>
      <c r="D2" s="8" t="s">
        <v>64</v>
      </c>
    </row>
    <row r="3" spans="1:4" x14ac:dyDescent="0.35">
      <c r="A3" s="152" t="s">
        <v>6</v>
      </c>
      <c r="B3" s="46">
        <v>0.80499999999999994</v>
      </c>
      <c r="C3" s="34" t="s">
        <v>69</v>
      </c>
      <c r="D3" s="148" t="s">
        <v>24</v>
      </c>
    </row>
    <row r="4" spans="1:4" x14ac:dyDescent="0.35">
      <c r="A4" s="152" t="s">
        <v>397</v>
      </c>
      <c r="B4" s="46">
        <v>0.42</v>
      </c>
      <c r="C4" s="34" t="s">
        <v>69</v>
      </c>
      <c r="D4" s="8" t="s">
        <v>64</v>
      </c>
    </row>
    <row r="5" spans="1:4" x14ac:dyDescent="0.35">
      <c r="A5" s="152" t="s">
        <v>398</v>
      </c>
      <c r="B5" s="46">
        <v>0.8</v>
      </c>
      <c r="C5" s="34" t="s">
        <v>69</v>
      </c>
      <c r="D5" s="148" t="s">
        <v>65</v>
      </c>
    </row>
    <row r="6" spans="1:4" x14ac:dyDescent="0.35">
      <c r="A6" s="152" t="s">
        <v>58</v>
      </c>
      <c r="B6" s="46">
        <v>0.81</v>
      </c>
      <c r="C6" s="34" t="s">
        <v>69</v>
      </c>
      <c r="D6" s="8" t="s">
        <v>64</v>
      </c>
    </row>
    <row r="7" spans="1:4" x14ac:dyDescent="0.35">
      <c r="A7" s="152" t="s">
        <v>35</v>
      </c>
      <c r="B7" s="46">
        <v>0.45</v>
      </c>
      <c r="C7" s="34" t="s">
        <v>69</v>
      </c>
      <c r="D7" s="8" t="s">
        <v>64</v>
      </c>
    </row>
    <row r="8" spans="1:4" x14ac:dyDescent="0.35">
      <c r="A8" s="152" t="s">
        <v>399</v>
      </c>
      <c r="B8" s="46">
        <v>0.8125</v>
      </c>
      <c r="C8" s="34" t="s">
        <v>69</v>
      </c>
      <c r="D8" s="8" t="s">
        <v>66</v>
      </c>
    </row>
    <row r="9" spans="1:4" x14ac:dyDescent="0.35">
      <c r="A9" s="152" t="s">
        <v>7</v>
      </c>
      <c r="B9" s="46">
        <v>0.13</v>
      </c>
      <c r="C9" s="34" t="s">
        <v>69</v>
      </c>
      <c r="D9" s="148" t="s">
        <v>67</v>
      </c>
    </row>
    <row r="10" spans="1:4" x14ac:dyDescent="0.35">
      <c r="A10" s="152" t="s">
        <v>400</v>
      </c>
      <c r="B10" s="46">
        <v>0.161</v>
      </c>
      <c r="C10" s="34" t="s">
        <v>69</v>
      </c>
      <c r="D10" s="8" t="s">
        <v>64</v>
      </c>
    </row>
    <row r="11" spans="1:4" x14ac:dyDescent="0.35">
      <c r="A11" s="152" t="s">
        <v>14</v>
      </c>
      <c r="B11" s="46">
        <v>0.375</v>
      </c>
      <c r="C11" s="34" t="s">
        <v>69</v>
      </c>
      <c r="D11" s="8" t="s">
        <v>64</v>
      </c>
    </row>
    <row r="12" spans="1:4" x14ac:dyDescent="0.35">
      <c r="A12" s="152" t="s">
        <v>401</v>
      </c>
      <c r="B12" s="46">
        <v>0.39</v>
      </c>
      <c r="C12" s="34" t="s">
        <v>69</v>
      </c>
      <c r="D12" s="8" t="s">
        <v>64</v>
      </c>
    </row>
    <row r="13" spans="1:4" x14ac:dyDescent="0.35">
      <c r="A13" s="152" t="s">
        <v>402</v>
      </c>
      <c r="B13" s="46">
        <v>0.36</v>
      </c>
      <c r="C13" s="34" t="s">
        <v>69</v>
      </c>
      <c r="D13" s="8" t="s">
        <v>64</v>
      </c>
    </row>
  </sheetData>
  <sortState xmlns:xlrd2="http://schemas.microsoft.com/office/spreadsheetml/2017/richdata2" ref="B2:E14">
    <sortCondition ref="B1:B14"/>
  </sortState>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CB1211-65D9-4018-ABBA-8066A82D4C11}">
  <sheetPr>
    <tabColor theme="9" tint="0.79998168889431442"/>
  </sheetPr>
  <dimension ref="A1:H13"/>
  <sheetViews>
    <sheetView zoomScale="85" zoomScaleNormal="85" workbookViewId="0">
      <selection activeCell="G2" sqref="A2:G2"/>
    </sheetView>
  </sheetViews>
  <sheetFormatPr baseColWidth="10" defaultRowHeight="14.5" x14ac:dyDescent="0.35"/>
  <cols>
    <col min="1" max="1" width="21.7265625" bestFit="1" customWidth="1"/>
    <col min="2" max="2" width="31.1796875" bestFit="1" customWidth="1"/>
    <col min="7" max="7" width="17.453125" bestFit="1" customWidth="1"/>
    <col min="8" max="9" width="16.81640625" bestFit="1" customWidth="1"/>
  </cols>
  <sheetData>
    <row r="1" spans="1:8" x14ac:dyDescent="0.35">
      <c r="A1" s="2" t="s">
        <v>414</v>
      </c>
    </row>
    <row r="2" spans="1:8" x14ac:dyDescent="0.35">
      <c r="A2" s="147" t="s">
        <v>403</v>
      </c>
      <c r="B2" s="118" t="s">
        <v>404</v>
      </c>
      <c r="C2" s="118" t="s">
        <v>405</v>
      </c>
      <c r="D2" s="118" t="s">
        <v>406</v>
      </c>
      <c r="E2" s="118" t="s">
        <v>407</v>
      </c>
      <c r="F2" s="118" t="s">
        <v>68</v>
      </c>
      <c r="G2" s="118" t="s">
        <v>4</v>
      </c>
    </row>
    <row r="3" spans="1:8" x14ac:dyDescent="0.35">
      <c r="A3" s="153" t="s">
        <v>71</v>
      </c>
      <c r="B3" s="154">
        <v>2277.5813116333306</v>
      </c>
      <c r="C3" s="26">
        <v>2359.4422051529054</v>
      </c>
      <c r="D3" s="26">
        <v>2441.3030986724802</v>
      </c>
      <c r="E3" s="154">
        <v>2523.163992192055</v>
      </c>
      <c r="F3" s="43" t="s">
        <v>73</v>
      </c>
      <c r="G3" s="43" t="s">
        <v>78</v>
      </c>
    </row>
    <row r="4" spans="1:8" x14ac:dyDescent="0.35">
      <c r="A4" s="153" t="s">
        <v>408</v>
      </c>
      <c r="B4" s="154">
        <v>2277.5813116333306</v>
      </c>
      <c r="C4" s="26">
        <v>5647.0813158584097</v>
      </c>
      <c r="D4" s="26">
        <v>9016.5813200834891</v>
      </c>
      <c r="E4" s="154">
        <v>12386.081324308567</v>
      </c>
      <c r="F4" s="43" t="s">
        <v>73</v>
      </c>
      <c r="G4" s="43" t="s">
        <v>78</v>
      </c>
    </row>
    <row r="5" spans="1:8" x14ac:dyDescent="0.35">
      <c r="A5" s="153" t="s">
        <v>72</v>
      </c>
      <c r="B5" s="154">
        <v>2277.5813116333306</v>
      </c>
      <c r="C5" s="26">
        <v>17250.202803762008</v>
      </c>
      <c r="D5" s="26">
        <v>32222.824295890685</v>
      </c>
      <c r="E5" s="154">
        <v>47195.445788019366</v>
      </c>
      <c r="F5" s="43" t="s">
        <v>73</v>
      </c>
      <c r="G5" s="43" t="s">
        <v>78</v>
      </c>
    </row>
    <row r="8" spans="1:8" x14ac:dyDescent="0.35">
      <c r="A8" s="2" t="s">
        <v>415</v>
      </c>
    </row>
    <row r="9" spans="1:8" x14ac:dyDescent="0.35">
      <c r="A9" s="147" t="s">
        <v>403</v>
      </c>
      <c r="B9" s="147" t="s">
        <v>100</v>
      </c>
      <c r="C9" s="147" t="s">
        <v>102</v>
      </c>
      <c r="D9" s="147" t="s">
        <v>99</v>
      </c>
      <c r="E9" s="147" t="s">
        <v>76</v>
      </c>
      <c r="F9" s="147" t="s">
        <v>409</v>
      </c>
      <c r="G9" s="147" t="s">
        <v>68</v>
      </c>
      <c r="H9" s="147" t="s">
        <v>4</v>
      </c>
    </row>
    <row r="10" spans="1:8" x14ac:dyDescent="0.35">
      <c r="A10" s="155" t="s">
        <v>410</v>
      </c>
      <c r="B10" s="156">
        <v>945.57254037062376</v>
      </c>
      <c r="C10" s="156">
        <v>598.27109792886654</v>
      </c>
      <c r="D10" s="50">
        <v>570.38558065252107</v>
      </c>
      <c r="E10" s="156">
        <v>86.191598854158741</v>
      </c>
      <c r="F10" s="156">
        <v>205.33880903490757</v>
      </c>
      <c r="G10" s="43" t="s">
        <v>73</v>
      </c>
      <c r="H10" s="10" t="s">
        <v>79</v>
      </c>
    </row>
    <row r="11" spans="1:8" x14ac:dyDescent="0.35">
      <c r="A11" s="155" t="s">
        <v>411</v>
      </c>
      <c r="B11" s="156">
        <v>557.71034552690946</v>
      </c>
      <c r="C11" s="156">
        <v>352.37153649200189</v>
      </c>
      <c r="D11" s="50">
        <v>337.16125434126803</v>
      </c>
      <c r="E11" s="156">
        <v>60.841128602935584</v>
      </c>
      <c r="F11" s="156">
        <v>129.2873982812381</v>
      </c>
      <c r="G11" s="43" t="s">
        <v>73</v>
      </c>
      <c r="H11" s="10" t="s">
        <v>79</v>
      </c>
    </row>
    <row r="12" spans="1:8" x14ac:dyDescent="0.35">
      <c r="A12" s="155" t="s">
        <v>412</v>
      </c>
      <c r="B12" s="156">
        <v>537.42996932593098</v>
      </c>
      <c r="C12" s="156">
        <v>400.5374299693259</v>
      </c>
      <c r="D12" s="50">
        <v>365.0467716176135</v>
      </c>
      <c r="E12" s="156">
        <v>50.700940502446315</v>
      </c>
      <c r="F12" s="156">
        <v>91.261692904403375</v>
      </c>
      <c r="G12" s="43" t="s">
        <v>73</v>
      </c>
      <c r="H12" s="10" t="s">
        <v>79</v>
      </c>
    </row>
    <row r="13" spans="1:8" x14ac:dyDescent="0.35">
      <c r="A13" s="155" t="s">
        <v>413</v>
      </c>
      <c r="B13" s="156">
        <v>327.02106624077874</v>
      </c>
      <c r="C13" s="156">
        <v>215.47899713539684</v>
      </c>
      <c r="D13" s="50">
        <v>195.19862093441833</v>
      </c>
      <c r="E13" s="156">
        <v>38.025705376834736</v>
      </c>
      <c r="F13" s="156">
        <v>58.306081577813266</v>
      </c>
      <c r="G13" s="43" t="s">
        <v>73</v>
      </c>
      <c r="H13" s="10" t="s">
        <v>79</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68DDCA-434E-4C4C-84A1-448EF0F7307F}">
  <sheetPr>
    <tabColor theme="7" tint="0.79998168889431442"/>
  </sheetPr>
  <dimension ref="A1:S30"/>
  <sheetViews>
    <sheetView topLeftCell="A39" workbookViewId="0">
      <selection sqref="A1:XFD1048576"/>
    </sheetView>
  </sheetViews>
  <sheetFormatPr baseColWidth="10" defaultRowHeight="14.5" x14ac:dyDescent="0.35"/>
  <cols>
    <col min="2" max="2" width="14.90625" customWidth="1"/>
    <col min="4" max="5" width="11.81640625" bestFit="1" customWidth="1"/>
  </cols>
  <sheetData>
    <row r="1" spans="1:19" x14ac:dyDescent="0.35">
      <c r="A1" s="2" t="s">
        <v>420</v>
      </c>
    </row>
    <row r="2" spans="1:19" x14ac:dyDescent="0.35">
      <c r="A2" s="37" t="s">
        <v>255</v>
      </c>
      <c r="B2" s="108" t="s">
        <v>242</v>
      </c>
      <c r="C2" s="108" t="s">
        <v>246</v>
      </c>
      <c r="D2" s="108" t="s">
        <v>245</v>
      </c>
      <c r="E2" s="37" t="s">
        <v>68</v>
      </c>
      <c r="F2" s="37" t="s">
        <v>416</v>
      </c>
      <c r="G2" s="37" t="s">
        <v>417</v>
      </c>
    </row>
    <row r="3" spans="1:19" x14ac:dyDescent="0.35">
      <c r="A3" s="98" t="s">
        <v>168</v>
      </c>
      <c r="B3" s="50">
        <v>71300</v>
      </c>
      <c r="C3" s="50">
        <v>110658</v>
      </c>
      <c r="D3" s="50">
        <v>127302</v>
      </c>
      <c r="E3" s="10" t="s">
        <v>418</v>
      </c>
      <c r="F3" s="10" t="s">
        <v>419</v>
      </c>
      <c r="G3" s="10" t="s">
        <v>269</v>
      </c>
    </row>
    <row r="4" spans="1:19" x14ac:dyDescent="0.35">
      <c r="A4" s="98" t="s">
        <v>171</v>
      </c>
      <c r="B4" s="50">
        <v>0</v>
      </c>
      <c r="C4" s="50">
        <v>12789</v>
      </c>
      <c r="D4" s="50">
        <v>11850</v>
      </c>
      <c r="E4" s="10" t="s">
        <v>418</v>
      </c>
      <c r="F4" s="10" t="s">
        <v>419</v>
      </c>
      <c r="G4" s="10"/>
    </row>
    <row r="5" spans="1:19" x14ac:dyDescent="0.35">
      <c r="A5" s="98" t="s">
        <v>182</v>
      </c>
      <c r="B5" s="10">
        <v>300</v>
      </c>
      <c r="C5" s="10">
        <v>320</v>
      </c>
      <c r="D5" s="10">
        <v>310</v>
      </c>
      <c r="E5" s="10" t="s">
        <v>418</v>
      </c>
      <c r="F5" s="10" t="s">
        <v>419</v>
      </c>
      <c r="G5" s="10"/>
    </row>
    <row r="6" spans="1:19" x14ac:dyDescent="0.35">
      <c r="A6" s="98" t="s">
        <v>181</v>
      </c>
      <c r="B6" s="50">
        <v>902171.34</v>
      </c>
      <c r="C6" s="50">
        <v>902171.34</v>
      </c>
      <c r="D6" s="50">
        <v>902171.34</v>
      </c>
      <c r="E6" s="10" t="s">
        <v>418</v>
      </c>
      <c r="F6" s="10" t="s">
        <v>419</v>
      </c>
      <c r="G6" s="10" t="s">
        <v>269</v>
      </c>
    </row>
    <row r="7" spans="1:19" x14ac:dyDescent="0.35">
      <c r="A7" s="98" t="s">
        <v>202</v>
      </c>
      <c r="B7" s="10">
        <v>100</v>
      </c>
      <c r="C7" s="10">
        <v>100</v>
      </c>
      <c r="D7" s="10">
        <v>100</v>
      </c>
      <c r="E7" s="10" t="s">
        <v>418</v>
      </c>
      <c r="F7" s="10" t="s">
        <v>419</v>
      </c>
      <c r="G7" s="10"/>
    </row>
    <row r="10" spans="1:19" ht="15" thickBot="1" x14ac:dyDescent="0.4">
      <c r="A10" s="97" t="s">
        <v>431</v>
      </c>
    </row>
    <row r="11" spans="1:19" ht="15" thickBot="1" x14ac:dyDescent="0.4">
      <c r="A11" s="157" t="s">
        <v>255</v>
      </c>
      <c r="B11" s="158" t="s">
        <v>232</v>
      </c>
      <c r="C11" s="159" t="s">
        <v>234</v>
      </c>
      <c r="D11" s="160" t="s">
        <v>421</v>
      </c>
      <c r="E11" s="161" t="s">
        <v>422</v>
      </c>
      <c r="F11" s="161" t="s">
        <v>423</v>
      </c>
      <c r="G11" s="161" t="s">
        <v>424</v>
      </c>
      <c r="H11" s="101" t="s">
        <v>425</v>
      </c>
      <c r="I11" s="158" t="s">
        <v>235</v>
      </c>
      <c r="J11" s="159" t="s">
        <v>233</v>
      </c>
      <c r="K11" s="160" t="s">
        <v>426</v>
      </c>
      <c r="L11" s="101" t="s">
        <v>427</v>
      </c>
      <c r="M11" s="158" t="s">
        <v>236</v>
      </c>
      <c r="N11" s="102" t="s">
        <v>231</v>
      </c>
      <c r="O11" s="157" t="s">
        <v>68</v>
      </c>
      <c r="P11" s="157" t="s">
        <v>4</v>
      </c>
      <c r="R11" s="102"/>
      <c r="S11" t="s">
        <v>428</v>
      </c>
    </row>
    <row r="12" spans="1:19" ht="15" thickBot="1" x14ac:dyDescent="0.4">
      <c r="A12" s="162" t="s">
        <v>172</v>
      </c>
      <c r="B12" s="163">
        <v>0</v>
      </c>
      <c r="C12" s="164">
        <v>132.1138129435102</v>
      </c>
      <c r="D12" s="31">
        <v>334.5549512355899</v>
      </c>
      <c r="E12" s="84">
        <v>301.5706207743001</v>
      </c>
      <c r="F12" s="84">
        <v>212.0418932866599</v>
      </c>
      <c r="G12" s="84">
        <v>179.0575628253699</v>
      </c>
      <c r="H12" s="165">
        <v>84.816757314669871</v>
      </c>
      <c r="I12" s="163">
        <v>0</v>
      </c>
      <c r="J12" s="164">
        <v>105.69105035480008</v>
      </c>
      <c r="K12" s="31">
        <v>105.69105035480008</v>
      </c>
      <c r="L12" s="165">
        <f>105.6910503548+0.147</f>
        <v>105.8380503548</v>
      </c>
      <c r="M12" s="163">
        <v>0</v>
      </c>
      <c r="N12" s="166">
        <v>0</v>
      </c>
      <c r="O12" s="163" t="s">
        <v>429</v>
      </c>
      <c r="P12" s="163" t="s">
        <v>230</v>
      </c>
      <c r="R12" s="101"/>
      <c r="S12" t="s">
        <v>430</v>
      </c>
    </row>
    <row r="13" spans="1:19" x14ac:dyDescent="0.35">
      <c r="A13" s="167" t="s">
        <v>174</v>
      </c>
      <c r="B13" s="28">
        <v>440.37930928179981</v>
      </c>
      <c r="C13" s="168">
        <v>317.07315106442002</v>
      </c>
      <c r="D13" s="9">
        <v>317.07315106441979</v>
      </c>
      <c r="E13" s="10">
        <v>317.07315106441979</v>
      </c>
      <c r="F13" s="10">
        <v>317.07315106441979</v>
      </c>
      <c r="G13" s="10">
        <v>317.07315106441979</v>
      </c>
      <c r="H13" s="15">
        <v>317.07315106441979</v>
      </c>
      <c r="I13" s="28">
        <v>484.41738132276015</v>
      </c>
      <c r="J13" s="168">
        <v>264.22762588702</v>
      </c>
      <c r="K13" s="9">
        <v>264.22762588702</v>
      </c>
      <c r="L13" s="15">
        <v>264.22762588702</v>
      </c>
      <c r="M13" s="28">
        <v>493.22483445920028</v>
      </c>
      <c r="N13" s="32">
        <v>0</v>
      </c>
      <c r="O13" s="28" t="s">
        <v>429</v>
      </c>
      <c r="P13" s="28" t="s">
        <v>230</v>
      </c>
    </row>
    <row r="14" spans="1:19" x14ac:dyDescent="0.35">
      <c r="A14" s="167" t="s">
        <v>183</v>
      </c>
      <c r="B14" s="28">
        <v>598.9160864036869</v>
      </c>
      <c r="C14" s="168">
        <v>607.72374112982209</v>
      </c>
      <c r="D14" s="9">
        <v>654.97377625205797</v>
      </c>
      <c r="E14" s="10">
        <v>631.41349398681803</v>
      </c>
      <c r="F14" s="10">
        <v>654.97377625205797</v>
      </c>
      <c r="G14" s="10">
        <v>560.732862891266</v>
      </c>
      <c r="H14" s="15">
        <v>518.32448423393498</v>
      </c>
      <c r="I14" s="28">
        <v>519.64759704790811</v>
      </c>
      <c r="J14" s="168">
        <v>572.49332381499198</v>
      </c>
      <c r="K14" s="169">
        <v>572.49332381499198</v>
      </c>
      <c r="L14" s="170">
        <v>572.49332381499198</v>
      </c>
      <c r="M14" s="28">
        <v>510.8399423217781</v>
      </c>
      <c r="N14" s="32">
        <v>0</v>
      </c>
      <c r="O14" s="28" t="s">
        <v>429</v>
      </c>
      <c r="P14" s="28" t="s">
        <v>230</v>
      </c>
    </row>
    <row r="15" spans="1:19" x14ac:dyDescent="0.35">
      <c r="A15" s="167" t="s">
        <v>185</v>
      </c>
      <c r="B15" s="28">
        <v>1277.1002589838204</v>
      </c>
      <c r="C15" s="168">
        <v>158.53657553220989</v>
      </c>
      <c r="D15" s="9">
        <v>306.28280664744801</v>
      </c>
      <c r="E15" s="10">
        <v>282.72252438220801</v>
      </c>
      <c r="F15" s="10">
        <v>193.19379689456505</v>
      </c>
      <c r="G15" s="10">
        <v>169.63351462932496</v>
      </c>
      <c r="H15" s="15">
        <v>80.10478714168201</v>
      </c>
      <c r="I15" s="28">
        <v>317.07315106442002</v>
      </c>
      <c r="J15" s="168">
        <v>0</v>
      </c>
      <c r="K15" s="9">
        <v>0</v>
      </c>
      <c r="L15" s="15">
        <v>0</v>
      </c>
      <c r="M15" s="28">
        <v>0</v>
      </c>
      <c r="N15" s="32">
        <v>554.87801436273696</v>
      </c>
      <c r="O15" s="28" t="s">
        <v>429</v>
      </c>
      <c r="P15" s="28" t="s">
        <v>230</v>
      </c>
    </row>
    <row r="16" spans="1:19" ht="15" thickBot="1" x14ac:dyDescent="0.4">
      <c r="A16" s="103" t="s">
        <v>188</v>
      </c>
      <c r="B16" s="104">
        <v>0</v>
      </c>
      <c r="C16" s="105">
        <v>563.68566908885987</v>
      </c>
      <c r="D16" s="94">
        <v>339.26702925864407</v>
      </c>
      <c r="E16" s="95">
        <v>400.52372000823402</v>
      </c>
      <c r="F16" s="95">
        <v>513.61251406094698</v>
      </c>
      <c r="G16" s="95">
        <v>527.74885598022911</v>
      </c>
      <c r="H16" s="106">
        <v>654.97388410213307</v>
      </c>
      <c r="I16" s="104">
        <v>0</v>
      </c>
      <c r="J16" s="105">
        <v>704.60713675850002</v>
      </c>
      <c r="K16" s="94">
        <v>735.07856339373586</v>
      </c>
      <c r="L16" s="106">
        <v>673.82208834431788</v>
      </c>
      <c r="M16" s="104">
        <v>0</v>
      </c>
      <c r="N16" s="107">
        <v>334.688460516676</v>
      </c>
      <c r="O16" s="104" t="s">
        <v>429</v>
      </c>
      <c r="P16" s="104" t="s">
        <v>230</v>
      </c>
    </row>
    <row r="19" spans="1:14" ht="15" thickBot="1" x14ac:dyDescent="0.4">
      <c r="A19" s="97" t="s">
        <v>439</v>
      </c>
    </row>
    <row r="20" spans="1:14" ht="15" thickBot="1" x14ac:dyDescent="0.4">
      <c r="A20" s="30" t="s">
        <v>255</v>
      </c>
      <c r="B20" s="108" t="s">
        <v>229</v>
      </c>
      <c r="C20" s="108" t="s">
        <v>228</v>
      </c>
      <c r="D20" s="109" t="s">
        <v>432</v>
      </c>
      <c r="E20" s="109" t="s">
        <v>433</v>
      </c>
      <c r="F20" s="109" t="s">
        <v>434</v>
      </c>
      <c r="G20" s="109" t="s">
        <v>435</v>
      </c>
      <c r="H20" s="110" t="s">
        <v>68</v>
      </c>
      <c r="I20" s="110" t="s">
        <v>4</v>
      </c>
      <c r="K20" s="102"/>
      <c r="L20" t="s">
        <v>436</v>
      </c>
      <c r="N20" s="35" t="s">
        <v>437</v>
      </c>
    </row>
    <row r="21" spans="1:14" ht="15" thickBot="1" x14ac:dyDescent="0.4">
      <c r="A21" s="111" t="s">
        <v>168</v>
      </c>
      <c r="B21" s="112">
        <v>0</v>
      </c>
      <c r="C21" s="112">
        <v>0</v>
      </c>
      <c r="D21" s="112">
        <v>0</v>
      </c>
      <c r="E21" s="112">
        <v>0</v>
      </c>
      <c r="F21" s="112">
        <f>B22/3.4</f>
        <v>4083.6764705882356</v>
      </c>
      <c r="G21" s="112">
        <f>C22/3.4</f>
        <v>9903.9705882352937</v>
      </c>
      <c r="H21" s="10" t="s">
        <v>418</v>
      </c>
      <c r="I21" s="10" t="s">
        <v>256</v>
      </c>
      <c r="K21" s="101"/>
      <c r="L21" t="s">
        <v>438</v>
      </c>
    </row>
    <row r="22" spans="1:14" x14ac:dyDescent="0.35">
      <c r="A22" s="98" t="s">
        <v>174</v>
      </c>
      <c r="B22" s="5">
        <v>13884.5</v>
      </c>
      <c r="C22" s="5">
        <v>33673.5</v>
      </c>
      <c r="D22" s="5">
        <v>13884.5</v>
      </c>
      <c r="E22" s="5">
        <v>33673.5</v>
      </c>
      <c r="F22" s="5">
        <v>0</v>
      </c>
      <c r="G22" s="5">
        <v>0</v>
      </c>
      <c r="H22" s="10" t="s">
        <v>418</v>
      </c>
      <c r="I22" s="10" t="s">
        <v>257</v>
      </c>
    </row>
    <row r="23" spans="1:14" x14ac:dyDescent="0.35">
      <c r="A23" s="98" t="s">
        <v>175</v>
      </c>
      <c r="B23" s="113">
        <v>83</v>
      </c>
      <c r="C23" s="5">
        <v>0</v>
      </c>
      <c r="D23" s="113">
        <v>83</v>
      </c>
      <c r="E23" s="5">
        <v>0</v>
      </c>
      <c r="F23" s="113">
        <v>83</v>
      </c>
      <c r="G23" s="5">
        <v>0</v>
      </c>
      <c r="H23" s="10" t="s">
        <v>418</v>
      </c>
      <c r="I23" s="10" t="s">
        <v>258</v>
      </c>
    </row>
    <row r="24" spans="1:14" x14ac:dyDescent="0.35">
      <c r="A24" s="98" t="s">
        <v>187</v>
      </c>
      <c r="B24" s="113">
        <v>695</v>
      </c>
      <c r="C24" s="5">
        <v>0</v>
      </c>
      <c r="D24" s="113">
        <v>695</v>
      </c>
      <c r="E24" s="5">
        <v>0</v>
      </c>
      <c r="F24" s="113">
        <v>695</v>
      </c>
      <c r="G24" s="5">
        <v>0</v>
      </c>
      <c r="H24" s="10" t="s">
        <v>418</v>
      </c>
      <c r="I24" s="10" t="s">
        <v>258</v>
      </c>
    </row>
    <row r="25" spans="1:14" x14ac:dyDescent="0.35">
      <c r="A25" s="98" t="s">
        <v>191</v>
      </c>
      <c r="B25" s="5">
        <v>1</v>
      </c>
      <c r="C25" s="5">
        <v>0</v>
      </c>
      <c r="D25" s="5">
        <v>1</v>
      </c>
      <c r="E25" s="5">
        <v>0</v>
      </c>
      <c r="F25" s="5">
        <v>1</v>
      </c>
      <c r="G25" s="5">
        <v>0</v>
      </c>
      <c r="H25" s="10" t="s">
        <v>418</v>
      </c>
      <c r="I25" s="10" t="s">
        <v>258</v>
      </c>
    </row>
    <row r="26" spans="1:14" x14ac:dyDescent="0.35">
      <c r="A26" s="1"/>
      <c r="B26" s="1"/>
      <c r="C26" s="1"/>
      <c r="D26" s="1"/>
      <c r="E26" s="1"/>
      <c r="F26" s="1"/>
      <c r="G26" s="1"/>
    </row>
    <row r="28" spans="1:14" x14ac:dyDescent="0.35">
      <c r="A28" s="97" t="s">
        <v>442</v>
      </c>
    </row>
    <row r="29" spans="1:14" x14ac:dyDescent="0.35">
      <c r="A29" s="114" t="s">
        <v>440</v>
      </c>
      <c r="B29" s="115" t="s">
        <v>441</v>
      </c>
      <c r="C29" s="115" t="s">
        <v>246</v>
      </c>
      <c r="D29" s="108" t="s">
        <v>245</v>
      </c>
      <c r="E29" s="116" t="s">
        <v>68</v>
      </c>
      <c r="F29" s="110" t="s">
        <v>4</v>
      </c>
    </row>
    <row r="30" spans="1:14" x14ac:dyDescent="0.35">
      <c r="A30" s="98" t="s">
        <v>259</v>
      </c>
      <c r="B30" s="10">
        <v>1.3</v>
      </c>
      <c r="C30" s="10">
        <v>21.8</v>
      </c>
      <c r="D30" s="10">
        <v>62.5</v>
      </c>
      <c r="E30" s="10" t="s">
        <v>260</v>
      </c>
      <c r="F30" s="38" t="s">
        <v>480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F12678-54F7-48C8-B1A3-0F4E5D874F0D}">
  <sheetPr>
    <tabColor theme="7" tint="0.79998168889431442"/>
  </sheetPr>
  <dimension ref="A1:AB37"/>
  <sheetViews>
    <sheetView workbookViewId="0">
      <selection activeCell="D1" sqref="A1:XFD1048576"/>
    </sheetView>
  </sheetViews>
  <sheetFormatPr baseColWidth="10" defaultRowHeight="14.5" x14ac:dyDescent="0.35"/>
  <cols>
    <col min="1" max="1" width="20.81640625" bestFit="1" customWidth="1"/>
    <col min="2" max="2" width="13.36328125" bestFit="1" customWidth="1"/>
    <col min="3" max="3" width="14.7265625" bestFit="1" customWidth="1"/>
    <col min="9" max="9" width="23.7265625" bestFit="1" customWidth="1"/>
    <col min="10" max="10" width="22.36328125" bestFit="1" customWidth="1"/>
    <col min="12" max="12" width="27.26953125" bestFit="1" customWidth="1"/>
    <col min="13" max="14" width="23.26953125" bestFit="1" customWidth="1"/>
    <col min="15" max="15" width="22.6328125" bestFit="1" customWidth="1"/>
  </cols>
  <sheetData>
    <row r="1" spans="1:28" x14ac:dyDescent="0.35">
      <c r="A1" s="98" t="s">
        <v>163</v>
      </c>
      <c r="B1" s="98" t="s">
        <v>43</v>
      </c>
      <c r="C1" s="98" t="s">
        <v>44</v>
      </c>
      <c r="D1" s="98" t="s">
        <v>45</v>
      </c>
      <c r="E1" s="98" t="s">
        <v>46</v>
      </c>
      <c r="F1" s="98" t="s">
        <v>47</v>
      </c>
      <c r="G1" s="98" t="s">
        <v>164</v>
      </c>
      <c r="H1" s="98" t="s">
        <v>165</v>
      </c>
      <c r="I1" s="98" t="s">
        <v>166</v>
      </c>
      <c r="J1" s="98" t="s">
        <v>167</v>
      </c>
      <c r="K1" s="98" t="s">
        <v>50</v>
      </c>
      <c r="L1" s="98" t="s">
        <v>51</v>
      </c>
      <c r="M1" s="98" t="s">
        <v>52</v>
      </c>
      <c r="N1" s="98" t="s">
        <v>53</v>
      </c>
      <c r="O1" s="98" t="s">
        <v>54</v>
      </c>
      <c r="P1" s="98" t="s">
        <v>55</v>
      </c>
      <c r="Q1" s="98" t="s">
        <v>56</v>
      </c>
      <c r="R1" s="98" t="s">
        <v>57</v>
      </c>
      <c r="S1" s="98" t="s">
        <v>132</v>
      </c>
      <c r="T1" s="98" t="s">
        <v>133</v>
      </c>
      <c r="U1" s="98" t="s">
        <v>134</v>
      </c>
      <c r="V1" s="98" t="s">
        <v>35</v>
      </c>
      <c r="W1" s="98" t="s">
        <v>22</v>
      </c>
      <c r="X1" s="98" t="s">
        <v>58</v>
      </c>
      <c r="Y1" s="98" t="s">
        <v>59</v>
      </c>
      <c r="Z1" s="98" t="s">
        <v>60</v>
      </c>
      <c r="AA1" s="98" t="s">
        <v>61</v>
      </c>
      <c r="AB1" s="98" t="s">
        <v>62</v>
      </c>
    </row>
    <row r="2" spans="1:28" x14ac:dyDescent="0.35">
      <c r="A2" s="98" t="s">
        <v>168</v>
      </c>
      <c r="B2" s="10">
        <v>10953</v>
      </c>
      <c r="C2" s="10">
        <v>10953</v>
      </c>
      <c r="D2" s="10">
        <v>10953</v>
      </c>
      <c r="E2" s="10">
        <v>10953</v>
      </c>
      <c r="F2" s="10">
        <v>10953</v>
      </c>
      <c r="G2" s="10">
        <v>257.5</v>
      </c>
      <c r="H2" s="10">
        <v>41998.5</v>
      </c>
      <c r="I2" s="10">
        <v>242.5</v>
      </c>
      <c r="J2" s="10">
        <v>41983.5</v>
      </c>
      <c r="K2" s="10">
        <v>700</v>
      </c>
      <c r="L2" s="10">
        <v>1400</v>
      </c>
      <c r="M2" s="10">
        <v>500</v>
      </c>
      <c r="N2" s="10">
        <v>1600</v>
      </c>
      <c r="O2" s="10">
        <v>700</v>
      </c>
      <c r="P2" s="10">
        <v>1400</v>
      </c>
      <c r="Q2" s="10">
        <v>500</v>
      </c>
      <c r="R2" s="10">
        <v>1600</v>
      </c>
      <c r="S2" s="10">
        <v>61104.4</v>
      </c>
      <c r="T2" s="10">
        <v>61104.4</v>
      </c>
      <c r="U2" s="10">
        <v>61104.4</v>
      </c>
      <c r="V2" s="10">
        <v>3400</v>
      </c>
      <c r="W2" s="10">
        <v>3900</v>
      </c>
      <c r="X2" s="10">
        <v>2386</v>
      </c>
      <c r="Y2" s="10">
        <v>1033.5</v>
      </c>
      <c r="Z2" s="10">
        <v>922.2</v>
      </c>
      <c r="AA2" s="10">
        <v>517.6</v>
      </c>
      <c r="AB2" s="10">
        <v>922.19999999999982</v>
      </c>
    </row>
    <row r="3" spans="1:28" x14ac:dyDescent="0.35">
      <c r="A3" s="98" t="s">
        <v>169</v>
      </c>
      <c r="B3" s="10">
        <v>0</v>
      </c>
      <c r="C3" s="10">
        <v>0</v>
      </c>
      <c r="D3" s="10">
        <v>0</v>
      </c>
      <c r="E3" s="10">
        <v>0</v>
      </c>
      <c r="F3" s="10">
        <v>0</v>
      </c>
      <c r="G3" s="10">
        <v>0</v>
      </c>
      <c r="H3" s="10">
        <v>0</v>
      </c>
      <c r="I3" s="10">
        <v>0</v>
      </c>
      <c r="J3" s="10">
        <v>0</v>
      </c>
      <c r="K3" s="10">
        <v>0</v>
      </c>
      <c r="L3" s="10">
        <v>0</v>
      </c>
      <c r="M3" s="10">
        <v>6</v>
      </c>
      <c r="N3" s="10">
        <v>1</v>
      </c>
      <c r="O3" s="10">
        <v>0</v>
      </c>
      <c r="P3" s="10">
        <v>0</v>
      </c>
      <c r="Q3" s="10">
        <v>6</v>
      </c>
      <c r="R3" s="10">
        <v>1</v>
      </c>
      <c r="S3" s="10">
        <v>0</v>
      </c>
      <c r="T3" s="10">
        <v>0</v>
      </c>
      <c r="U3" s="10">
        <v>0</v>
      </c>
      <c r="V3" s="10">
        <v>0</v>
      </c>
      <c r="W3" s="10">
        <v>0</v>
      </c>
      <c r="X3" s="10">
        <v>0</v>
      </c>
      <c r="Y3" s="10">
        <v>0</v>
      </c>
      <c r="Z3" s="10">
        <v>0</v>
      </c>
      <c r="AA3" s="10">
        <v>0</v>
      </c>
      <c r="AB3" s="10">
        <v>0</v>
      </c>
    </row>
    <row r="4" spans="1:28" x14ac:dyDescent="0.35">
      <c r="A4" s="98" t="s">
        <v>170</v>
      </c>
      <c r="B4" s="10">
        <v>0</v>
      </c>
      <c r="C4" s="10">
        <v>0</v>
      </c>
      <c r="D4" s="10">
        <v>87</v>
      </c>
      <c r="E4" s="10">
        <v>0</v>
      </c>
      <c r="F4" s="10">
        <v>0</v>
      </c>
      <c r="G4" s="10">
        <v>0</v>
      </c>
      <c r="H4" s="10">
        <v>0</v>
      </c>
      <c r="I4" s="10">
        <v>0</v>
      </c>
      <c r="J4" s="10">
        <v>0</v>
      </c>
      <c r="K4" s="10">
        <v>0</v>
      </c>
      <c r="L4" s="10">
        <v>0</v>
      </c>
      <c r="M4" s="10">
        <v>0</v>
      </c>
      <c r="N4" s="10">
        <v>0</v>
      </c>
      <c r="O4" s="10">
        <v>0</v>
      </c>
      <c r="P4" s="10">
        <v>0</v>
      </c>
      <c r="Q4" s="10">
        <v>0</v>
      </c>
      <c r="R4" s="10">
        <v>0</v>
      </c>
      <c r="S4" s="10">
        <v>0.4</v>
      </c>
      <c r="T4" s="10">
        <v>0</v>
      </c>
      <c r="U4" s="10">
        <v>0</v>
      </c>
      <c r="V4" s="10">
        <v>0</v>
      </c>
      <c r="W4" s="10">
        <v>0</v>
      </c>
      <c r="X4" s="10">
        <v>0</v>
      </c>
      <c r="Y4" s="10">
        <v>0</v>
      </c>
      <c r="Z4" s="10">
        <v>0</v>
      </c>
      <c r="AA4" s="10">
        <v>0</v>
      </c>
      <c r="AB4" s="10">
        <v>0</v>
      </c>
    </row>
    <row r="5" spans="1:28" x14ac:dyDescent="0.35">
      <c r="A5" s="98" t="s">
        <v>171</v>
      </c>
      <c r="B5" s="10">
        <v>3761</v>
      </c>
      <c r="C5" s="10">
        <v>3761</v>
      </c>
      <c r="D5" s="10">
        <v>3761</v>
      </c>
      <c r="E5" s="10">
        <v>3761</v>
      </c>
      <c r="F5" s="10">
        <v>3761</v>
      </c>
      <c r="G5" s="10">
        <v>4733</v>
      </c>
      <c r="H5" s="10">
        <v>3700</v>
      </c>
      <c r="I5" s="10">
        <v>4733</v>
      </c>
      <c r="J5" s="10">
        <v>3700</v>
      </c>
      <c r="K5" s="10">
        <v>525</v>
      </c>
      <c r="L5" s="10">
        <v>470</v>
      </c>
      <c r="M5" s="10">
        <v>525</v>
      </c>
      <c r="N5" s="10">
        <v>580</v>
      </c>
      <c r="O5" s="10">
        <v>525</v>
      </c>
      <c r="P5" s="10">
        <v>470</v>
      </c>
      <c r="Q5" s="10">
        <v>525</v>
      </c>
      <c r="R5" s="10">
        <v>580</v>
      </c>
      <c r="S5" s="10">
        <v>2190</v>
      </c>
      <c r="T5" s="10">
        <v>2190</v>
      </c>
      <c r="U5" s="10">
        <v>2190</v>
      </c>
      <c r="V5" s="10">
        <v>1500</v>
      </c>
      <c r="W5" s="10">
        <v>2</v>
      </c>
      <c r="X5" s="10">
        <v>64405</v>
      </c>
      <c r="Y5" s="10">
        <v>307.5</v>
      </c>
      <c r="Z5" s="10">
        <v>48.34</v>
      </c>
      <c r="AA5" s="10">
        <v>904</v>
      </c>
      <c r="AB5" s="10">
        <v>0</v>
      </c>
    </row>
    <row r="6" spans="1:28" x14ac:dyDescent="0.35">
      <c r="A6" s="98" t="s">
        <v>172</v>
      </c>
      <c r="B6" s="10">
        <v>0</v>
      </c>
      <c r="C6" s="10">
        <v>0</v>
      </c>
      <c r="D6" s="10">
        <v>0</v>
      </c>
      <c r="E6" s="10">
        <v>0</v>
      </c>
      <c r="F6" s="10">
        <v>0</v>
      </c>
      <c r="G6" s="10">
        <v>326</v>
      </c>
      <c r="H6" s="10">
        <v>326</v>
      </c>
      <c r="I6" s="10">
        <v>326</v>
      </c>
      <c r="J6" s="10">
        <v>326</v>
      </c>
      <c r="K6" s="10">
        <v>1.4285714285714299E-2</v>
      </c>
      <c r="L6" s="10">
        <v>0.553968253968255</v>
      </c>
      <c r="M6" s="10">
        <v>0.2349206349206347</v>
      </c>
      <c r="N6" s="10">
        <v>0.19682539682539602</v>
      </c>
      <c r="O6" s="10">
        <v>0</v>
      </c>
      <c r="P6" s="10">
        <v>0</v>
      </c>
      <c r="Q6" s="10">
        <v>0</v>
      </c>
      <c r="R6" s="10">
        <v>0</v>
      </c>
      <c r="S6" s="10">
        <v>0</v>
      </c>
      <c r="T6" s="10">
        <v>0</v>
      </c>
      <c r="U6" s="10">
        <v>0</v>
      </c>
      <c r="V6" s="10">
        <v>0</v>
      </c>
      <c r="W6" s="10">
        <v>2</v>
      </c>
      <c r="X6" s="10">
        <v>0</v>
      </c>
      <c r="Y6" s="10">
        <v>201.46</v>
      </c>
      <c r="Z6" s="10">
        <v>0</v>
      </c>
      <c r="AA6" s="10">
        <v>0</v>
      </c>
      <c r="AB6" s="10">
        <v>0</v>
      </c>
    </row>
    <row r="7" spans="1:28" x14ac:dyDescent="0.35">
      <c r="A7" s="98" t="s">
        <v>173</v>
      </c>
      <c r="B7" s="10">
        <v>60700</v>
      </c>
      <c r="C7" s="10">
        <v>60700</v>
      </c>
      <c r="D7" s="10">
        <v>60700</v>
      </c>
      <c r="E7" s="10">
        <v>60700</v>
      </c>
      <c r="F7" s="10">
        <v>60700</v>
      </c>
      <c r="G7" s="10">
        <v>1000000</v>
      </c>
      <c r="H7" s="10">
        <v>0</v>
      </c>
      <c r="I7" s="10">
        <v>1000000</v>
      </c>
      <c r="J7" s="10">
        <v>0</v>
      </c>
      <c r="K7" s="10">
        <v>369000</v>
      </c>
      <c r="L7" s="10">
        <v>355000</v>
      </c>
      <c r="M7" s="10">
        <v>243000</v>
      </c>
      <c r="N7" s="10">
        <v>413000</v>
      </c>
      <c r="O7" s="10">
        <v>369000</v>
      </c>
      <c r="P7" s="10">
        <v>355000</v>
      </c>
      <c r="Q7" s="10">
        <v>243000</v>
      </c>
      <c r="R7" s="10">
        <v>413000</v>
      </c>
      <c r="S7" s="10">
        <v>0</v>
      </c>
      <c r="T7" s="10">
        <v>0</v>
      </c>
      <c r="U7" s="10">
        <v>0</v>
      </c>
      <c r="V7" s="10">
        <v>0</v>
      </c>
      <c r="W7" s="10">
        <v>159000</v>
      </c>
      <c r="X7" s="10">
        <v>459000</v>
      </c>
      <c r="Y7" s="10">
        <v>0</v>
      </c>
      <c r="Z7" s="10">
        <v>0</v>
      </c>
      <c r="AA7" s="10">
        <v>0</v>
      </c>
      <c r="AB7" s="10">
        <v>0</v>
      </c>
    </row>
    <row r="8" spans="1:28" x14ac:dyDescent="0.35">
      <c r="A8" s="98" t="s">
        <v>174</v>
      </c>
      <c r="B8" s="10">
        <v>3765</v>
      </c>
      <c r="C8" s="10">
        <f>B8+B28</f>
        <v>3795</v>
      </c>
      <c r="D8" s="10">
        <v>3698.0333333333333</v>
      </c>
      <c r="E8" s="10">
        <v>3123.42</v>
      </c>
      <c r="F8" s="10">
        <v>3187.82</v>
      </c>
      <c r="G8" s="10">
        <v>3175</v>
      </c>
      <c r="H8" s="10">
        <v>1400</v>
      </c>
      <c r="I8" s="10">
        <v>3175</v>
      </c>
      <c r="J8" s="10">
        <v>1400</v>
      </c>
      <c r="K8" s="10">
        <v>5000</v>
      </c>
      <c r="L8" s="10">
        <v>1400</v>
      </c>
      <c r="M8" s="10">
        <v>8000</v>
      </c>
      <c r="N8" s="10">
        <v>950</v>
      </c>
      <c r="O8" s="10">
        <v>5000</v>
      </c>
      <c r="P8" s="10">
        <v>1400</v>
      </c>
      <c r="Q8" s="10">
        <v>8000</v>
      </c>
      <c r="R8" s="10">
        <v>950</v>
      </c>
      <c r="S8" s="10">
        <v>1473.4</v>
      </c>
      <c r="T8" s="10">
        <v>1473.4</v>
      </c>
      <c r="U8" s="10">
        <v>1473.4</v>
      </c>
      <c r="V8" s="10">
        <v>3160</v>
      </c>
      <c r="W8" s="10">
        <v>2175</v>
      </c>
      <c r="X8" s="10">
        <v>2175</v>
      </c>
      <c r="Y8" s="10">
        <v>1150</v>
      </c>
      <c r="Z8" s="10">
        <v>1110</v>
      </c>
      <c r="AA8" s="10">
        <v>1100</v>
      </c>
      <c r="AB8" s="10">
        <v>1110</v>
      </c>
    </row>
    <row r="9" spans="1:28" x14ac:dyDescent="0.35">
      <c r="A9" s="98" t="s">
        <v>175</v>
      </c>
      <c r="B9" s="10">
        <v>0</v>
      </c>
      <c r="C9" s="10">
        <v>0</v>
      </c>
      <c r="D9" s="10">
        <v>0</v>
      </c>
      <c r="E9" s="10">
        <v>0</v>
      </c>
      <c r="F9" s="10">
        <v>0</v>
      </c>
      <c r="G9" s="10">
        <v>0</v>
      </c>
      <c r="H9" s="10">
        <v>0</v>
      </c>
      <c r="I9" s="10">
        <v>0</v>
      </c>
      <c r="J9" s="10">
        <v>0</v>
      </c>
      <c r="K9" s="10">
        <v>6</v>
      </c>
      <c r="L9" s="10">
        <v>2</v>
      </c>
      <c r="M9" s="10">
        <v>17</v>
      </c>
      <c r="N9" s="10">
        <v>6</v>
      </c>
      <c r="O9" s="10">
        <v>6</v>
      </c>
      <c r="P9" s="10">
        <v>2</v>
      </c>
      <c r="Q9" s="10">
        <v>17</v>
      </c>
      <c r="R9" s="10">
        <v>6</v>
      </c>
      <c r="S9" s="10">
        <v>0</v>
      </c>
      <c r="T9" s="10">
        <v>0</v>
      </c>
      <c r="U9" s="10">
        <v>0</v>
      </c>
      <c r="V9" s="10">
        <v>0</v>
      </c>
      <c r="W9" s="10">
        <v>0</v>
      </c>
      <c r="X9" s="10">
        <v>0</v>
      </c>
      <c r="Y9" s="10">
        <v>0</v>
      </c>
      <c r="Z9" s="10">
        <v>0</v>
      </c>
      <c r="AA9" s="10">
        <v>0</v>
      </c>
      <c r="AB9" s="10">
        <v>0</v>
      </c>
    </row>
    <row r="10" spans="1:28" x14ac:dyDescent="0.35">
      <c r="A10" s="98" t="s">
        <v>176</v>
      </c>
      <c r="B10" s="10">
        <v>0</v>
      </c>
      <c r="C10" s="10">
        <v>0</v>
      </c>
      <c r="D10" s="10">
        <v>0</v>
      </c>
      <c r="E10" s="10">
        <v>9</v>
      </c>
      <c r="F10" s="10">
        <v>0</v>
      </c>
      <c r="G10" s="10">
        <v>0</v>
      </c>
      <c r="H10" s="10">
        <v>0</v>
      </c>
      <c r="I10" s="10">
        <v>692</v>
      </c>
      <c r="J10" s="10">
        <v>692</v>
      </c>
      <c r="K10" s="10">
        <v>0</v>
      </c>
      <c r="L10" s="10">
        <v>0</v>
      </c>
      <c r="M10" s="10">
        <v>0</v>
      </c>
      <c r="N10" s="10">
        <v>0</v>
      </c>
      <c r="O10" s="10">
        <v>0</v>
      </c>
      <c r="P10" s="10">
        <v>0</v>
      </c>
      <c r="Q10" s="10">
        <v>0</v>
      </c>
      <c r="R10" s="10">
        <v>0</v>
      </c>
      <c r="S10" s="10">
        <v>0</v>
      </c>
      <c r="T10" s="10">
        <v>0</v>
      </c>
      <c r="U10" s="10">
        <v>0</v>
      </c>
      <c r="V10" s="10">
        <v>0</v>
      </c>
      <c r="W10" s="10">
        <v>0</v>
      </c>
      <c r="X10" s="10">
        <v>0</v>
      </c>
      <c r="Y10" s="10">
        <v>0</v>
      </c>
      <c r="Z10" s="10">
        <v>0</v>
      </c>
      <c r="AA10" s="10">
        <v>0</v>
      </c>
      <c r="AB10" s="10">
        <v>0</v>
      </c>
    </row>
    <row r="11" spans="1:28" x14ac:dyDescent="0.35">
      <c r="A11" s="98" t="s">
        <v>177</v>
      </c>
      <c r="B11" s="10">
        <v>0</v>
      </c>
      <c r="C11" s="10">
        <v>0</v>
      </c>
      <c r="D11" s="10">
        <v>0</v>
      </c>
      <c r="E11" s="10">
        <v>0</v>
      </c>
      <c r="F11" s="10">
        <v>48</v>
      </c>
      <c r="G11" s="10">
        <v>0</v>
      </c>
      <c r="H11" s="10">
        <v>0</v>
      </c>
      <c r="I11" s="10">
        <v>0</v>
      </c>
      <c r="J11" s="10">
        <v>0</v>
      </c>
      <c r="K11" s="10">
        <v>0</v>
      </c>
      <c r="L11" s="10">
        <v>0</v>
      </c>
      <c r="M11" s="10">
        <v>0</v>
      </c>
      <c r="N11" s="10">
        <v>0</v>
      </c>
      <c r="O11" s="10">
        <v>0</v>
      </c>
      <c r="P11" s="10">
        <v>0</v>
      </c>
      <c r="Q11" s="10">
        <v>0</v>
      </c>
      <c r="R11" s="10">
        <v>0</v>
      </c>
      <c r="S11" s="10">
        <v>0</v>
      </c>
      <c r="T11" s="10">
        <v>0</v>
      </c>
      <c r="U11" s="10">
        <v>0</v>
      </c>
      <c r="V11" s="10">
        <v>0</v>
      </c>
      <c r="W11" s="10">
        <v>0</v>
      </c>
      <c r="X11" s="10">
        <v>0</v>
      </c>
      <c r="Y11" s="10">
        <v>0</v>
      </c>
      <c r="Z11" s="10">
        <v>0</v>
      </c>
      <c r="AA11" s="10">
        <v>0</v>
      </c>
      <c r="AB11" s="10">
        <v>0</v>
      </c>
    </row>
    <row r="12" spans="1:28" x14ac:dyDescent="0.35">
      <c r="A12" s="98" t="s">
        <v>178</v>
      </c>
      <c r="B12" s="10">
        <v>46400</v>
      </c>
      <c r="C12" s="10">
        <v>46400</v>
      </c>
      <c r="D12" s="10">
        <v>46400</v>
      </c>
      <c r="E12" s="10">
        <v>46400</v>
      </c>
      <c r="F12" s="10">
        <v>46400</v>
      </c>
      <c r="G12" s="10">
        <v>100000</v>
      </c>
      <c r="H12" s="10">
        <v>100000</v>
      </c>
      <c r="I12" s="10">
        <v>100000</v>
      </c>
      <c r="J12" s="10">
        <v>100000</v>
      </c>
      <c r="K12" s="10">
        <v>8100</v>
      </c>
      <c r="L12" s="10">
        <v>7700</v>
      </c>
      <c r="M12" s="10">
        <v>8100</v>
      </c>
      <c r="N12" s="10">
        <v>8400</v>
      </c>
      <c r="O12" s="10">
        <v>8100</v>
      </c>
      <c r="P12" s="10">
        <v>7700</v>
      </c>
      <c r="Q12" s="10">
        <v>8100</v>
      </c>
      <c r="R12" s="10">
        <v>8400</v>
      </c>
      <c r="S12" s="10">
        <v>0</v>
      </c>
      <c r="T12" s="10">
        <v>0</v>
      </c>
      <c r="U12" s="10">
        <v>0</v>
      </c>
      <c r="V12" s="10">
        <v>0</v>
      </c>
      <c r="W12" s="10">
        <v>0</v>
      </c>
      <c r="X12" s="10">
        <v>0</v>
      </c>
      <c r="Y12" s="10">
        <v>0</v>
      </c>
      <c r="Z12" s="10">
        <v>0</v>
      </c>
      <c r="AA12" s="10">
        <v>0</v>
      </c>
      <c r="AB12" s="10">
        <v>0</v>
      </c>
    </row>
    <row r="13" spans="1:28" x14ac:dyDescent="0.35">
      <c r="A13" s="98" t="s">
        <v>179</v>
      </c>
      <c r="B13" s="10">
        <v>0</v>
      </c>
      <c r="C13" s="10">
        <v>0</v>
      </c>
      <c r="D13" s="10">
        <v>0</v>
      </c>
      <c r="E13" s="10">
        <v>0</v>
      </c>
      <c r="F13" s="10">
        <v>0</v>
      </c>
      <c r="G13" s="10">
        <v>0</v>
      </c>
      <c r="H13" s="10">
        <v>0</v>
      </c>
      <c r="I13" s="10">
        <v>0</v>
      </c>
      <c r="J13" s="10">
        <v>0</v>
      </c>
      <c r="K13" s="10">
        <v>0</v>
      </c>
      <c r="L13" s="10">
        <v>0</v>
      </c>
      <c r="M13" s="10">
        <v>0</v>
      </c>
      <c r="N13" s="10">
        <v>0</v>
      </c>
      <c r="O13" s="10">
        <v>0</v>
      </c>
      <c r="P13" s="10">
        <v>0</v>
      </c>
      <c r="Q13" s="10">
        <v>0</v>
      </c>
      <c r="R13" s="10">
        <v>0</v>
      </c>
      <c r="S13" s="10">
        <v>0.5</v>
      </c>
      <c r="T13" s="10">
        <v>0</v>
      </c>
      <c r="U13" s="10">
        <v>0</v>
      </c>
      <c r="V13" s="10">
        <v>0</v>
      </c>
      <c r="W13" s="10">
        <v>0</v>
      </c>
      <c r="X13" s="10">
        <v>0</v>
      </c>
      <c r="Y13" s="10">
        <v>0</v>
      </c>
      <c r="Z13" s="10">
        <v>0</v>
      </c>
      <c r="AA13" s="10">
        <v>0</v>
      </c>
      <c r="AB13" s="10">
        <v>0</v>
      </c>
    </row>
    <row r="14" spans="1:28" x14ac:dyDescent="0.35">
      <c r="A14" s="98" t="s">
        <v>180</v>
      </c>
      <c r="B14" s="10">
        <v>0</v>
      </c>
      <c r="C14" s="10">
        <v>0</v>
      </c>
      <c r="D14" s="10">
        <v>0</v>
      </c>
      <c r="E14" s="10">
        <v>28</v>
      </c>
      <c r="F14" s="10">
        <v>5.32</v>
      </c>
      <c r="G14" s="10">
        <v>0</v>
      </c>
      <c r="H14" s="10">
        <v>0</v>
      </c>
      <c r="I14" s="10">
        <v>0</v>
      </c>
      <c r="J14" s="10">
        <v>0</v>
      </c>
      <c r="K14" s="10">
        <v>0</v>
      </c>
      <c r="L14" s="10">
        <v>0</v>
      </c>
      <c r="M14" s="10">
        <v>0</v>
      </c>
      <c r="N14" s="10">
        <v>0</v>
      </c>
      <c r="O14" s="10">
        <v>0</v>
      </c>
      <c r="P14" s="10">
        <v>0</v>
      </c>
      <c r="Q14" s="10">
        <v>0</v>
      </c>
      <c r="R14" s="10">
        <v>0</v>
      </c>
      <c r="S14" s="10">
        <v>1.4</v>
      </c>
      <c r="T14" s="10">
        <v>0</v>
      </c>
      <c r="U14" s="10">
        <v>0</v>
      </c>
      <c r="V14" s="10">
        <v>0</v>
      </c>
      <c r="W14" s="10">
        <v>0</v>
      </c>
      <c r="X14" s="10">
        <v>0</v>
      </c>
      <c r="Y14" s="10">
        <v>0</v>
      </c>
      <c r="Z14" s="10">
        <v>0</v>
      </c>
      <c r="AA14" s="10">
        <v>0</v>
      </c>
      <c r="AB14" s="10">
        <v>0</v>
      </c>
    </row>
    <row r="15" spans="1:28" x14ac:dyDescent="0.35">
      <c r="A15" s="98" t="s">
        <v>181</v>
      </c>
      <c r="B15" s="10">
        <v>66446.94</v>
      </c>
      <c r="C15" s="10">
        <v>66446.94</v>
      </c>
      <c r="D15" s="10">
        <v>66446.94</v>
      </c>
      <c r="E15" s="10">
        <v>66446.94</v>
      </c>
      <c r="F15" s="10">
        <v>66446.94</v>
      </c>
      <c r="G15" s="10">
        <v>650000</v>
      </c>
      <c r="H15" s="10">
        <v>393000</v>
      </c>
      <c r="I15" s="10">
        <v>650000</v>
      </c>
      <c r="J15" s="10">
        <v>393000</v>
      </c>
      <c r="K15" s="10">
        <v>149988</v>
      </c>
      <c r="L15" s="10">
        <v>128581.8</v>
      </c>
      <c r="M15" s="10">
        <v>126933</v>
      </c>
      <c r="N15" s="10">
        <v>126088</v>
      </c>
      <c r="O15" s="10">
        <v>149988</v>
      </c>
      <c r="P15" s="10">
        <v>128581.8</v>
      </c>
      <c r="Q15" s="10">
        <v>126933</v>
      </c>
      <c r="R15" s="10">
        <v>126088</v>
      </c>
      <c r="S15" s="10">
        <v>476186.76</v>
      </c>
      <c r="T15" s="10">
        <v>476186.76</v>
      </c>
      <c r="U15" s="10">
        <v>476186.76</v>
      </c>
      <c r="V15" s="10">
        <v>222090.14300000001</v>
      </c>
      <c r="W15" s="10">
        <v>52000</v>
      </c>
      <c r="X15" s="10">
        <v>2097520</v>
      </c>
      <c r="Y15" s="10">
        <v>75386.940300000002</v>
      </c>
      <c r="Z15" s="10">
        <v>6341</v>
      </c>
      <c r="AA15" s="10">
        <v>78791</v>
      </c>
      <c r="AB15" s="10">
        <v>15205.682519999998</v>
      </c>
    </row>
    <row r="16" spans="1:28" x14ac:dyDescent="0.35">
      <c r="A16" s="98" t="s">
        <v>182</v>
      </c>
      <c r="B16" s="10">
        <v>39</v>
      </c>
      <c r="C16" s="10">
        <v>39</v>
      </c>
      <c r="D16" s="10">
        <v>8</v>
      </c>
      <c r="E16" s="10">
        <v>0</v>
      </c>
      <c r="F16" s="10">
        <v>0</v>
      </c>
      <c r="G16" s="10">
        <v>0</v>
      </c>
      <c r="H16" s="10">
        <v>0</v>
      </c>
      <c r="I16" s="10">
        <v>0</v>
      </c>
      <c r="J16" s="10">
        <v>0</v>
      </c>
      <c r="K16" s="10">
        <v>0</v>
      </c>
      <c r="L16" s="10">
        <v>0</v>
      </c>
      <c r="M16" s="10">
        <v>0</v>
      </c>
      <c r="N16" s="10">
        <v>0</v>
      </c>
      <c r="O16" s="10">
        <v>0</v>
      </c>
      <c r="P16" s="10">
        <v>0</v>
      </c>
      <c r="Q16" s="10">
        <v>0</v>
      </c>
      <c r="R16" s="10">
        <v>0</v>
      </c>
      <c r="S16" s="10">
        <v>4</v>
      </c>
      <c r="T16" s="10">
        <v>4</v>
      </c>
      <c r="U16" s="10">
        <v>4</v>
      </c>
      <c r="V16" s="10">
        <v>300</v>
      </c>
      <c r="W16" s="10">
        <v>104</v>
      </c>
      <c r="X16" s="10">
        <v>0</v>
      </c>
      <c r="Y16" s="10">
        <v>0</v>
      </c>
      <c r="Z16" s="10">
        <v>5</v>
      </c>
      <c r="AA16" s="10">
        <v>9</v>
      </c>
      <c r="AB16" s="10">
        <v>0</v>
      </c>
    </row>
    <row r="17" spans="1:28" x14ac:dyDescent="0.35">
      <c r="A17" s="98" t="s">
        <v>183</v>
      </c>
      <c r="B17" s="10">
        <v>0</v>
      </c>
      <c r="C17" s="10">
        <v>0</v>
      </c>
      <c r="D17" s="10">
        <v>0</v>
      </c>
      <c r="E17" s="10">
        <v>0</v>
      </c>
      <c r="F17" s="10">
        <v>0</v>
      </c>
      <c r="G17" s="10">
        <v>0</v>
      </c>
      <c r="H17" s="10">
        <v>0</v>
      </c>
      <c r="I17" s="10">
        <v>0</v>
      </c>
      <c r="J17" s="10">
        <v>0</v>
      </c>
      <c r="K17" s="10">
        <v>0</v>
      </c>
      <c r="L17" s="10">
        <v>0</v>
      </c>
      <c r="M17" s="10">
        <v>0</v>
      </c>
      <c r="N17" s="10">
        <v>0</v>
      </c>
      <c r="O17" s="10">
        <v>0</v>
      </c>
      <c r="P17" s="10">
        <v>0</v>
      </c>
      <c r="Q17" s="10">
        <v>0</v>
      </c>
      <c r="R17" s="10">
        <v>0</v>
      </c>
      <c r="S17" s="10">
        <v>0</v>
      </c>
      <c r="T17" s="10">
        <v>0</v>
      </c>
      <c r="U17" s="10">
        <v>0</v>
      </c>
      <c r="V17" s="10">
        <v>0</v>
      </c>
      <c r="W17" s="10">
        <v>0</v>
      </c>
      <c r="X17" s="10">
        <v>0</v>
      </c>
      <c r="Y17" s="10">
        <v>0</v>
      </c>
      <c r="Z17" s="10">
        <v>0</v>
      </c>
      <c r="AA17" s="10">
        <v>0</v>
      </c>
      <c r="AB17" s="10">
        <v>0</v>
      </c>
    </row>
    <row r="18" spans="1:28" x14ac:dyDescent="0.35">
      <c r="A18" s="98" t="s">
        <v>184</v>
      </c>
      <c r="B18" s="10">
        <v>0</v>
      </c>
      <c r="C18" s="10">
        <v>0</v>
      </c>
      <c r="D18" s="10">
        <v>0</v>
      </c>
      <c r="E18" s="10">
        <v>0</v>
      </c>
      <c r="F18" s="10">
        <v>0</v>
      </c>
      <c r="G18" s="10">
        <v>2092</v>
      </c>
      <c r="H18" s="10">
        <v>3292</v>
      </c>
      <c r="I18" s="10">
        <v>1400</v>
      </c>
      <c r="J18" s="10">
        <v>2600</v>
      </c>
      <c r="K18" s="10">
        <v>0</v>
      </c>
      <c r="L18" s="10">
        <v>0</v>
      </c>
      <c r="M18" s="10">
        <v>0</v>
      </c>
      <c r="N18" s="10">
        <v>0</v>
      </c>
      <c r="O18" s="10">
        <v>0</v>
      </c>
      <c r="P18" s="10">
        <v>0</v>
      </c>
      <c r="Q18" s="10">
        <v>0</v>
      </c>
      <c r="R18" s="10">
        <v>0</v>
      </c>
      <c r="S18" s="10">
        <v>0</v>
      </c>
      <c r="T18" s="10">
        <v>0</v>
      </c>
      <c r="U18" s="10">
        <v>0</v>
      </c>
      <c r="V18" s="10">
        <v>100</v>
      </c>
      <c r="W18" s="10">
        <v>0</v>
      </c>
      <c r="X18" s="10">
        <v>0</v>
      </c>
      <c r="Y18" s="10">
        <v>0</v>
      </c>
      <c r="Z18" s="10">
        <v>2</v>
      </c>
      <c r="AA18" s="10">
        <v>0</v>
      </c>
      <c r="AB18" s="10">
        <v>0</v>
      </c>
    </row>
    <row r="19" spans="1:28" x14ac:dyDescent="0.35">
      <c r="A19" s="98" t="s">
        <v>185</v>
      </c>
      <c r="B19" s="10">
        <v>0</v>
      </c>
      <c r="C19" s="10">
        <v>0</v>
      </c>
      <c r="D19" s="10">
        <v>0</v>
      </c>
      <c r="E19" s="10">
        <v>0</v>
      </c>
      <c r="F19" s="10">
        <v>0</v>
      </c>
      <c r="G19" s="10">
        <v>1368</v>
      </c>
      <c r="H19" s="10">
        <v>5700</v>
      </c>
      <c r="I19" s="10">
        <v>736</v>
      </c>
      <c r="J19" s="10">
        <v>5700</v>
      </c>
      <c r="K19" s="10">
        <v>790</v>
      </c>
      <c r="L19" s="10">
        <v>780</v>
      </c>
      <c r="M19" s="10">
        <v>790</v>
      </c>
      <c r="N19" s="10">
        <v>800</v>
      </c>
      <c r="O19" s="10">
        <v>790</v>
      </c>
      <c r="P19" s="10">
        <v>780</v>
      </c>
      <c r="Q19" s="10">
        <v>790</v>
      </c>
      <c r="R19" s="10">
        <v>800</v>
      </c>
      <c r="S19" s="10">
        <v>147.69</v>
      </c>
      <c r="T19" s="10">
        <v>147.69</v>
      </c>
      <c r="U19" s="10">
        <v>147.69</v>
      </c>
      <c r="V19" s="10">
        <v>200</v>
      </c>
      <c r="W19" s="10">
        <v>0</v>
      </c>
      <c r="X19" s="10">
        <v>4325</v>
      </c>
      <c r="Y19" s="10">
        <v>4.63</v>
      </c>
      <c r="Z19" s="10">
        <v>27</v>
      </c>
      <c r="AA19" s="10">
        <v>359</v>
      </c>
      <c r="AB19" s="10">
        <v>0</v>
      </c>
    </row>
    <row r="20" spans="1:28" x14ac:dyDescent="0.35">
      <c r="A20" s="98" t="s">
        <v>186</v>
      </c>
      <c r="B20" s="10">
        <v>200</v>
      </c>
      <c r="C20" s="10">
        <v>200</v>
      </c>
      <c r="D20" s="10">
        <v>200</v>
      </c>
      <c r="E20" s="10">
        <v>200</v>
      </c>
      <c r="F20" s="10">
        <v>200</v>
      </c>
      <c r="G20" s="10">
        <v>200</v>
      </c>
      <c r="H20" s="10">
        <v>56</v>
      </c>
      <c r="I20" s="10">
        <v>200</v>
      </c>
      <c r="J20" s="10">
        <v>56</v>
      </c>
      <c r="K20" s="10">
        <v>109</v>
      </c>
      <c r="L20" s="10">
        <v>99</v>
      </c>
      <c r="M20" s="10">
        <v>109</v>
      </c>
      <c r="N20" s="10">
        <v>119</v>
      </c>
      <c r="O20" s="10">
        <v>109</v>
      </c>
      <c r="P20" s="10">
        <v>99</v>
      </c>
      <c r="Q20" s="10">
        <v>109</v>
      </c>
      <c r="R20" s="10">
        <v>119</v>
      </c>
      <c r="S20" s="10">
        <v>70.8</v>
      </c>
      <c r="T20" s="10">
        <v>70.8</v>
      </c>
      <c r="U20" s="10">
        <v>70.8</v>
      </c>
      <c r="V20" s="10">
        <v>250</v>
      </c>
      <c r="W20" s="10">
        <v>0</v>
      </c>
      <c r="X20" s="10">
        <v>7209</v>
      </c>
      <c r="Y20" s="10">
        <v>0</v>
      </c>
      <c r="Z20" s="10">
        <v>0</v>
      </c>
      <c r="AA20" s="10">
        <v>0</v>
      </c>
      <c r="AB20" s="10">
        <v>0</v>
      </c>
    </row>
    <row r="21" spans="1:28" x14ac:dyDescent="0.35">
      <c r="A21" s="98" t="s">
        <v>187</v>
      </c>
      <c r="B21" s="10">
        <v>0</v>
      </c>
      <c r="C21" s="10">
        <v>0</v>
      </c>
      <c r="D21" s="10">
        <v>0</v>
      </c>
      <c r="E21" s="10">
        <v>0</v>
      </c>
      <c r="F21" s="10">
        <v>0</v>
      </c>
      <c r="G21" s="10">
        <v>0</v>
      </c>
      <c r="H21" s="10">
        <v>0</v>
      </c>
      <c r="I21" s="10">
        <v>0</v>
      </c>
      <c r="J21" s="10">
        <v>0</v>
      </c>
      <c r="K21" s="10">
        <v>28</v>
      </c>
      <c r="L21" s="10">
        <v>12</v>
      </c>
      <c r="M21" s="10">
        <v>186</v>
      </c>
      <c r="N21" s="10">
        <v>51</v>
      </c>
      <c r="O21" s="10">
        <v>28</v>
      </c>
      <c r="P21" s="10">
        <v>12</v>
      </c>
      <c r="Q21" s="10">
        <v>186</v>
      </c>
      <c r="R21" s="10">
        <v>51</v>
      </c>
      <c r="S21" s="10">
        <v>0</v>
      </c>
      <c r="T21" s="10">
        <v>0</v>
      </c>
      <c r="U21" s="10">
        <v>0</v>
      </c>
      <c r="V21" s="10">
        <v>0</v>
      </c>
      <c r="W21" s="10">
        <v>0</v>
      </c>
      <c r="X21" s="10">
        <v>0</v>
      </c>
      <c r="Y21" s="10">
        <v>0</v>
      </c>
      <c r="Z21" s="10">
        <v>0</v>
      </c>
      <c r="AA21" s="10">
        <v>0</v>
      </c>
      <c r="AB21" s="10">
        <v>0</v>
      </c>
    </row>
    <row r="22" spans="1:28" x14ac:dyDescent="0.35">
      <c r="A22" s="98" t="s">
        <v>188</v>
      </c>
      <c r="B22" s="10">
        <v>1.3</v>
      </c>
      <c r="C22" s="10">
        <v>1.3</v>
      </c>
      <c r="D22" s="10">
        <v>16</v>
      </c>
      <c r="E22" s="10">
        <v>0</v>
      </c>
      <c r="F22" s="10">
        <v>0</v>
      </c>
      <c r="G22" s="10">
        <v>705.5</v>
      </c>
      <c r="H22" s="10">
        <v>1800</v>
      </c>
      <c r="I22" s="10">
        <v>940</v>
      </c>
      <c r="J22" s="10">
        <v>1800</v>
      </c>
      <c r="K22" s="10">
        <v>340</v>
      </c>
      <c r="L22" s="10">
        <v>430</v>
      </c>
      <c r="M22" s="10">
        <v>240</v>
      </c>
      <c r="N22" s="10">
        <v>440</v>
      </c>
      <c r="O22" s="10">
        <v>340</v>
      </c>
      <c r="P22" s="10">
        <v>430</v>
      </c>
      <c r="Q22" s="10">
        <v>240</v>
      </c>
      <c r="R22" s="10">
        <v>440</v>
      </c>
      <c r="S22" s="10">
        <v>1297.4000000000001</v>
      </c>
      <c r="T22" s="10">
        <v>1297.4000000000001</v>
      </c>
      <c r="U22" s="10">
        <v>1297.4000000000001</v>
      </c>
      <c r="V22" s="10">
        <v>0</v>
      </c>
      <c r="W22" s="10">
        <v>20</v>
      </c>
      <c r="X22" s="10">
        <v>120155</v>
      </c>
      <c r="Y22" s="10">
        <v>721.04</v>
      </c>
      <c r="Z22" s="10">
        <v>15.75</v>
      </c>
      <c r="AA22" s="10">
        <v>676</v>
      </c>
      <c r="AB22" s="10">
        <v>0</v>
      </c>
    </row>
    <row r="23" spans="1:28" x14ac:dyDescent="0.35">
      <c r="A23" s="98" t="s">
        <v>189</v>
      </c>
      <c r="B23" s="10">
        <v>0</v>
      </c>
      <c r="C23" s="10">
        <v>0</v>
      </c>
      <c r="D23" s="10">
        <v>0</v>
      </c>
      <c r="E23" s="10">
        <v>0</v>
      </c>
      <c r="F23" s="10">
        <v>0</v>
      </c>
      <c r="G23" s="10">
        <v>0</v>
      </c>
      <c r="H23" s="10">
        <v>140</v>
      </c>
      <c r="I23" s="10">
        <v>0</v>
      </c>
      <c r="J23" s="10">
        <v>140</v>
      </c>
      <c r="K23" s="10">
        <v>0</v>
      </c>
      <c r="L23" s="10">
        <v>0</v>
      </c>
      <c r="M23" s="10">
        <v>0</v>
      </c>
      <c r="N23" s="10">
        <v>0</v>
      </c>
      <c r="O23" s="10">
        <v>0</v>
      </c>
      <c r="P23" s="10">
        <v>0</v>
      </c>
      <c r="Q23" s="10">
        <v>0</v>
      </c>
      <c r="R23" s="10">
        <v>0</v>
      </c>
      <c r="S23" s="10">
        <v>2</v>
      </c>
      <c r="T23" s="10">
        <v>2</v>
      </c>
      <c r="U23" s="10">
        <v>2</v>
      </c>
      <c r="V23" s="10">
        <v>0</v>
      </c>
      <c r="W23" s="10">
        <v>0</v>
      </c>
      <c r="X23" s="10">
        <v>128</v>
      </c>
      <c r="Y23" s="10">
        <v>0</v>
      </c>
      <c r="Z23" s="10">
        <v>0</v>
      </c>
      <c r="AA23" s="10">
        <v>0</v>
      </c>
      <c r="AB23" s="10">
        <v>0</v>
      </c>
    </row>
    <row r="24" spans="1:28" x14ac:dyDescent="0.35">
      <c r="A24" s="98" t="s">
        <v>190</v>
      </c>
      <c r="B24" s="10">
        <v>8600</v>
      </c>
      <c r="C24" s="10">
        <v>8600</v>
      </c>
      <c r="D24" s="10">
        <v>8600</v>
      </c>
      <c r="E24" s="10">
        <v>8600</v>
      </c>
      <c r="F24" s="10">
        <v>8600</v>
      </c>
      <c r="G24" s="10">
        <v>100</v>
      </c>
      <c r="H24" s="10">
        <v>100</v>
      </c>
      <c r="I24" s="10">
        <v>100</v>
      </c>
      <c r="J24" s="10">
        <v>100</v>
      </c>
      <c r="K24" s="10">
        <v>4600</v>
      </c>
      <c r="L24" s="10">
        <v>4600</v>
      </c>
      <c r="M24" s="10">
        <v>4600</v>
      </c>
      <c r="N24" s="10">
        <v>4600</v>
      </c>
      <c r="O24" s="10">
        <v>4600</v>
      </c>
      <c r="P24" s="10">
        <v>4600</v>
      </c>
      <c r="Q24" s="10">
        <v>4600</v>
      </c>
      <c r="R24" s="10">
        <v>4600</v>
      </c>
      <c r="S24" s="10">
        <v>0</v>
      </c>
      <c r="T24" s="10">
        <v>0</v>
      </c>
      <c r="U24" s="10">
        <v>0</v>
      </c>
      <c r="V24" s="10">
        <v>0</v>
      </c>
      <c r="W24" s="10">
        <v>0</v>
      </c>
      <c r="X24" s="10">
        <v>732</v>
      </c>
      <c r="Y24" s="10">
        <v>0</v>
      </c>
      <c r="Z24" s="10">
        <v>0</v>
      </c>
      <c r="AA24" s="10">
        <v>0</v>
      </c>
      <c r="AB24" s="10">
        <v>0</v>
      </c>
    </row>
    <row r="25" spans="1:28" x14ac:dyDescent="0.35">
      <c r="A25" s="98" t="s">
        <v>191</v>
      </c>
      <c r="B25" s="10">
        <v>0</v>
      </c>
      <c r="C25" s="10">
        <v>0</v>
      </c>
      <c r="D25" s="10">
        <v>0</v>
      </c>
      <c r="E25" s="10">
        <v>0</v>
      </c>
      <c r="F25" s="10">
        <v>0</v>
      </c>
      <c r="G25" s="10">
        <v>0</v>
      </c>
      <c r="H25" s="10">
        <v>0</v>
      </c>
      <c r="I25" s="10">
        <v>0</v>
      </c>
      <c r="J25" s="10">
        <v>0</v>
      </c>
      <c r="K25" s="10">
        <v>9</v>
      </c>
      <c r="L25" s="10">
        <v>0</v>
      </c>
      <c r="M25" s="10">
        <v>35</v>
      </c>
      <c r="N25" s="10">
        <v>4</v>
      </c>
      <c r="O25" s="10">
        <v>9</v>
      </c>
      <c r="P25" s="10">
        <v>0</v>
      </c>
      <c r="Q25" s="10">
        <v>35</v>
      </c>
      <c r="R25" s="10">
        <v>4</v>
      </c>
      <c r="S25" s="10">
        <v>0</v>
      </c>
      <c r="T25" s="10">
        <v>0</v>
      </c>
      <c r="U25" s="10">
        <v>0</v>
      </c>
      <c r="V25" s="10">
        <v>0</v>
      </c>
      <c r="W25" s="10">
        <v>0</v>
      </c>
      <c r="X25" s="10">
        <v>0</v>
      </c>
      <c r="Y25" s="10">
        <v>0</v>
      </c>
      <c r="Z25" s="10">
        <v>0</v>
      </c>
      <c r="AA25" s="10">
        <v>0</v>
      </c>
      <c r="AB25" s="10">
        <v>0</v>
      </c>
    </row>
    <row r="26" spans="1:28" x14ac:dyDescent="0.35">
      <c r="A26" s="98" t="s">
        <v>192</v>
      </c>
      <c r="B26" s="10">
        <v>0</v>
      </c>
      <c r="C26" s="10">
        <v>0</v>
      </c>
      <c r="D26" s="10">
        <v>0</v>
      </c>
      <c r="E26" s="10">
        <v>61</v>
      </c>
      <c r="F26" s="10">
        <v>0</v>
      </c>
      <c r="G26" s="10">
        <v>0</v>
      </c>
      <c r="H26" s="10">
        <v>0</v>
      </c>
      <c r="I26" s="10">
        <v>0</v>
      </c>
      <c r="J26" s="10">
        <v>0</v>
      </c>
      <c r="K26" s="10">
        <v>0</v>
      </c>
      <c r="L26" s="10">
        <v>0</v>
      </c>
      <c r="M26" s="10">
        <v>0</v>
      </c>
      <c r="N26" s="10">
        <v>0</v>
      </c>
      <c r="O26" s="10">
        <v>0</v>
      </c>
      <c r="P26" s="10">
        <v>0</v>
      </c>
      <c r="Q26" s="10">
        <v>0</v>
      </c>
      <c r="R26" s="10">
        <v>0</v>
      </c>
      <c r="S26" s="10">
        <v>0</v>
      </c>
      <c r="T26" s="10">
        <v>0</v>
      </c>
      <c r="U26" s="10">
        <v>0</v>
      </c>
      <c r="V26" s="10">
        <v>0</v>
      </c>
      <c r="W26" s="10">
        <v>0</v>
      </c>
      <c r="X26" s="10">
        <v>0</v>
      </c>
      <c r="Y26" s="10">
        <v>0</v>
      </c>
      <c r="Z26" s="10">
        <v>0</v>
      </c>
      <c r="AA26" s="10">
        <v>0</v>
      </c>
      <c r="AB26" s="10">
        <v>0</v>
      </c>
    </row>
    <row r="27" spans="1:28" x14ac:dyDescent="0.35">
      <c r="A27" s="98" t="s">
        <v>193</v>
      </c>
      <c r="B27" s="10">
        <v>4000</v>
      </c>
      <c r="C27" s="10">
        <v>4000</v>
      </c>
      <c r="D27" s="10">
        <v>0</v>
      </c>
      <c r="E27" s="10">
        <v>0</v>
      </c>
      <c r="F27" s="10">
        <v>150</v>
      </c>
      <c r="G27" s="10">
        <v>0</v>
      </c>
      <c r="H27" s="10">
        <v>0</v>
      </c>
      <c r="I27" s="10">
        <v>0</v>
      </c>
      <c r="J27" s="10">
        <v>0</v>
      </c>
      <c r="K27" s="10">
        <v>0</v>
      </c>
      <c r="L27" s="10">
        <v>0</v>
      </c>
      <c r="M27" s="10">
        <v>0</v>
      </c>
      <c r="N27" s="10">
        <v>0</v>
      </c>
      <c r="O27" s="10">
        <v>0</v>
      </c>
      <c r="P27" s="10">
        <v>0</v>
      </c>
      <c r="Q27" s="10">
        <v>0</v>
      </c>
      <c r="R27" s="10">
        <v>0</v>
      </c>
      <c r="S27" s="10">
        <v>0</v>
      </c>
      <c r="T27" s="10">
        <v>0</v>
      </c>
      <c r="U27" s="10">
        <v>0</v>
      </c>
      <c r="V27" s="10">
        <v>0</v>
      </c>
      <c r="W27" s="10">
        <v>0</v>
      </c>
      <c r="X27" s="10">
        <v>0</v>
      </c>
      <c r="Y27" s="10">
        <v>0</v>
      </c>
      <c r="Z27" s="10">
        <v>0</v>
      </c>
      <c r="AA27" s="10">
        <v>0</v>
      </c>
      <c r="AB27" s="10">
        <v>0</v>
      </c>
    </row>
    <row r="28" spans="1:28" x14ac:dyDescent="0.35">
      <c r="A28" s="98" t="s">
        <v>194</v>
      </c>
      <c r="B28" s="10">
        <v>30</v>
      </c>
      <c r="C28" s="10">
        <v>0</v>
      </c>
      <c r="D28" s="10">
        <v>0</v>
      </c>
      <c r="E28" s="10">
        <v>0</v>
      </c>
      <c r="F28" s="10">
        <v>0</v>
      </c>
      <c r="G28" s="10">
        <v>0</v>
      </c>
      <c r="H28" s="10">
        <v>0</v>
      </c>
      <c r="I28" s="10">
        <v>13</v>
      </c>
      <c r="J28" s="10">
        <v>16</v>
      </c>
      <c r="K28" s="10">
        <v>0</v>
      </c>
      <c r="L28" s="10">
        <v>0</v>
      </c>
      <c r="M28" s="10">
        <v>0</v>
      </c>
      <c r="N28" s="10">
        <v>0</v>
      </c>
      <c r="O28" s="10">
        <v>0</v>
      </c>
      <c r="P28" s="10">
        <v>0</v>
      </c>
      <c r="Q28" s="10">
        <v>0</v>
      </c>
      <c r="R28" s="10">
        <v>0</v>
      </c>
      <c r="S28" s="10">
        <v>7.5</v>
      </c>
      <c r="T28" s="10">
        <v>0</v>
      </c>
      <c r="U28" s="10">
        <v>0</v>
      </c>
      <c r="V28" s="10">
        <v>0</v>
      </c>
      <c r="W28" s="10">
        <v>0</v>
      </c>
      <c r="X28" s="10">
        <v>0</v>
      </c>
      <c r="Y28" s="10">
        <v>0</v>
      </c>
      <c r="Z28" s="10">
        <v>0</v>
      </c>
      <c r="AA28" s="10">
        <v>0</v>
      </c>
      <c r="AB28" s="10">
        <v>0</v>
      </c>
    </row>
    <row r="29" spans="1:28" x14ac:dyDescent="0.35">
      <c r="A29" s="98" t="s">
        <v>195</v>
      </c>
      <c r="B29" s="10">
        <v>0</v>
      </c>
      <c r="C29" s="10">
        <v>0</v>
      </c>
      <c r="D29" s="10">
        <v>0</v>
      </c>
      <c r="E29" s="10">
        <v>0</v>
      </c>
      <c r="F29" s="10">
        <v>0</v>
      </c>
      <c r="G29" s="10">
        <v>0</v>
      </c>
      <c r="H29" s="10">
        <v>0</v>
      </c>
      <c r="I29" s="10">
        <v>0</v>
      </c>
      <c r="J29" s="10">
        <v>0</v>
      </c>
      <c r="K29" s="10">
        <v>0</v>
      </c>
      <c r="L29" s="10">
        <v>0</v>
      </c>
      <c r="M29" s="10">
        <v>0</v>
      </c>
      <c r="N29" s="10">
        <v>0</v>
      </c>
      <c r="O29" s="10">
        <v>0</v>
      </c>
      <c r="P29" s="10">
        <v>0</v>
      </c>
      <c r="Q29" s="10">
        <v>0</v>
      </c>
      <c r="R29" s="10">
        <v>0</v>
      </c>
      <c r="S29" s="10">
        <v>0</v>
      </c>
      <c r="T29" s="10">
        <v>0</v>
      </c>
      <c r="U29" s="10">
        <v>0</v>
      </c>
      <c r="V29" s="10">
        <v>0</v>
      </c>
      <c r="W29" s="10">
        <v>0</v>
      </c>
      <c r="X29" s="10">
        <v>64</v>
      </c>
      <c r="Y29" s="10">
        <v>0</v>
      </c>
      <c r="Z29" s="10">
        <v>0</v>
      </c>
      <c r="AA29" s="10">
        <v>0</v>
      </c>
      <c r="AB29" s="10">
        <v>0</v>
      </c>
    </row>
    <row r="30" spans="1:28" x14ac:dyDescent="0.35">
      <c r="A30" s="98" t="s">
        <v>196</v>
      </c>
      <c r="B30" s="10">
        <v>0</v>
      </c>
      <c r="C30" s="10">
        <v>0</v>
      </c>
      <c r="D30" s="10">
        <v>92</v>
      </c>
      <c r="E30" s="10">
        <v>0</v>
      </c>
      <c r="F30" s="10">
        <v>0</v>
      </c>
      <c r="G30" s="10">
        <v>0</v>
      </c>
      <c r="H30" s="10">
        <v>0</v>
      </c>
      <c r="I30" s="10">
        <v>0</v>
      </c>
      <c r="J30" s="10">
        <v>0</v>
      </c>
      <c r="K30" s="10">
        <v>0</v>
      </c>
      <c r="L30" s="10">
        <v>0</v>
      </c>
      <c r="M30" s="10">
        <v>0</v>
      </c>
      <c r="N30" s="10">
        <v>0</v>
      </c>
      <c r="O30" s="10">
        <v>0</v>
      </c>
      <c r="P30" s="10">
        <v>0</v>
      </c>
      <c r="Q30" s="10">
        <v>0</v>
      </c>
      <c r="R30" s="10">
        <v>0</v>
      </c>
      <c r="S30" s="10">
        <v>0</v>
      </c>
      <c r="T30" s="10">
        <v>0</v>
      </c>
      <c r="U30" s="10">
        <v>0</v>
      </c>
      <c r="V30" s="10">
        <v>0</v>
      </c>
      <c r="W30" s="10">
        <v>0</v>
      </c>
      <c r="X30" s="10">
        <v>0</v>
      </c>
      <c r="Y30" s="10">
        <v>0</v>
      </c>
      <c r="Z30" s="10">
        <v>0</v>
      </c>
      <c r="AA30" s="10">
        <v>0</v>
      </c>
      <c r="AB30" s="10">
        <v>0</v>
      </c>
    </row>
    <row r="31" spans="1:28" x14ac:dyDescent="0.35">
      <c r="A31" s="98" t="s">
        <v>197</v>
      </c>
      <c r="B31" s="10">
        <v>0</v>
      </c>
      <c r="C31" s="10">
        <v>0</v>
      </c>
      <c r="D31" s="10">
        <v>0</v>
      </c>
      <c r="E31" s="10">
        <v>0</v>
      </c>
      <c r="F31" s="10">
        <v>0</v>
      </c>
      <c r="G31" s="10">
        <v>0</v>
      </c>
      <c r="H31" s="10">
        <v>0</v>
      </c>
      <c r="I31" s="10">
        <v>0</v>
      </c>
      <c r="J31" s="10">
        <v>0</v>
      </c>
      <c r="K31" s="10">
        <v>1</v>
      </c>
      <c r="L31" s="10">
        <v>0</v>
      </c>
      <c r="M31" s="10">
        <v>7</v>
      </c>
      <c r="N31" s="10">
        <v>1</v>
      </c>
      <c r="O31" s="10">
        <v>1</v>
      </c>
      <c r="P31" s="10">
        <v>0</v>
      </c>
      <c r="Q31" s="10">
        <v>7</v>
      </c>
      <c r="R31" s="10">
        <v>1</v>
      </c>
      <c r="S31" s="10">
        <v>0</v>
      </c>
      <c r="T31" s="10">
        <v>0</v>
      </c>
      <c r="U31" s="10">
        <v>0</v>
      </c>
      <c r="V31" s="10">
        <v>0</v>
      </c>
      <c r="W31" s="10">
        <v>0</v>
      </c>
      <c r="X31" s="10">
        <v>0</v>
      </c>
      <c r="Y31" s="10">
        <v>0</v>
      </c>
      <c r="Z31" s="10">
        <v>0</v>
      </c>
      <c r="AA31" s="10">
        <v>0</v>
      </c>
      <c r="AB31" s="10">
        <v>0</v>
      </c>
    </row>
    <row r="32" spans="1:28" x14ac:dyDescent="0.35">
      <c r="A32" s="98" t="s">
        <v>198</v>
      </c>
      <c r="B32" s="10">
        <v>332</v>
      </c>
      <c r="C32" s="10">
        <v>332</v>
      </c>
      <c r="D32" s="10">
        <v>332</v>
      </c>
      <c r="E32" s="10">
        <v>332</v>
      </c>
      <c r="F32" s="10">
        <v>332</v>
      </c>
      <c r="G32" s="10">
        <v>0</v>
      </c>
      <c r="H32" s="10">
        <v>0</v>
      </c>
      <c r="I32" s="10">
        <v>0</v>
      </c>
      <c r="J32" s="10">
        <v>0</v>
      </c>
      <c r="K32" s="10">
        <v>0</v>
      </c>
      <c r="L32" s="10">
        <v>0</v>
      </c>
      <c r="M32" s="10">
        <v>0</v>
      </c>
      <c r="N32" s="10">
        <v>0</v>
      </c>
      <c r="O32" s="10">
        <v>0</v>
      </c>
      <c r="P32" s="10">
        <v>0</v>
      </c>
      <c r="Q32" s="10">
        <v>0</v>
      </c>
      <c r="R32" s="10">
        <v>0</v>
      </c>
      <c r="S32" s="10">
        <v>5</v>
      </c>
      <c r="T32" s="10">
        <v>5</v>
      </c>
      <c r="U32" s="10">
        <v>5</v>
      </c>
      <c r="V32" s="10">
        <v>0</v>
      </c>
      <c r="W32" s="10">
        <v>0</v>
      </c>
      <c r="X32" s="10">
        <v>0</v>
      </c>
      <c r="Y32" s="10">
        <v>0</v>
      </c>
      <c r="Z32" s="10">
        <v>0</v>
      </c>
      <c r="AA32" s="10">
        <v>0</v>
      </c>
      <c r="AB32" s="10">
        <v>0</v>
      </c>
    </row>
    <row r="33" spans="1:28" x14ac:dyDescent="0.35">
      <c r="A33" s="98" t="s">
        <v>199</v>
      </c>
      <c r="B33" s="10">
        <v>0</v>
      </c>
      <c r="C33" s="10">
        <v>0</v>
      </c>
      <c r="D33" s="10">
        <v>0</v>
      </c>
      <c r="E33" s="10">
        <v>0</v>
      </c>
      <c r="F33" s="10">
        <v>0</v>
      </c>
      <c r="G33" s="10">
        <v>0</v>
      </c>
      <c r="H33" s="10">
        <v>0</v>
      </c>
      <c r="I33" s="10">
        <v>0</v>
      </c>
      <c r="J33" s="10">
        <v>0</v>
      </c>
      <c r="K33" s="10">
        <v>0</v>
      </c>
      <c r="L33" s="10">
        <v>0</v>
      </c>
      <c r="M33" s="10">
        <v>0</v>
      </c>
      <c r="N33" s="10">
        <v>0</v>
      </c>
      <c r="O33" s="10">
        <v>0</v>
      </c>
      <c r="P33" s="10">
        <v>0</v>
      </c>
      <c r="Q33" s="10">
        <v>0</v>
      </c>
      <c r="R33" s="10">
        <v>0</v>
      </c>
      <c r="S33" s="10">
        <v>5</v>
      </c>
      <c r="T33" s="10">
        <v>5</v>
      </c>
      <c r="U33" s="10">
        <v>5</v>
      </c>
      <c r="V33" s="10">
        <v>0</v>
      </c>
      <c r="W33" s="10">
        <v>0</v>
      </c>
      <c r="X33" s="10">
        <v>0</v>
      </c>
      <c r="Y33" s="10">
        <v>0</v>
      </c>
      <c r="Z33" s="10">
        <v>0</v>
      </c>
      <c r="AA33" s="10">
        <v>0</v>
      </c>
      <c r="AB33" s="10">
        <v>0</v>
      </c>
    </row>
    <row r="34" spans="1:28" x14ac:dyDescent="0.35">
      <c r="A34" s="98" t="s">
        <v>200</v>
      </c>
      <c r="B34" s="10">
        <v>0</v>
      </c>
      <c r="C34" s="10">
        <v>0</v>
      </c>
      <c r="D34" s="10">
        <v>0</v>
      </c>
      <c r="E34" s="10">
        <v>0</v>
      </c>
      <c r="F34" s="10">
        <v>0</v>
      </c>
      <c r="G34" s="10">
        <v>0</v>
      </c>
      <c r="H34" s="10">
        <v>0</v>
      </c>
      <c r="I34" s="10">
        <v>0</v>
      </c>
      <c r="J34" s="10">
        <v>0</v>
      </c>
      <c r="K34" s="10">
        <v>0</v>
      </c>
      <c r="L34" s="10">
        <v>0</v>
      </c>
      <c r="M34" s="10">
        <v>0</v>
      </c>
      <c r="N34" s="10">
        <v>0</v>
      </c>
      <c r="O34" s="10">
        <v>0</v>
      </c>
      <c r="P34" s="10">
        <v>0</v>
      </c>
      <c r="Q34" s="10">
        <v>0</v>
      </c>
      <c r="R34" s="10">
        <v>0</v>
      </c>
      <c r="S34" s="10">
        <v>3</v>
      </c>
      <c r="T34" s="10">
        <v>1.2</v>
      </c>
      <c r="U34" s="10">
        <v>1.7</v>
      </c>
      <c r="V34" s="10">
        <v>0</v>
      </c>
      <c r="W34" s="10">
        <v>0</v>
      </c>
      <c r="X34" s="10">
        <v>0</v>
      </c>
      <c r="Y34" s="10">
        <v>0</v>
      </c>
      <c r="Z34" s="10">
        <v>0</v>
      </c>
      <c r="AA34" s="10">
        <v>0</v>
      </c>
      <c r="AB34" s="10">
        <v>0</v>
      </c>
    </row>
    <row r="35" spans="1:28" x14ac:dyDescent="0.35">
      <c r="A35" s="98" t="s">
        <v>201</v>
      </c>
      <c r="B35" s="10">
        <v>0</v>
      </c>
      <c r="C35" s="10">
        <v>0</v>
      </c>
      <c r="D35" s="10">
        <v>0</v>
      </c>
      <c r="E35" s="10">
        <v>0</v>
      </c>
      <c r="F35" s="10">
        <v>0</v>
      </c>
      <c r="G35" s="10">
        <v>0</v>
      </c>
      <c r="H35" s="10">
        <v>0</v>
      </c>
      <c r="I35" s="10">
        <v>0</v>
      </c>
      <c r="J35" s="10">
        <v>0</v>
      </c>
      <c r="K35" s="10">
        <v>0</v>
      </c>
      <c r="L35" s="10">
        <v>0</v>
      </c>
      <c r="M35" s="10">
        <v>0</v>
      </c>
      <c r="N35" s="10">
        <v>0</v>
      </c>
      <c r="O35" s="10">
        <v>0</v>
      </c>
      <c r="P35" s="10">
        <v>0</v>
      </c>
      <c r="Q35" s="10">
        <v>0</v>
      </c>
      <c r="R35" s="10">
        <v>0</v>
      </c>
      <c r="S35" s="10">
        <v>1</v>
      </c>
      <c r="T35" s="10">
        <v>1</v>
      </c>
      <c r="U35" s="10">
        <v>1</v>
      </c>
      <c r="V35" s="10">
        <v>0</v>
      </c>
      <c r="W35" s="10">
        <v>0</v>
      </c>
      <c r="X35" s="10">
        <v>0</v>
      </c>
      <c r="Y35" s="10">
        <v>0</v>
      </c>
      <c r="Z35" s="10">
        <v>0</v>
      </c>
      <c r="AA35" s="10">
        <v>0</v>
      </c>
      <c r="AB35" s="10">
        <v>0</v>
      </c>
    </row>
    <row r="36" spans="1:28" x14ac:dyDescent="0.35">
      <c r="A36" s="98" t="s">
        <v>202</v>
      </c>
      <c r="B36" s="10">
        <v>1400</v>
      </c>
      <c r="C36" s="10">
        <v>1400</v>
      </c>
      <c r="D36" s="10">
        <v>1400</v>
      </c>
      <c r="E36" s="10">
        <v>1400</v>
      </c>
      <c r="F36" s="10">
        <v>1400</v>
      </c>
      <c r="G36" s="10">
        <v>650</v>
      </c>
      <c r="H36" s="10">
        <v>1400</v>
      </c>
      <c r="I36" s="10">
        <v>650</v>
      </c>
      <c r="J36" s="10">
        <v>1400</v>
      </c>
      <c r="K36" s="10">
        <v>5500</v>
      </c>
      <c r="L36" s="10">
        <v>5500</v>
      </c>
      <c r="M36" s="10">
        <v>5500</v>
      </c>
      <c r="N36" s="10">
        <v>5500</v>
      </c>
      <c r="O36" s="10">
        <v>5500</v>
      </c>
      <c r="P36" s="10">
        <v>5500</v>
      </c>
      <c r="Q36" s="10">
        <v>5500</v>
      </c>
      <c r="R36" s="10">
        <v>5500</v>
      </c>
      <c r="S36" s="10">
        <v>48</v>
      </c>
      <c r="T36" s="10">
        <v>48</v>
      </c>
      <c r="U36" s="10">
        <v>48</v>
      </c>
      <c r="V36" s="10">
        <v>400</v>
      </c>
      <c r="W36" s="10">
        <v>160</v>
      </c>
      <c r="X36" s="10">
        <v>0</v>
      </c>
      <c r="Y36" s="10">
        <v>0</v>
      </c>
      <c r="Z36" s="10">
        <v>20</v>
      </c>
      <c r="AA36" s="10">
        <v>40</v>
      </c>
      <c r="AB36" s="10">
        <v>0</v>
      </c>
    </row>
    <row r="37" spans="1:28" x14ac:dyDescent="0.35">
      <c r="A37" s="98" t="s">
        <v>203</v>
      </c>
      <c r="B37" s="10">
        <v>0</v>
      </c>
      <c r="C37" s="10">
        <v>0</v>
      </c>
      <c r="D37" s="10">
        <v>0</v>
      </c>
      <c r="E37" s="10">
        <v>0</v>
      </c>
      <c r="F37" s="10">
        <v>0</v>
      </c>
      <c r="G37" s="10">
        <v>0</v>
      </c>
      <c r="H37" s="10">
        <v>0</v>
      </c>
      <c r="I37" s="10">
        <v>0</v>
      </c>
      <c r="J37" s="10">
        <v>0</v>
      </c>
      <c r="K37" s="10">
        <v>0</v>
      </c>
      <c r="L37" s="10">
        <v>0</v>
      </c>
      <c r="M37" s="10">
        <v>0</v>
      </c>
      <c r="N37" s="10">
        <v>0</v>
      </c>
      <c r="O37" s="10">
        <v>0</v>
      </c>
      <c r="P37" s="10">
        <v>0</v>
      </c>
      <c r="Q37" s="10">
        <v>0</v>
      </c>
      <c r="R37" s="10">
        <v>0</v>
      </c>
      <c r="S37" s="10">
        <v>31</v>
      </c>
      <c r="T37" s="10">
        <v>31</v>
      </c>
      <c r="U37" s="10">
        <v>31</v>
      </c>
      <c r="V37" s="10">
        <v>0</v>
      </c>
      <c r="W37" s="10">
        <v>0</v>
      </c>
      <c r="X37" s="10">
        <v>0</v>
      </c>
      <c r="Y37" s="10">
        <v>0</v>
      </c>
      <c r="Z37" s="10">
        <v>0</v>
      </c>
      <c r="AA37" s="10">
        <v>0</v>
      </c>
      <c r="AB37" s="10">
        <v>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FB46F6-D1AD-4ADA-A4DC-DB031174D8EB}">
  <sheetPr>
    <tabColor theme="7" tint="0.59999389629810485"/>
  </sheetPr>
  <dimension ref="A1:C7"/>
  <sheetViews>
    <sheetView zoomScale="85" zoomScaleNormal="85" workbookViewId="0">
      <selection activeCell="C8" sqref="C8"/>
    </sheetView>
  </sheetViews>
  <sheetFormatPr baseColWidth="10" defaultRowHeight="14.5" x14ac:dyDescent="0.35"/>
  <cols>
    <col min="2" max="2" width="26.26953125" bestFit="1" customWidth="1"/>
    <col min="3" max="3" width="31.1796875" bestFit="1" customWidth="1"/>
  </cols>
  <sheetData>
    <row r="1" spans="1:3" x14ac:dyDescent="0.35">
      <c r="A1" s="2" t="s">
        <v>34</v>
      </c>
    </row>
    <row r="3" spans="1:3" x14ac:dyDescent="0.35">
      <c r="A3" s="2" t="s">
        <v>216</v>
      </c>
    </row>
    <row r="4" spans="1:3" x14ac:dyDescent="0.35">
      <c r="A4" s="16"/>
      <c r="B4" s="2" t="s">
        <v>462</v>
      </c>
      <c r="C4" t="s">
        <v>461</v>
      </c>
    </row>
    <row r="5" spans="1:3" x14ac:dyDescent="0.35">
      <c r="A5" s="21"/>
      <c r="B5" s="2" t="s">
        <v>465</v>
      </c>
      <c r="C5" t="s">
        <v>466</v>
      </c>
    </row>
    <row r="6" spans="1:3" x14ac:dyDescent="0.35">
      <c r="A6" s="20"/>
      <c r="B6" s="2" t="s">
        <v>464</v>
      </c>
      <c r="C6" t="s">
        <v>467</v>
      </c>
    </row>
    <row r="7" spans="1:3" x14ac:dyDescent="0.35">
      <c r="A7" s="14"/>
      <c r="B7" s="2" t="s">
        <v>463</v>
      </c>
      <c r="C7" t="s">
        <v>468</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5857DA-147B-4693-A73B-69F8E49F4406}">
  <sheetPr>
    <tabColor theme="7" tint="0.59999389629810485"/>
  </sheetPr>
  <dimension ref="A1:G714"/>
  <sheetViews>
    <sheetView topLeftCell="A235" zoomScale="115" zoomScaleNormal="115" workbookViewId="0">
      <selection activeCell="A2" sqref="A2"/>
    </sheetView>
  </sheetViews>
  <sheetFormatPr baseColWidth="10" defaultRowHeight="14.5" x14ac:dyDescent="0.35"/>
  <cols>
    <col min="1" max="1" width="13.81640625" bestFit="1" customWidth="1"/>
    <col min="2" max="2" width="23.6328125" bestFit="1" customWidth="1"/>
    <col min="3" max="3" width="22.453125" bestFit="1" customWidth="1"/>
    <col min="4" max="4" width="21.08984375" style="223" customWidth="1"/>
    <col min="6" max="6" width="49.90625" bestFit="1" customWidth="1"/>
  </cols>
  <sheetData>
    <row r="1" spans="1:7" x14ac:dyDescent="0.35">
      <c r="A1" s="98" t="s">
        <v>486</v>
      </c>
      <c r="B1" s="98" t="s">
        <v>487</v>
      </c>
      <c r="C1" s="98" t="s">
        <v>255</v>
      </c>
      <c r="D1" s="217" t="s">
        <v>488</v>
      </c>
      <c r="E1" s="98" t="s">
        <v>68</v>
      </c>
      <c r="F1" s="98" t="s">
        <v>489</v>
      </c>
      <c r="G1" s="98" t="s">
        <v>490</v>
      </c>
    </row>
    <row r="2" spans="1:7" x14ac:dyDescent="0.35">
      <c r="A2" s="84" t="s">
        <v>22</v>
      </c>
      <c r="B2" s="84" t="s">
        <v>491</v>
      </c>
      <c r="C2" s="176" t="s">
        <v>168</v>
      </c>
      <c r="D2" s="83">
        <v>3900</v>
      </c>
      <c r="E2" s="92" t="s">
        <v>492</v>
      </c>
      <c r="F2" s="84" t="s">
        <v>24</v>
      </c>
      <c r="G2" s="84"/>
    </row>
    <row r="3" spans="1:7" x14ac:dyDescent="0.35">
      <c r="A3" s="10" t="s">
        <v>22</v>
      </c>
      <c r="B3" s="10" t="s">
        <v>491</v>
      </c>
      <c r="C3" s="98" t="s">
        <v>168</v>
      </c>
      <c r="D3" s="13">
        <v>1300</v>
      </c>
      <c r="E3" s="12" t="s">
        <v>492</v>
      </c>
      <c r="F3" s="10" t="s">
        <v>618</v>
      </c>
      <c r="G3" s="10"/>
    </row>
    <row r="4" spans="1:7" x14ac:dyDescent="0.35">
      <c r="A4" s="10" t="s">
        <v>22</v>
      </c>
      <c r="B4" s="10" t="s">
        <v>491</v>
      </c>
      <c r="C4" s="98" t="s">
        <v>168</v>
      </c>
      <c r="D4" s="18">
        <f>1000*(33.9*0.8/100)</f>
        <v>271.2</v>
      </c>
      <c r="E4" s="12" t="s">
        <v>492</v>
      </c>
      <c r="F4" s="10" t="s">
        <v>619</v>
      </c>
      <c r="G4" s="10"/>
    </row>
    <row r="5" spans="1:7" x14ac:dyDescent="0.35">
      <c r="A5" s="10" t="s">
        <v>22</v>
      </c>
      <c r="B5" s="10" t="s">
        <v>493</v>
      </c>
      <c r="C5" s="98" t="s">
        <v>168</v>
      </c>
      <c r="D5" s="19">
        <v>184</v>
      </c>
      <c r="E5" s="12" t="s">
        <v>492</v>
      </c>
      <c r="F5" s="10" t="s">
        <v>494</v>
      </c>
      <c r="G5" s="10"/>
    </row>
    <row r="6" spans="1:7" x14ac:dyDescent="0.35">
      <c r="A6" s="10" t="s">
        <v>22</v>
      </c>
      <c r="B6" s="10" t="s">
        <v>491</v>
      </c>
      <c r="C6" s="98" t="s">
        <v>171</v>
      </c>
      <c r="D6" s="18">
        <v>2</v>
      </c>
      <c r="E6" s="12" t="s">
        <v>492</v>
      </c>
      <c r="F6" s="10" t="s">
        <v>24</v>
      </c>
      <c r="G6" s="10"/>
    </row>
    <row r="7" spans="1:7" x14ac:dyDescent="0.35">
      <c r="A7" s="10" t="s">
        <v>22</v>
      </c>
      <c r="B7" s="10" t="s">
        <v>493</v>
      </c>
      <c r="C7" s="98" t="s">
        <v>171</v>
      </c>
      <c r="D7" s="18">
        <v>269</v>
      </c>
      <c r="E7" s="12" t="s">
        <v>492</v>
      </c>
      <c r="F7" s="10" t="s">
        <v>494</v>
      </c>
      <c r="G7" s="10"/>
    </row>
    <row r="8" spans="1:7" x14ac:dyDescent="0.35">
      <c r="A8" s="10" t="s">
        <v>22</v>
      </c>
      <c r="B8" s="10" t="s">
        <v>491</v>
      </c>
      <c r="C8" s="98" t="s">
        <v>172</v>
      </c>
      <c r="D8" s="18">
        <v>2</v>
      </c>
      <c r="E8" s="12" t="s">
        <v>492</v>
      </c>
      <c r="F8" s="10" t="s">
        <v>24</v>
      </c>
      <c r="G8" s="10"/>
    </row>
    <row r="9" spans="1:7" x14ac:dyDescent="0.35">
      <c r="A9" s="10" t="s">
        <v>22</v>
      </c>
      <c r="B9" s="10" t="s">
        <v>493</v>
      </c>
      <c r="C9" s="98" t="s">
        <v>172</v>
      </c>
      <c r="D9" s="18">
        <v>7.0000000000000007E-2</v>
      </c>
      <c r="E9" s="12" t="s">
        <v>492</v>
      </c>
      <c r="F9" s="10" t="s">
        <v>494</v>
      </c>
      <c r="G9" s="10"/>
    </row>
    <row r="10" spans="1:7" x14ac:dyDescent="0.35">
      <c r="A10" s="10" t="s">
        <v>22</v>
      </c>
      <c r="B10" s="10" t="s">
        <v>491</v>
      </c>
      <c r="C10" s="98" t="s">
        <v>173</v>
      </c>
      <c r="D10" s="16">
        <v>159000</v>
      </c>
      <c r="E10" s="12" t="s">
        <v>492</v>
      </c>
      <c r="F10" s="10" t="s">
        <v>618</v>
      </c>
      <c r="G10" s="10"/>
    </row>
    <row r="11" spans="1:7" x14ac:dyDescent="0.35">
      <c r="A11" s="10" t="s">
        <v>22</v>
      </c>
      <c r="B11" s="10" t="s">
        <v>491</v>
      </c>
      <c r="C11" s="98" t="s">
        <v>174</v>
      </c>
      <c r="D11" s="13">
        <v>2270</v>
      </c>
      <c r="E11" s="12" t="s">
        <v>492</v>
      </c>
      <c r="F11" s="10" t="s">
        <v>24</v>
      </c>
      <c r="G11" s="10"/>
    </row>
    <row r="12" spans="1:7" x14ac:dyDescent="0.35">
      <c r="A12" s="10" t="s">
        <v>22</v>
      </c>
      <c r="B12" s="10" t="s">
        <v>491</v>
      </c>
      <c r="C12" s="98" t="s">
        <v>174</v>
      </c>
      <c r="D12" s="13">
        <f>(1300+3050)/2</f>
        <v>2175</v>
      </c>
      <c r="E12" s="12" t="s">
        <v>492</v>
      </c>
      <c r="F12" s="10" t="s">
        <v>27</v>
      </c>
      <c r="G12" s="10"/>
    </row>
    <row r="13" spans="1:7" x14ac:dyDescent="0.35">
      <c r="A13" s="10" t="s">
        <v>22</v>
      </c>
      <c r="B13" s="10" t="s">
        <v>491</v>
      </c>
      <c r="C13" s="98" t="s">
        <v>174</v>
      </c>
      <c r="D13" s="19">
        <f>1000*(33.9*0.1/100)</f>
        <v>33.9</v>
      </c>
      <c r="E13" s="12" t="s">
        <v>492</v>
      </c>
      <c r="F13" s="10" t="s">
        <v>619</v>
      </c>
      <c r="G13" s="10"/>
    </row>
    <row r="14" spans="1:7" x14ac:dyDescent="0.35">
      <c r="A14" s="10" t="s">
        <v>22</v>
      </c>
      <c r="B14" s="10" t="s">
        <v>493</v>
      </c>
      <c r="C14" s="98" t="s">
        <v>174</v>
      </c>
      <c r="D14" s="19">
        <v>333</v>
      </c>
      <c r="E14" s="12" t="s">
        <v>492</v>
      </c>
      <c r="F14" s="10" t="s">
        <v>494</v>
      </c>
      <c r="G14" s="10"/>
    </row>
    <row r="15" spans="1:7" x14ac:dyDescent="0.35">
      <c r="A15" s="10" t="s">
        <v>22</v>
      </c>
      <c r="B15" s="10" t="s">
        <v>491</v>
      </c>
      <c r="C15" s="98" t="s">
        <v>181</v>
      </c>
      <c r="D15" s="13">
        <v>52000</v>
      </c>
      <c r="E15" s="12" t="s">
        <v>492</v>
      </c>
      <c r="F15" s="10" t="s">
        <v>618</v>
      </c>
      <c r="G15" s="10"/>
    </row>
    <row r="16" spans="1:7" x14ac:dyDescent="0.35">
      <c r="A16" s="10" t="s">
        <v>22</v>
      </c>
      <c r="B16" s="10" t="s">
        <v>491</v>
      </c>
      <c r="C16" s="98" t="s">
        <v>181</v>
      </c>
      <c r="D16" s="13">
        <f>1000*(33.9*99.1/100)</f>
        <v>33594.899999999994</v>
      </c>
      <c r="E16" s="12" t="s">
        <v>492</v>
      </c>
      <c r="F16" s="10" t="s">
        <v>619</v>
      </c>
      <c r="G16" s="10"/>
    </row>
    <row r="17" spans="1:7" x14ac:dyDescent="0.35">
      <c r="A17" s="10" t="s">
        <v>22</v>
      </c>
      <c r="B17" s="10" t="s">
        <v>491</v>
      </c>
      <c r="C17" s="98" t="s">
        <v>181</v>
      </c>
      <c r="D17" s="18">
        <v>135047</v>
      </c>
      <c r="E17" s="12" t="s">
        <v>492</v>
      </c>
      <c r="F17" s="10" t="s">
        <v>620</v>
      </c>
      <c r="G17" s="10"/>
    </row>
    <row r="18" spans="1:7" x14ac:dyDescent="0.35">
      <c r="A18" s="10" t="s">
        <v>22</v>
      </c>
      <c r="B18" s="10" t="s">
        <v>493</v>
      </c>
      <c r="C18" s="98" t="s">
        <v>181</v>
      </c>
      <c r="D18" s="13">
        <v>45152</v>
      </c>
      <c r="E18" s="12" t="s">
        <v>492</v>
      </c>
      <c r="F18" s="10" t="s">
        <v>494</v>
      </c>
      <c r="G18" s="10"/>
    </row>
    <row r="19" spans="1:7" x14ac:dyDescent="0.35">
      <c r="A19" s="10" t="s">
        <v>22</v>
      </c>
      <c r="B19" s="10" t="s">
        <v>491</v>
      </c>
      <c r="C19" s="98" t="s">
        <v>182</v>
      </c>
      <c r="D19" s="18">
        <v>104</v>
      </c>
      <c r="E19" s="12" t="s">
        <v>492</v>
      </c>
      <c r="F19" s="10" t="s">
        <v>24</v>
      </c>
      <c r="G19" s="10"/>
    </row>
    <row r="20" spans="1:7" x14ac:dyDescent="0.35">
      <c r="A20" s="10" t="s">
        <v>22</v>
      </c>
      <c r="B20" s="10" t="s">
        <v>493</v>
      </c>
      <c r="C20" s="98" t="s">
        <v>182</v>
      </c>
      <c r="D20" s="19">
        <v>4</v>
      </c>
      <c r="E20" s="12" t="s">
        <v>492</v>
      </c>
      <c r="F20" s="10" t="s">
        <v>494</v>
      </c>
      <c r="G20" s="10"/>
    </row>
    <row r="21" spans="1:7" x14ac:dyDescent="0.35">
      <c r="A21" s="10" t="s">
        <v>22</v>
      </c>
      <c r="B21" s="10" t="s">
        <v>493</v>
      </c>
      <c r="C21" s="98" t="s">
        <v>185</v>
      </c>
      <c r="D21" s="19">
        <v>544</v>
      </c>
      <c r="E21" s="12" t="s">
        <v>492</v>
      </c>
      <c r="F21" s="10" t="s">
        <v>494</v>
      </c>
      <c r="G21" s="10"/>
    </row>
    <row r="22" spans="1:7" x14ac:dyDescent="0.35">
      <c r="A22" s="10" t="s">
        <v>22</v>
      </c>
      <c r="B22" s="10" t="s">
        <v>491</v>
      </c>
      <c r="C22" s="98" t="s">
        <v>188</v>
      </c>
      <c r="D22" s="19">
        <v>20</v>
      </c>
      <c r="E22" s="12" t="s">
        <v>492</v>
      </c>
      <c r="F22" s="10" t="s">
        <v>24</v>
      </c>
      <c r="G22" s="10"/>
    </row>
    <row r="23" spans="1:7" x14ac:dyDescent="0.35">
      <c r="A23" s="10" t="s">
        <v>22</v>
      </c>
      <c r="B23" s="10" t="s">
        <v>493</v>
      </c>
      <c r="C23" s="98" t="s">
        <v>188</v>
      </c>
      <c r="D23" s="19">
        <v>1597</v>
      </c>
      <c r="E23" s="12" t="s">
        <v>492</v>
      </c>
      <c r="F23" s="10" t="s">
        <v>494</v>
      </c>
      <c r="G23" s="10"/>
    </row>
    <row r="24" spans="1:7" x14ac:dyDescent="0.35">
      <c r="A24" s="10" t="s">
        <v>22</v>
      </c>
      <c r="B24" s="10" t="s">
        <v>491</v>
      </c>
      <c r="C24" s="98" t="s">
        <v>202</v>
      </c>
      <c r="D24" s="18">
        <v>160</v>
      </c>
      <c r="E24" s="12" t="s">
        <v>492</v>
      </c>
      <c r="F24" s="10" t="s">
        <v>24</v>
      </c>
      <c r="G24" s="10"/>
    </row>
    <row r="25" spans="1:7" x14ac:dyDescent="0.35">
      <c r="A25" s="10" t="s">
        <v>22</v>
      </c>
      <c r="B25" s="10" t="s">
        <v>493</v>
      </c>
      <c r="C25" s="98" t="s">
        <v>202</v>
      </c>
      <c r="D25" s="19">
        <v>18</v>
      </c>
      <c r="E25" s="12" t="s">
        <v>492</v>
      </c>
      <c r="F25" s="10" t="s">
        <v>494</v>
      </c>
      <c r="G25" s="10"/>
    </row>
    <row r="26" spans="1:7" x14ac:dyDescent="0.35">
      <c r="A26" s="10" t="s">
        <v>495</v>
      </c>
      <c r="B26" s="12" t="s">
        <v>6</v>
      </c>
      <c r="C26" s="98" t="s">
        <v>171</v>
      </c>
      <c r="D26" s="17">
        <v>307.5</v>
      </c>
      <c r="E26" s="12" t="s">
        <v>492</v>
      </c>
      <c r="F26" s="10" t="s">
        <v>25</v>
      </c>
      <c r="G26" s="10"/>
    </row>
    <row r="27" spans="1:7" x14ac:dyDescent="0.35">
      <c r="A27" s="10" t="s">
        <v>495</v>
      </c>
      <c r="B27" s="10" t="s">
        <v>226</v>
      </c>
      <c r="C27" s="98" t="s">
        <v>171</v>
      </c>
      <c r="D27" s="14">
        <v>48.34</v>
      </c>
      <c r="E27" s="12" t="s">
        <v>492</v>
      </c>
      <c r="F27" s="10" t="s">
        <v>25</v>
      </c>
      <c r="G27" s="10"/>
    </row>
    <row r="28" spans="1:7" x14ac:dyDescent="0.35">
      <c r="A28" s="10" t="s">
        <v>495</v>
      </c>
      <c r="B28" s="12" t="s">
        <v>6</v>
      </c>
      <c r="C28" s="98" t="s">
        <v>172</v>
      </c>
      <c r="D28" s="17">
        <v>201.46</v>
      </c>
      <c r="E28" s="12" t="s">
        <v>492</v>
      </c>
      <c r="F28" s="10" t="s">
        <v>25</v>
      </c>
      <c r="G28" s="10"/>
    </row>
    <row r="29" spans="1:7" x14ac:dyDescent="0.35">
      <c r="A29" s="10" t="s">
        <v>495</v>
      </c>
      <c r="B29" s="10" t="s">
        <v>226</v>
      </c>
      <c r="C29" s="98" t="s">
        <v>172</v>
      </c>
      <c r="D29" s="16">
        <v>1.8</v>
      </c>
      <c r="E29" s="12" t="s">
        <v>492</v>
      </c>
      <c r="F29" s="10" t="s">
        <v>25</v>
      </c>
      <c r="G29" s="10"/>
    </row>
    <row r="30" spans="1:7" x14ac:dyDescent="0.35">
      <c r="A30" s="10" t="s">
        <v>495</v>
      </c>
      <c r="B30" s="12" t="s">
        <v>6</v>
      </c>
      <c r="C30" s="98" t="s">
        <v>174</v>
      </c>
      <c r="D30" s="13">
        <v>1150</v>
      </c>
      <c r="E30" s="12" t="s">
        <v>492</v>
      </c>
      <c r="F30" s="10" t="s">
        <v>25</v>
      </c>
      <c r="G30" s="10"/>
    </row>
    <row r="31" spans="1:7" x14ac:dyDescent="0.35">
      <c r="A31" s="10" t="s">
        <v>495</v>
      </c>
      <c r="B31" s="10" t="s">
        <v>226</v>
      </c>
      <c r="C31" s="98" t="s">
        <v>174</v>
      </c>
      <c r="D31" s="14">
        <v>1100</v>
      </c>
      <c r="E31" s="12" t="s">
        <v>492</v>
      </c>
      <c r="F31" s="10" t="s">
        <v>25</v>
      </c>
      <c r="G31" s="10"/>
    </row>
    <row r="32" spans="1:7" x14ac:dyDescent="0.35">
      <c r="A32" s="10" t="s">
        <v>495</v>
      </c>
      <c r="B32" s="12" t="s">
        <v>6</v>
      </c>
      <c r="C32" s="98" t="s">
        <v>185</v>
      </c>
      <c r="D32" s="17">
        <v>4.63</v>
      </c>
      <c r="E32" s="12" t="s">
        <v>492</v>
      </c>
      <c r="F32" s="10" t="s">
        <v>25</v>
      </c>
      <c r="G32" s="10"/>
    </row>
    <row r="33" spans="1:7" x14ac:dyDescent="0.35">
      <c r="A33" s="10" t="s">
        <v>495</v>
      </c>
      <c r="B33" s="12" t="s">
        <v>6</v>
      </c>
      <c r="C33" s="98" t="s">
        <v>188</v>
      </c>
      <c r="D33" s="17">
        <v>721.04</v>
      </c>
      <c r="E33" s="12" t="s">
        <v>492</v>
      </c>
      <c r="F33" s="10" t="s">
        <v>25</v>
      </c>
      <c r="G33" s="10"/>
    </row>
    <row r="34" spans="1:7" x14ac:dyDescent="0.35">
      <c r="A34" s="10" t="s">
        <v>495</v>
      </c>
      <c r="B34" s="10" t="s">
        <v>226</v>
      </c>
      <c r="C34" s="98" t="s">
        <v>188</v>
      </c>
      <c r="D34" s="14">
        <v>15.75</v>
      </c>
      <c r="E34" s="12" t="s">
        <v>492</v>
      </c>
      <c r="F34" s="10" t="s">
        <v>25</v>
      </c>
      <c r="G34" s="10"/>
    </row>
    <row r="35" spans="1:7" x14ac:dyDescent="0.35">
      <c r="A35" s="10" t="s">
        <v>495</v>
      </c>
      <c r="B35" s="12" t="s">
        <v>6</v>
      </c>
      <c r="C35" s="98" t="s">
        <v>174</v>
      </c>
      <c r="D35" s="13">
        <v>890</v>
      </c>
      <c r="E35" s="12" t="s">
        <v>492</v>
      </c>
      <c r="F35" s="10" t="s">
        <v>27</v>
      </c>
      <c r="G35" s="10"/>
    </row>
    <row r="36" spans="1:7" x14ac:dyDescent="0.35">
      <c r="A36" s="10" t="s">
        <v>495</v>
      </c>
      <c r="B36" s="10" t="s">
        <v>8</v>
      </c>
      <c r="C36" s="98" t="s">
        <v>174</v>
      </c>
      <c r="D36" s="14">
        <v>1110</v>
      </c>
      <c r="E36" s="12" t="s">
        <v>492</v>
      </c>
      <c r="F36" s="10" t="s">
        <v>27</v>
      </c>
      <c r="G36" s="10"/>
    </row>
    <row r="37" spans="1:7" x14ac:dyDescent="0.35">
      <c r="A37" s="10" t="s">
        <v>495</v>
      </c>
      <c r="B37" s="10" t="s">
        <v>226</v>
      </c>
      <c r="C37" s="98" t="s">
        <v>174</v>
      </c>
      <c r="D37" s="14">
        <v>1110</v>
      </c>
      <c r="E37" s="12" t="s">
        <v>492</v>
      </c>
      <c r="F37" s="10" t="s">
        <v>27</v>
      </c>
      <c r="G37" s="10"/>
    </row>
    <row r="38" spans="1:7" x14ac:dyDescent="0.35">
      <c r="A38" s="10" t="s">
        <v>495</v>
      </c>
      <c r="B38" s="10" t="s">
        <v>7</v>
      </c>
      <c r="C38" s="98" t="s">
        <v>174</v>
      </c>
      <c r="D38" s="14">
        <v>1100</v>
      </c>
      <c r="E38" s="12" t="s">
        <v>492</v>
      </c>
      <c r="F38" s="10" t="s">
        <v>27</v>
      </c>
      <c r="G38" s="10"/>
    </row>
    <row r="39" spans="1:7" x14ac:dyDescent="0.35">
      <c r="A39" s="10" t="s">
        <v>495</v>
      </c>
      <c r="B39" s="12" t="s">
        <v>6</v>
      </c>
      <c r="C39" s="98" t="s">
        <v>168</v>
      </c>
      <c r="D39" s="18">
        <v>1033.5</v>
      </c>
      <c r="E39" s="12" t="s">
        <v>492</v>
      </c>
      <c r="F39" s="10" t="s">
        <v>26</v>
      </c>
      <c r="G39" s="10"/>
    </row>
    <row r="40" spans="1:7" x14ac:dyDescent="0.35">
      <c r="A40" s="10" t="s">
        <v>495</v>
      </c>
      <c r="B40" s="10" t="s">
        <v>8</v>
      </c>
      <c r="C40" s="98" t="s">
        <v>168</v>
      </c>
      <c r="D40" s="177">
        <v>922.19999999999982</v>
      </c>
      <c r="E40" s="12" t="s">
        <v>492</v>
      </c>
      <c r="F40" s="10" t="s">
        <v>26</v>
      </c>
      <c r="G40" s="10"/>
    </row>
    <row r="41" spans="1:7" x14ac:dyDescent="0.35">
      <c r="A41" s="10" t="s">
        <v>495</v>
      </c>
      <c r="B41" s="12" t="s">
        <v>6</v>
      </c>
      <c r="C41" s="98" t="s">
        <v>174</v>
      </c>
      <c r="D41" s="13">
        <v>1510.4999999999998</v>
      </c>
      <c r="E41" s="12" t="s">
        <v>492</v>
      </c>
      <c r="F41" s="10" t="s">
        <v>26</v>
      </c>
      <c r="G41" s="10"/>
    </row>
    <row r="42" spans="1:7" x14ac:dyDescent="0.35">
      <c r="A42" s="10" t="s">
        <v>495</v>
      </c>
      <c r="B42" s="10" t="s">
        <v>8</v>
      </c>
      <c r="C42" s="98" t="s">
        <v>174</v>
      </c>
      <c r="D42" s="13">
        <v>922.19999999999982</v>
      </c>
      <c r="E42" s="12" t="s">
        <v>492</v>
      </c>
      <c r="F42" s="10" t="s">
        <v>26</v>
      </c>
      <c r="G42" s="10"/>
    </row>
    <row r="43" spans="1:7" x14ac:dyDescent="0.35">
      <c r="A43" s="10" t="s">
        <v>495</v>
      </c>
      <c r="B43" s="12" t="s">
        <v>6</v>
      </c>
      <c r="C43" s="98" t="s">
        <v>181</v>
      </c>
      <c r="D43" s="178">
        <v>75386.940300000002</v>
      </c>
      <c r="E43" s="12" t="s">
        <v>492</v>
      </c>
      <c r="F43" s="10" t="s">
        <v>26</v>
      </c>
      <c r="G43" s="10" t="s">
        <v>496</v>
      </c>
    </row>
    <row r="44" spans="1:7" x14ac:dyDescent="0.35">
      <c r="A44" s="10" t="s">
        <v>495</v>
      </c>
      <c r="B44" s="10" t="s">
        <v>8</v>
      </c>
      <c r="C44" s="98" t="s">
        <v>181</v>
      </c>
      <c r="D44" s="179">
        <v>15205.68252</v>
      </c>
      <c r="E44" s="12" t="s">
        <v>492</v>
      </c>
      <c r="F44" s="10" t="s">
        <v>26</v>
      </c>
      <c r="G44" s="10" t="s">
        <v>496</v>
      </c>
    </row>
    <row r="45" spans="1:7" x14ac:dyDescent="0.35">
      <c r="A45" s="10" t="s">
        <v>495</v>
      </c>
      <c r="B45" s="12" t="s">
        <v>491</v>
      </c>
      <c r="C45" s="98" t="s">
        <v>168</v>
      </c>
      <c r="D45" s="20">
        <v>500</v>
      </c>
      <c r="E45" s="12" t="s">
        <v>492</v>
      </c>
      <c r="F45" s="10" t="s">
        <v>23</v>
      </c>
      <c r="G45" s="10" t="s">
        <v>497</v>
      </c>
    </row>
    <row r="46" spans="1:7" x14ac:dyDescent="0.35">
      <c r="A46" s="10" t="s">
        <v>495</v>
      </c>
      <c r="B46" s="12" t="s">
        <v>491</v>
      </c>
      <c r="C46" s="98" t="s">
        <v>174</v>
      </c>
      <c r="D46" s="21">
        <v>90</v>
      </c>
      <c r="E46" s="12" t="s">
        <v>492</v>
      </c>
      <c r="F46" s="10" t="s">
        <v>23</v>
      </c>
      <c r="G46" s="10" t="s">
        <v>497</v>
      </c>
    </row>
    <row r="47" spans="1:7" x14ac:dyDescent="0.35">
      <c r="A47" s="10" t="s">
        <v>495</v>
      </c>
      <c r="B47" s="12" t="s">
        <v>491</v>
      </c>
      <c r="C47" s="98" t="s">
        <v>181</v>
      </c>
      <c r="D47" s="178">
        <v>51376.5</v>
      </c>
      <c r="E47" s="12" t="s">
        <v>492</v>
      </c>
      <c r="F47" s="10" t="s">
        <v>23</v>
      </c>
      <c r="G47" s="10" t="s">
        <v>498</v>
      </c>
    </row>
    <row r="48" spans="1:7" x14ac:dyDescent="0.35">
      <c r="A48" s="10" t="s">
        <v>495</v>
      </c>
      <c r="B48" s="10" t="s">
        <v>226</v>
      </c>
      <c r="C48" s="98" t="s">
        <v>168</v>
      </c>
      <c r="D48" s="14">
        <v>527</v>
      </c>
      <c r="E48" s="12" t="s">
        <v>492</v>
      </c>
      <c r="F48" s="10" t="s">
        <v>28</v>
      </c>
      <c r="G48" s="10"/>
    </row>
    <row r="49" spans="1:7" x14ac:dyDescent="0.35">
      <c r="A49" s="10" t="s">
        <v>495</v>
      </c>
      <c r="B49" s="10" t="s">
        <v>7</v>
      </c>
      <c r="C49" s="98" t="s">
        <v>168</v>
      </c>
      <c r="D49" s="16">
        <v>517.6</v>
      </c>
      <c r="E49" s="12" t="s">
        <v>492</v>
      </c>
      <c r="F49" s="10" t="s">
        <v>28</v>
      </c>
      <c r="G49" s="10"/>
    </row>
    <row r="50" spans="1:7" x14ac:dyDescent="0.35">
      <c r="A50" s="10" t="s">
        <v>495</v>
      </c>
      <c r="B50" s="10" t="s">
        <v>226</v>
      </c>
      <c r="C50" s="98" t="s">
        <v>171</v>
      </c>
      <c r="D50" s="14">
        <v>57</v>
      </c>
      <c r="E50" s="12" t="s">
        <v>492</v>
      </c>
      <c r="F50" s="10" t="s">
        <v>28</v>
      </c>
      <c r="G50" s="10"/>
    </row>
    <row r="51" spans="1:7" x14ac:dyDescent="0.35">
      <c r="A51" s="10" t="s">
        <v>495</v>
      </c>
      <c r="B51" s="10" t="s">
        <v>7</v>
      </c>
      <c r="C51" s="98" t="s">
        <v>171</v>
      </c>
      <c r="D51" s="16">
        <v>904</v>
      </c>
      <c r="E51" s="12" t="s">
        <v>492</v>
      </c>
      <c r="F51" s="10" t="s">
        <v>28</v>
      </c>
      <c r="G51" s="10"/>
    </row>
    <row r="52" spans="1:7" x14ac:dyDescent="0.35">
      <c r="A52" s="10" t="s">
        <v>495</v>
      </c>
      <c r="B52" s="10" t="s">
        <v>226</v>
      </c>
      <c r="C52" s="98" t="s">
        <v>174</v>
      </c>
      <c r="D52" s="14">
        <v>684</v>
      </c>
      <c r="E52" s="12" t="s">
        <v>492</v>
      </c>
      <c r="F52" s="10" t="s">
        <v>28</v>
      </c>
      <c r="G52" s="10"/>
    </row>
    <row r="53" spans="1:7" x14ac:dyDescent="0.35">
      <c r="A53" s="10" t="s">
        <v>495</v>
      </c>
      <c r="B53" s="10" t="s">
        <v>7</v>
      </c>
      <c r="C53" s="98" t="s">
        <v>174</v>
      </c>
      <c r="D53" s="14">
        <v>1513</v>
      </c>
      <c r="E53" s="12" t="s">
        <v>492</v>
      </c>
      <c r="F53" s="10" t="s">
        <v>28</v>
      </c>
      <c r="G53" s="10"/>
    </row>
    <row r="54" spans="1:7" x14ac:dyDescent="0.35">
      <c r="A54" s="10" t="s">
        <v>495</v>
      </c>
      <c r="B54" s="10" t="s">
        <v>226</v>
      </c>
      <c r="C54" s="98" t="s">
        <v>181</v>
      </c>
      <c r="D54" s="16">
        <v>6341</v>
      </c>
      <c r="E54" s="12" t="s">
        <v>492</v>
      </c>
      <c r="F54" s="10" t="s">
        <v>28</v>
      </c>
      <c r="G54" s="10"/>
    </row>
    <row r="55" spans="1:7" x14ac:dyDescent="0.35">
      <c r="A55" s="10" t="s">
        <v>495</v>
      </c>
      <c r="B55" s="10" t="s">
        <v>7</v>
      </c>
      <c r="C55" s="98" t="s">
        <v>181</v>
      </c>
      <c r="D55" s="16">
        <v>78791</v>
      </c>
      <c r="E55" s="12" t="s">
        <v>492</v>
      </c>
      <c r="F55" s="10" t="s">
        <v>28</v>
      </c>
      <c r="G55" s="10"/>
    </row>
    <row r="56" spans="1:7" x14ac:dyDescent="0.35">
      <c r="A56" s="10" t="s">
        <v>495</v>
      </c>
      <c r="B56" s="10" t="s">
        <v>226</v>
      </c>
      <c r="C56" s="98" t="s">
        <v>182</v>
      </c>
      <c r="D56" s="16">
        <v>5</v>
      </c>
      <c r="E56" s="12" t="s">
        <v>492</v>
      </c>
      <c r="F56" s="10" t="s">
        <v>28</v>
      </c>
      <c r="G56" s="10"/>
    </row>
    <row r="57" spans="1:7" x14ac:dyDescent="0.35">
      <c r="A57" s="10" t="s">
        <v>495</v>
      </c>
      <c r="B57" s="10" t="s">
        <v>7</v>
      </c>
      <c r="C57" s="98" t="s">
        <v>182</v>
      </c>
      <c r="D57" s="16">
        <v>9</v>
      </c>
      <c r="E57" s="12" t="s">
        <v>492</v>
      </c>
      <c r="F57" s="10" t="s">
        <v>28</v>
      </c>
      <c r="G57" s="10"/>
    </row>
    <row r="58" spans="1:7" x14ac:dyDescent="0.35">
      <c r="A58" s="10" t="s">
        <v>495</v>
      </c>
      <c r="B58" s="10" t="s">
        <v>226</v>
      </c>
      <c r="C58" s="98" t="s">
        <v>184</v>
      </c>
      <c r="D58" s="16">
        <v>2</v>
      </c>
      <c r="E58" s="12" t="s">
        <v>492</v>
      </c>
      <c r="F58" s="10" t="s">
        <v>28</v>
      </c>
      <c r="G58" s="10"/>
    </row>
    <row r="59" spans="1:7" x14ac:dyDescent="0.35">
      <c r="A59" s="10" t="s">
        <v>495</v>
      </c>
      <c r="B59" s="10" t="s">
        <v>226</v>
      </c>
      <c r="C59" s="98" t="s">
        <v>185</v>
      </c>
      <c r="D59" s="16">
        <v>27</v>
      </c>
      <c r="E59" s="12" t="s">
        <v>492</v>
      </c>
      <c r="F59" s="10" t="s">
        <v>28</v>
      </c>
      <c r="G59" s="10"/>
    </row>
    <row r="60" spans="1:7" x14ac:dyDescent="0.35">
      <c r="A60" s="10" t="s">
        <v>495</v>
      </c>
      <c r="B60" s="10" t="s">
        <v>7</v>
      </c>
      <c r="C60" s="98" t="s">
        <v>185</v>
      </c>
      <c r="D60" s="16">
        <v>359</v>
      </c>
      <c r="E60" s="12" t="s">
        <v>492</v>
      </c>
      <c r="F60" s="10" t="s">
        <v>28</v>
      </c>
      <c r="G60" s="10"/>
    </row>
    <row r="61" spans="1:7" x14ac:dyDescent="0.35">
      <c r="A61" s="10" t="s">
        <v>495</v>
      </c>
      <c r="B61" s="10" t="s">
        <v>226</v>
      </c>
      <c r="C61" s="98" t="s">
        <v>188</v>
      </c>
      <c r="D61" s="14">
        <v>49</v>
      </c>
      <c r="E61" s="12" t="s">
        <v>492</v>
      </c>
      <c r="F61" s="10" t="s">
        <v>28</v>
      </c>
      <c r="G61" s="10"/>
    </row>
    <row r="62" spans="1:7" x14ac:dyDescent="0.35">
      <c r="A62" s="10" t="s">
        <v>495</v>
      </c>
      <c r="B62" s="10" t="s">
        <v>7</v>
      </c>
      <c r="C62" s="98" t="s">
        <v>188</v>
      </c>
      <c r="D62" s="16">
        <v>676</v>
      </c>
      <c r="E62" s="12" t="s">
        <v>492</v>
      </c>
      <c r="F62" s="10" t="s">
        <v>28</v>
      </c>
      <c r="G62" s="10"/>
    </row>
    <row r="63" spans="1:7" x14ac:dyDescent="0.35">
      <c r="A63" s="10" t="s">
        <v>495</v>
      </c>
      <c r="B63" s="10" t="s">
        <v>226</v>
      </c>
      <c r="C63" s="98" t="s">
        <v>202</v>
      </c>
      <c r="D63" s="16">
        <v>20</v>
      </c>
      <c r="E63" s="12" t="s">
        <v>492</v>
      </c>
      <c r="F63" s="10" t="s">
        <v>28</v>
      </c>
      <c r="G63" s="10"/>
    </row>
    <row r="64" spans="1:7" x14ac:dyDescent="0.35">
      <c r="A64" s="10" t="s">
        <v>495</v>
      </c>
      <c r="B64" s="10" t="s">
        <v>7</v>
      </c>
      <c r="C64" s="98" t="s">
        <v>202</v>
      </c>
      <c r="D64" s="16">
        <v>40</v>
      </c>
      <c r="E64" s="12" t="s">
        <v>492</v>
      </c>
      <c r="F64" s="10" t="s">
        <v>28</v>
      </c>
      <c r="G64" s="10"/>
    </row>
    <row r="65" spans="1:7" x14ac:dyDescent="0.35">
      <c r="A65" s="10" t="s">
        <v>58</v>
      </c>
      <c r="B65" s="10" t="s">
        <v>491</v>
      </c>
      <c r="C65" s="98" t="s">
        <v>174</v>
      </c>
      <c r="D65" s="13">
        <v>2335</v>
      </c>
      <c r="E65" s="12" t="s">
        <v>492</v>
      </c>
      <c r="F65" s="10" t="s">
        <v>24</v>
      </c>
      <c r="G65" s="10"/>
    </row>
    <row r="66" spans="1:7" x14ac:dyDescent="0.35">
      <c r="A66" s="10" t="s">
        <v>58</v>
      </c>
      <c r="B66" s="10" t="s">
        <v>491</v>
      </c>
      <c r="C66" s="98" t="s">
        <v>181</v>
      </c>
      <c r="D66" s="13">
        <v>579526.92000000004</v>
      </c>
      <c r="E66" s="12" t="s">
        <v>492</v>
      </c>
      <c r="F66" s="10" t="s">
        <v>24</v>
      </c>
      <c r="G66" s="10"/>
    </row>
    <row r="67" spans="1:7" x14ac:dyDescent="0.35">
      <c r="A67" s="10" t="s">
        <v>58</v>
      </c>
      <c r="B67" s="10" t="s">
        <v>491</v>
      </c>
      <c r="C67" s="98" t="s">
        <v>181</v>
      </c>
      <c r="D67" s="178">
        <v>579526.92000000004</v>
      </c>
      <c r="E67" s="12" t="s">
        <v>492</v>
      </c>
      <c r="F67" s="10" t="s">
        <v>24</v>
      </c>
      <c r="G67" s="10" t="s">
        <v>496</v>
      </c>
    </row>
    <row r="68" spans="1:7" x14ac:dyDescent="0.35">
      <c r="A68" s="10" t="s">
        <v>58</v>
      </c>
      <c r="B68" s="10" t="s">
        <v>491</v>
      </c>
      <c r="C68" s="98" t="s">
        <v>168</v>
      </c>
      <c r="D68" s="18">
        <v>2386</v>
      </c>
      <c r="E68" s="12" t="s">
        <v>492</v>
      </c>
      <c r="F68" s="10" t="s">
        <v>599</v>
      </c>
      <c r="G68" s="10"/>
    </row>
    <row r="69" spans="1:7" x14ac:dyDescent="0.35">
      <c r="A69" s="10" t="s">
        <v>58</v>
      </c>
      <c r="B69" s="10" t="s">
        <v>491</v>
      </c>
      <c r="C69" s="98" t="s">
        <v>174</v>
      </c>
      <c r="D69" s="18">
        <v>597</v>
      </c>
      <c r="E69" s="12" t="s">
        <v>492</v>
      </c>
      <c r="F69" s="10" t="s">
        <v>599</v>
      </c>
      <c r="G69" s="10"/>
    </row>
    <row r="70" spans="1:7" x14ac:dyDescent="0.35">
      <c r="A70" s="10" t="s">
        <v>58</v>
      </c>
      <c r="B70" s="10" t="s">
        <v>491</v>
      </c>
      <c r="C70" s="98" t="s">
        <v>181</v>
      </c>
      <c r="D70" s="13">
        <v>133513.33380000002</v>
      </c>
      <c r="E70" s="12" t="s">
        <v>492</v>
      </c>
      <c r="F70" s="10" t="s">
        <v>599</v>
      </c>
      <c r="G70" s="10"/>
    </row>
    <row r="71" spans="1:7" x14ac:dyDescent="0.35">
      <c r="A71" s="10" t="s">
        <v>58</v>
      </c>
      <c r="B71" s="10" t="s">
        <v>491</v>
      </c>
      <c r="C71" s="98" t="s">
        <v>181</v>
      </c>
      <c r="D71" s="178">
        <v>133513.33380000002</v>
      </c>
      <c r="E71" s="12" t="s">
        <v>492</v>
      </c>
      <c r="F71" s="10" t="s">
        <v>599</v>
      </c>
      <c r="G71" s="10" t="s">
        <v>496</v>
      </c>
    </row>
    <row r="72" spans="1:7" x14ac:dyDescent="0.35">
      <c r="A72" s="10" t="s">
        <v>58</v>
      </c>
      <c r="B72" s="10" t="s">
        <v>491</v>
      </c>
      <c r="C72" s="98" t="s">
        <v>190</v>
      </c>
      <c r="D72" s="16">
        <v>732</v>
      </c>
      <c r="E72" s="12" t="s">
        <v>492</v>
      </c>
      <c r="F72" s="10" t="s">
        <v>599</v>
      </c>
      <c r="G72" s="10"/>
    </row>
    <row r="73" spans="1:7" x14ac:dyDescent="0.35">
      <c r="A73" s="10" t="s">
        <v>58</v>
      </c>
      <c r="B73" s="10" t="s">
        <v>491</v>
      </c>
      <c r="C73" s="98" t="s">
        <v>174</v>
      </c>
      <c r="D73" s="14">
        <v>2175</v>
      </c>
      <c r="E73" s="12" t="s">
        <v>492</v>
      </c>
      <c r="F73" s="10" t="s">
        <v>27</v>
      </c>
      <c r="G73" s="10"/>
    </row>
    <row r="74" spans="1:7" x14ac:dyDescent="0.35">
      <c r="A74" s="10" t="s">
        <v>58</v>
      </c>
      <c r="B74" s="10" t="s">
        <v>491</v>
      </c>
      <c r="C74" s="98" t="s">
        <v>171</v>
      </c>
      <c r="D74" s="13">
        <v>64405</v>
      </c>
      <c r="E74" s="12" t="s">
        <v>492</v>
      </c>
      <c r="F74" s="10" t="s">
        <v>502</v>
      </c>
      <c r="G74" s="10"/>
    </row>
    <row r="75" spans="1:7" x14ac:dyDescent="0.35">
      <c r="A75" s="10" t="s">
        <v>58</v>
      </c>
      <c r="B75" s="10" t="s">
        <v>491</v>
      </c>
      <c r="C75" s="98" t="s">
        <v>174</v>
      </c>
      <c r="D75" s="13">
        <v>3605</v>
      </c>
      <c r="E75" s="12" t="s">
        <v>492</v>
      </c>
      <c r="F75" s="10" t="s">
        <v>502</v>
      </c>
      <c r="G75" s="10"/>
    </row>
    <row r="76" spans="1:7" x14ac:dyDescent="0.35">
      <c r="A76" s="10" t="s">
        <v>58</v>
      </c>
      <c r="B76" s="10" t="s">
        <v>491</v>
      </c>
      <c r="C76" s="98" t="s">
        <v>181</v>
      </c>
      <c r="D76" s="13">
        <v>800494.8</v>
      </c>
      <c r="E76" s="12" t="s">
        <v>492</v>
      </c>
      <c r="F76" s="10" t="s">
        <v>502</v>
      </c>
      <c r="G76" s="10"/>
    </row>
    <row r="77" spans="1:7" x14ac:dyDescent="0.35">
      <c r="A77" s="10" t="s">
        <v>58</v>
      </c>
      <c r="B77" s="10" t="s">
        <v>491</v>
      </c>
      <c r="C77" s="98" t="s">
        <v>181</v>
      </c>
      <c r="D77" s="178">
        <v>800494.8</v>
      </c>
      <c r="E77" s="12" t="s">
        <v>492</v>
      </c>
      <c r="F77" s="10" t="s">
        <v>502</v>
      </c>
      <c r="G77" s="10" t="s">
        <v>496</v>
      </c>
    </row>
    <row r="78" spans="1:7" x14ac:dyDescent="0.35">
      <c r="A78" s="10" t="s">
        <v>58</v>
      </c>
      <c r="B78" s="10" t="s">
        <v>491</v>
      </c>
      <c r="C78" s="98" t="s">
        <v>185</v>
      </c>
      <c r="D78" s="13">
        <v>4325</v>
      </c>
      <c r="E78" s="12" t="s">
        <v>492</v>
      </c>
      <c r="F78" s="10" t="s">
        <v>502</v>
      </c>
      <c r="G78" s="10"/>
    </row>
    <row r="79" spans="1:7" x14ac:dyDescent="0.35">
      <c r="A79" s="10" t="s">
        <v>58</v>
      </c>
      <c r="B79" s="10" t="s">
        <v>491</v>
      </c>
      <c r="C79" s="98" t="s">
        <v>186</v>
      </c>
      <c r="D79" s="17">
        <v>7209</v>
      </c>
      <c r="E79" s="12" t="s">
        <v>492</v>
      </c>
      <c r="F79" s="10" t="s">
        <v>502</v>
      </c>
      <c r="G79" s="10"/>
    </row>
    <row r="80" spans="1:7" x14ac:dyDescent="0.35">
      <c r="A80" s="10" t="s">
        <v>58</v>
      </c>
      <c r="B80" s="10" t="s">
        <v>491</v>
      </c>
      <c r="C80" s="98" t="s">
        <v>188</v>
      </c>
      <c r="D80" s="18">
        <v>120155</v>
      </c>
      <c r="E80" s="12" t="s">
        <v>492</v>
      </c>
      <c r="F80" s="10" t="s">
        <v>502</v>
      </c>
      <c r="G80" s="10"/>
    </row>
    <row r="81" spans="1:7" x14ac:dyDescent="0.35">
      <c r="A81" s="10" t="s">
        <v>58</v>
      </c>
      <c r="B81" s="10" t="s">
        <v>491</v>
      </c>
      <c r="C81" s="98" t="s">
        <v>189</v>
      </c>
      <c r="D81" s="17">
        <v>128</v>
      </c>
      <c r="E81" s="12" t="s">
        <v>492</v>
      </c>
      <c r="F81" s="10" t="s">
        <v>502</v>
      </c>
      <c r="G81" s="10"/>
    </row>
    <row r="82" spans="1:7" x14ac:dyDescent="0.35">
      <c r="A82" s="10" t="s">
        <v>58</v>
      </c>
      <c r="B82" s="10" t="s">
        <v>491</v>
      </c>
      <c r="C82" s="98" t="s">
        <v>195</v>
      </c>
      <c r="D82" s="17">
        <v>64</v>
      </c>
      <c r="E82" s="12" t="s">
        <v>492</v>
      </c>
      <c r="F82" s="10" t="s">
        <v>502</v>
      </c>
      <c r="G82" s="10"/>
    </row>
    <row r="83" spans="1:7" x14ac:dyDescent="0.35">
      <c r="A83" s="10" t="s">
        <v>58</v>
      </c>
      <c r="B83" s="10" t="s">
        <v>491</v>
      </c>
      <c r="C83" s="98" t="s">
        <v>168</v>
      </c>
      <c r="D83" s="19">
        <v>46100</v>
      </c>
      <c r="E83" s="12" t="s">
        <v>492</v>
      </c>
      <c r="F83" s="10" t="s">
        <v>618</v>
      </c>
      <c r="G83" s="10"/>
    </row>
    <row r="84" spans="1:7" x14ac:dyDescent="0.35">
      <c r="A84" s="10" t="s">
        <v>58</v>
      </c>
      <c r="B84" s="10" t="s">
        <v>491</v>
      </c>
      <c r="C84" s="98" t="s">
        <v>173</v>
      </c>
      <c r="D84" s="16">
        <v>459000</v>
      </c>
      <c r="E84" s="12" t="s">
        <v>492</v>
      </c>
      <c r="F84" s="10" t="s">
        <v>618</v>
      </c>
      <c r="G84" s="10"/>
    </row>
    <row r="85" spans="1:7" x14ac:dyDescent="0.35">
      <c r="A85" s="10" t="s">
        <v>58</v>
      </c>
      <c r="B85" s="10" t="s">
        <v>491</v>
      </c>
      <c r="C85" s="98" t="s">
        <v>181</v>
      </c>
      <c r="D85" s="13">
        <v>348381.6</v>
      </c>
      <c r="E85" s="12" t="s">
        <v>492</v>
      </c>
      <c r="F85" s="10" t="s">
        <v>618</v>
      </c>
      <c r="G85" s="10"/>
    </row>
    <row r="86" spans="1:7" x14ac:dyDescent="0.35">
      <c r="A86" s="10" t="s">
        <v>58</v>
      </c>
      <c r="B86" s="10" t="s">
        <v>491</v>
      </c>
      <c r="C86" s="98" t="s">
        <v>181</v>
      </c>
      <c r="D86" s="178">
        <v>348381.6</v>
      </c>
      <c r="E86" s="12" t="s">
        <v>492</v>
      </c>
      <c r="F86" s="10" t="s">
        <v>618</v>
      </c>
      <c r="G86" s="10" t="s">
        <v>496</v>
      </c>
    </row>
    <row r="87" spans="1:7" x14ac:dyDescent="0.35">
      <c r="A87" s="10" t="s">
        <v>58</v>
      </c>
      <c r="B87" s="10" t="s">
        <v>491</v>
      </c>
      <c r="C87" s="98" t="s">
        <v>168</v>
      </c>
      <c r="D87" s="18">
        <v>4922</v>
      </c>
      <c r="E87" s="12" t="s">
        <v>492</v>
      </c>
      <c r="F87" s="10" t="s">
        <v>28</v>
      </c>
      <c r="G87" s="10"/>
    </row>
    <row r="88" spans="1:7" x14ac:dyDescent="0.35">
      <c r="A88" s="10" t="s">
        <v>58</v>
      </c>
      <c r="B88" s="10" t="s">
        <v>491</v>
      </c>
      <c r="C88" s="98" t="s">
        <v>171</v>
      </c>
      <c r="D88" s="13">
        <v>13663</v>
      </c>
      <c r="E88" s="12" t="s">
        <v>492</v>
      </c>
      <c r="F88" s="10" t="s">
        <v>28</v>
      </c>
      <c r="G88" s="10"/>
    </row>
    <row r="89" spans="1:7" x14ac:dyDescent="0.35">
      <c r="A89" s="10" t="s">
        <v>58</v>
      </c>
      <c r="B89" s="10" t="s">
        <v>491</v>
      </c>
      <c r="C89" s="98" t="s">
        <v>174</v>
      </c>
      <c r="D89" s="13">
        <v>6520</v>
      </c>
      <c r="E89" s="12" t="s">
        <v>492</v>
      </c>
      <c r="F89" s="10" t="s">
        <v>28</v>
      </c>
      <c r="G89" s="10"/>
    </row>
    <row r="90" spans="1:7" x14ac:dyDescent="0.35">
      <c r="A90" s="10" t="s">
        <v>58</v>
      </c>
      <c r="B90" s="10" t="s">
        <v>491</v>
      </c>
      <c r="C90" s="98" t="s">
        <v>181</v>
      </c>
      <c r="D90" s="18">
        <v>2097520</v>
      </c>
      <c r="E90" s="12" t="s">
        <v>492</v>
      </c>
      <c r="F90" s="10" t="s">
        <v>28</v>
      </c>
      <c r="G90" s="10"/>
    </row>
    <row r="91" spans="1:7" x14ac:dyDescent="0.35">
      <c r="A91" s="10" t="s">
        <v>58</v>
      </c>
      <c r="B91" s="10" t="s">
        <v>491</v>
      </c>
      <c r="C91" s="98" t="s">
        <v>182</v>
      </c>
      <c r="D91" s="17">
        <v>416</v>
      </c>
      <c r="E91" s="12" t="s">
        <v>492</v>
      </c>
      <c r="F91" s="10" t="s">
        <v>28</v>
      </c>
      <c r="G91" s="10"/>
    </row>
    <row r="92" spans="1:7" x14ac:dyDescent="0.35">
      <c r="A92" s="10" t="s">
        <v>58</v>
      </c>
      <c r="B92" s="10" t="s">
        <v>491</v>
      </c>
      <c r="C92" s="98" t="s">
        <v>184</v>
      </c>
      <c r="D92" s="17">
        <v>208</v>
      </c>
      <c r="E92" s="12" t="s">
        <v>492</v>
      </c>
      <c r="F92" s="10" t="s">
        <v>28</v>
      </c>
      <c r="G92" s="10"/>
    </row>
    <row r="93" spans="1:7" x14ac:dyDescent="0.35">
      <c r="A93" s="10" t="s">
        <v>58</v>
      </c>
      <c r="B93" s="10" t="s">
        <v>491</v>
      </c>
      <c r="C93" s="98" t="s">
        <v>185</v>
      </c>
      <c r="D93" s="13">
        <v>9455</v>
      </c>
      <c r="E93" s="12" t="s">
        <v>492</v>
      </c>
      <c r="F93" s="10" t="s">
        <v>28</v>
      </c>
      <c r="G93" s="10"/>
    </row>
    <row r="94" spans="1:7" x14ac:dyDescent="0.35">
      <c r="A94" s="10" t="s">
        <v>58</v>
      </c>
      <c r="B94" s="10" t="s">
        <v>491</v>
      </c>
      <c r="C94" s="98" t="s">
        <v>188</v>
      </c>
      <c r="D94" s="18">
        <v>12023</v>
      </c>
      <c r="E94" s="12" t="s">
        <v>492</v>
      </c>
      <c r="F94" s="10" t="s">
        <v>28</v>
      </c>
      <c r="G94" s="10"/>
    </row>
    <row r="95" spans="1:7" x14ac:dyDescent="0.35">
      <c r="A95" s="10" t="s">
        <v>58</v>
      </c>
      <c r="B95" s="10" t="s">
        <v>491</v>
      </c>
      <c r="C95" s="98" t="s">
        <v>195</v>
      </c>
      <c r="D95" s="18">
        <v>0.1</v>
      </c>
      <c r="E95" s="12" t="s">
        <v>492</v>
      </c>
      <c r="F95" s="10" t="s">
        <v>28</v>
      </c>
      <c r="G95" s="10"/>
    </row>
    <row r="96" spans="1:7" x14ac:dyDescent="0.35">
      <c r="A96" s="10" t="s">
        <v>58</v>
      </c>
      <c r="B96" s="10" t="s">
        <v>491</v>
      </c>
      <c r="C96" s="98" t="s">
        <v>202</v>
      </c>
      <c r="D96" s="17">
        <v>1917</v>
      </c>
      <c r="E96" s="12" t="s">
        <v>492</v>
      </c>
      <c r="F96" s="10" t="s">
        <v>28</v>
      </c>
      <c r="G96" s="10"/>
    </row>
    <row r="97" spans="1:7" x14ac:dyDescent="0.35">
      <c r="A97" s="10" t="s">
        <v>499</v>
      </c>
      <c r="B97" s="12" t="s">
        <v>491</v>
      </c>
      <c r="C97" s="98" t="s">
        <v>168</v>
      </c>
      <c r="D97" s="88">
        <v>3400</v>
      </c>
      <c r="E97" s="12" t="s">
        <v>492</v>
      </c>
      <c r="F97" s="10" t="s">
        <v>24</v>
      </c>
      <c r="G97" s="10"/>
    </row>
    <row r="98" spans="1:7" x14ac:dyDescent="0.35">
      <c r="A98" s="10" t="s">
        <v>499</v>
      </c>
      <c r="B98" s="12" t="s">
        <v>491</v>
      </c>
      <c r="C98" s="98" t="s">
        <v>168</v>
      </c>
      <c r="D98" s="88">
        <v>1635</v>
      </c>
      <c r="E98" s="12" t="s">
        <v>492</v>
      </c>
      <c r="F98" s="10" t="s">
        <v>28</v>
      </c>
      <c r="G98" s="10"/>
    </row>
    <row r="99" spans="1:7" x14ac:dyDescent="0.35">
      <c r="A99" s="10" t="s">
        <v>499</v>
      </c>
      <c r="B99" s="12" t="s">
        <v>491</v>
      </c>
      <c r="C99" s="98" t="s">
        <v>171</v>
      </c>
      <c r="D99" s="87">
        <v>1500</v>
      </c>
      <c r="E99" s="12" t="s">
        <v>492</v>
      </c>
      <c r="F99" s="10" t="s">
        <v>24</v>
      </c>
      <c r="G99" s="10"/>
    </row>
    <row r="100" spans="1:7" x14ac:dyDescent="0.35">
      <c r="A100" s="10" t="s">
        <v>499</v>
      </c>
      <c r="B100" s="12" t="s">
        <v>491</v>
      </c>
      <c r="C100" s="98" t="s">
        <v>171</v>
      </c>
      <c r="D100" s="87">
        <v>12395</v>
      </c>
      <c r="E100" s="12" t="s">
        <v>492</v>
      </c>
      <c r="F100" s="10" t="s">
        <v>28</v>
      </c>
      <c r="G100" s="10"/>
    </row>
    <row r="101" spans="1:7" x14ac:dyDescent="0.35">
      <c r="A101" s="10" t="s">
        <v>499</v>
      </c>
      <c r="B101" s="12" t="s">
        <v>491</v>
      </c>
      <c r="C101" s="98" t="s">
        <v>174</v>
      </c>
      <c r="D101" s="88">
        <v>1050</v>
      </c>
      <c r="E101" s="12" t="s">
        <v>492</v>
      </c>
      <c r="F101" s="10" t="s">
        <v>24</v>
      </c>
      <c r="G101" s="10"/>
    </row>
    <row r="102" spans="1:7" x14ac:dyDescent="0.35">
      <c r="A102" s="10" t="s">
        <v>499</v>
      </c>
      <c r="B102" s="10" t="s">
        <v>469</v>
      </c>
      <c r="C102" s="98" t="s">
        <v>174</v>
      </c>
      <c r="D102" s="88">
        <v>1713</v>
      </c>
      <c r="E102" s="12" t="s">
        <v>492</v>
      </c>
      <c r="F102" s="10" t="s">
        <v>607</v>
      </c>
      <c r="G102" s="10"/>
    </row>
    <row r="103" spans="1:7" x14ac:dyDescent="0.35">
      <c r="A103" s="10" t="s">
        <v>499</v>
      </c>
      <c r="B103" s="12" t="s">
        <v>491</v>
      </c>
      <c r="C103" s="98" t="s">
        <v>174</v>
      </c>
      <c r="D103" s="89">
        <v>3160</v>
      </c>
      <c r="E103" s="12" t="s">
        <v>492</v>
      </c>
      <c r="F103" s="10" t="s">
        <v>27</v>
      </c>
      <c r="G103" s="10"/>
    </row>
    <row r="104" spans="1:7" x14ac:dyDescent="0.35">
      <c r="A104" s="10" t="s">
        <v>499</v>
      </c>
      <c r="B104" s="12" t="s">
        <v>491</v>
      </c>
      <c r="C104" s="98" t="s">
        <v>174</v>
      </c>
      <c r="D104" s="88">
        <v>6735</v>
      </c>
      <c r="E104" s="12" t="s">
        <v>492</v>
      </c>
      <c r="F104" s="10" t="s">
        <v>28</v>
      </c>
      <c r="G104" s="10"/>
    </row>
    <row r="105" spans="1:7" x14ac:dyDescent="0.35">
      <c r="A105" s="10" t="s">
        <v>499</v>
      </c>
      <c r="B105" s="12" t="s">
        <v>491</v>
      </c>
      <c r="C105" s="98" t="s">
        <v>181</v>
      </c>
      <c r="D105" s="90">
        <v>175000</v>
      </c>
      <c r="E105" s="12" t="s">
        <v>492</v>
      </c>
      <c r="F105" s="10" t="s">
        <v>24</v>
      </c>
      <c r="G105" s="10"/>
    </row>
    <row r="106" spans="1:7" x14ac:dyDescent="0.35">
      <c r="A106" s="10" t="s">
        <v>499</v>
      </c>
      <c r="B106" s="12" t="s">
        <v>491</v>
      </c>
      <c r="C106" s="98" t="s">
        <v>181</v>
      </c>
      <c r="D106" s="90">
        <v>338665</v>
      </c>
      <c r="E106" s="12" t="s">
        <v>492</v>
      </c>
      <c r="F106" s="10" t="s">
        <v>28</v>
      </c>
      <c r="G106" s="10"/>
    </row>
    <row r="107" spans="1:7" x14ac:dyDescent="0.35">
      <c r="A107" s="10" t="s">
        <v>499</v>
      </c>
      <c r="B107" s="12" t="s">
        <v>491</v>
      </c>
      <c r="C107" s="98" t="s">
        <v>182</v>
      </c>
      <c r="D107" s="91">
        <v>300</v>
      </c>
      <c r="E107" s="12" t="s">
        <v>492</v>
      </c>
      <c r="F107" s="10" t="s">
        <v>24</v>
      </c>
      <c r="G107" s="10"/>
    </row>
    <row r="108" spans="1:7" x14ac:dyDescent="0.35">
      <c r="A108" s="10" t="s">
        <v>499</v>
      </c>
      <c r="B108" s="12" t="s">
        <v>491</v>
      </c>
      <c r="C108" s="98" t="s">
        <v>182</v>
      </c>
      <c r="D108" s="91">
        <v>59</v>
      </c>
      <c r="E108" s="12" t="s">
        <v>492</v>
      </c>
      <c r="F108" s="10" t="s">
        <v>28</v>
      </c>
      <c r="G108" s="10"/>
    </row>
    <row r="109" spans="1:7" x14ac:dyDescent="0.35">
      <c r="A109" s="10" t="s">
        <v>499</v>
      </c>
      <c r="B109" s="12" t="s">
        <v>491</v>
      </c>
      <c r="C109" s="98" t="s">
        <v>184</v>
      </c>
      <c r="D109" s="91">
        <v>100</v>
      </c>
      <c r="E109" s="12" t="s">
        <v>492</v>
      </c>
      <c r="F109" s="10" t="s">
        <v>24</v>
      </c>
      <c r="G109" s="10"/>
    </row>
    <row r="110" spans="1:7" x14ac:dyDescent="0.35">
      <c r="A110" s="10" t="s">
        <v>499</v>
      </c>
      <c r="B110" s="12" t="s">
        <v>491</v>
      </c>
      <c r="C110" s="98" t="s">
        <v>184</v>
      </c>
      <c r="D110" s="91">
        <v>37</v>
      </c>
      <c r="E110" s="12" t="s">
        <v>492</v>
      </c>
      <c r="F110" s="10" t="s">
        <v>28</v>
      </c>
      <c r="G110" s="10"/>
    </row>
    <row r="111" spans="1:7" x14ac:dyDescent="0.35">
      <c r="A111" s="10" t="s">
        <v>499</v>
      </c>
      <c r="B111" s="12" t="s">
        <v>491</v>
      </c>
      <c r="C111" s="98" t="s">
        <v>185</v>
      </c>
      <c r="D111" s="91">
        <v>200</v>
      </c>
      <c r="E111" s="12" t="s">
        <v>492</v>
      </c>
      <c r="F111" s="10" t="s">
        <v>24</v>
      </c>
      <c r="G111" s="10"/>
    </row>
    <row r="112" spans="1:7" x14ac:dyDescent="0.35">
      <c r="A112" s="10" t="s">
        <v>499</v>
      </c>
      <c r="B112" s="12" t="s">
        <v>491</v>
      </c>
      <c r="C112" s="98" t="s">
        <v>185</v>
      </c>
      <c r="D112" s="181">
        <v>3393</v>
      </c>
      <c r="E112" s="12" t="s">
        <v>492</v>
      </c>
      <c r="F112" s="10" t="s">
        <v>28</v>
      </c>
      <c r="G112" s="10"/>
    </row>
    <row r="113" spans="1:7" x14ac:dyDescent="0.35">
      <c r="A113" s="10" t="s">
        <v>499</v>
      </c>
      <c r="B113" s="12" t="s">
        <v>491</v>
      </c>
      <c r="C113" s="98" t="s">
        <v>186</v>
      </c>
      <c r="D113" s="90">
        <v>250</v>
      </c>
      <c r="E113" s="12" t="s">
        <v>492</v>
      </c>
      <c r="F113" s="10" t="s">
        <v>24</v>
      </c>
      <c r="G113" s="10"/>
    </row>
    <row r="114" spans="1:7" x14ac:dyDescent="0.35">
      <c r="A114" s="10" t="s">
        <v>499</v>
      </c>
      <c r="B114" s="10" t="s">
        <v>469</v>
      </c>
      <c r="C114" s="98" t="s">
        <v>186</v>
      </c>
      <c r="D114" s="180">
        <v>330</v>
      </c>
      <c r="E114" s="12" t="s">
        <v>492</v>
      </c>
      <c r="F114" s="10" t="s">
        <v>607</v>
      </c>
      <c r="G114" s="10"/>
    </row>
    <row r="115" spans="1:7" x14ac:dyDescent="0.35">
      <c r="A115" s="10" t="s">
        <v>499</v>
      </c>
      <c r="B115" s="12" t="s">
        <v>491</v>
      </c>
      <c r="C115" s="98" t="s">
        <v>188</v>
      </c>
      <c r="D115" s="87">
        <v>7587</v>
      </c>
      <c r="E115" s="12" t="s">
        <v>492</v>
      </c>
      <c r="F115" s="10" t="s">
        <v>28</v>
      </c>
      <c r="G115" s="10"/>
    </row>
    <row r="116" spans="1:7" x14ac:dyDescent="0.35">
      <c r="A116" s="10" t="s">
        <v>499</v>
      </c>
      <c r="B116" s="12" t="s">
        <v>491</v>
      </c>
      <c r="C116" s="98" t="s">
        <v>202</v>
      </c>
      <c r="D116" s="88">
        <v>400</v>
      </c>
      <c r="E116" s="12" t="s">
        <v>492</v>
      </c>
      <c r="F116" s="10" t="s">
        <v>24</v>
      </c>
      <c r="G116" s="10"/>
    </row>
    <row r="117" spans="1:7" x14ac:dyDescent="0.35">
      <c r="A117" s="10" t="s">
        <v>499</v>
      </c>
      <c r="B117" s="12" t="s">
        <v>491</v>
      </c>
      <c r="C117" s="98" t="s">
        <v>202</v>
      </c>
      <c r="D117" s="88">
        <v>253</v>
      </c>
      <c r="E117" s="12" t="s">
        <v>492</v>
      </c>
      <c r="F117" s="10" t="s">
        <v>28</v>
      </c>
      <c r="G117" s="10"/>
    </row>
    <row r="118" spans="1:7" x14ac:dyDescent="0.35">
      <c r="A118" s="10" t="s">
        <v>399</v>
      </c>
      <c r="B118" s="10" t="s">
        <v>500</v>
      </c>
      <c r="C118" s="98" t="s">
        <v>168</v>
      </c>
      <c r="D118" s="19">
        <f>1000*(62.8*97.3/100)</f>
        <v>61104.4</v>
      </c>
      <c r="E118" s="12" t="s">
        <v>492</v>
      </c>
      <c r="F118" s="10" t="s">
        <v>501</v>
      </c>
      <c r="G118" s="10"/>
    </row>
    <row r="119" spans="1:7" x14ac:dyDescent="0.35">
      <c r="A119" s="10" t="s">
        <v>399</v>
      </c>
      <c r="B119" s="12" t="s">
        <v>224</v>
      </c>
      <c r="C119" s="98" t="s">
        <v>168</v>
      </c>
      <c r="D119" s="19">
        <v>577</v>
      </c>
      <c r="E119" s="12" t="s">
        <v>492</v>
      </c>
      <c r="F119" s="10" t="s">
        <v>28</v>
      </c>
      <c r="G119" s="10"/>
    </row>
    <row r="120" spans="1:7" x14ac:dyDescent="0.35">
      <c r="A120" s="10" t="s">
        <v>399</v>
      </c>
      <c r="B120" s="12" t="s">
        <v>221</v>
      </c>
      <c r="C120" s="98" t="s">
        <v>168</v>
      </c>
      <c r="D120" s="19">
        <v>542</v>
      </c>
      <c r="E120" s="12" t="s">
        <v>492</v>
      </c>
      <c r="F120" s="10" t="s">
        <v>28</v>
      </c>
      <c r="G120" s="10"/>
    </row>
    <row r="121" spans="1:7" x14ac:dyDescent="0.35">
      <c r="A121" s="10" t="s">
        <v>399</v>
      </c>
      <c r="B121" s="10" t="s">
        <v>221</v>
      </c>
      <c r="C121" s="98" t="s">
        <v>170</v>
      </c>
      <c r="D121" s="177">
        <v>0.4</v>
      </c>
      <c r="E121" s="12" t="s">
        <v>492</v>
      </c>
      <c r="F121" s="10" t="s">
        <v>607</v>
      </c>
      <c r="G121" s="10"/>
    </row>
    <row r="122" spans="1:7" x14ac:dyDescent="0.35">
      <c r="A122" s="10" t="s">
        <v>399</v>
      </c>
      <c r="B122" s="10" t="s">
        <v>500</v>
      </c>
      <c r="C122" s="98" t="s">
        <v>171</v>
      </c>
      <c r="D122" s="18">
        <v>427</v>
      </c>
      <c r="E122" s="12" t="s">
        <v>492</v>
      </c>
      <c r="F122" s="10" t="s">
        <v>621</v>
      </c>
      <c r="G122" s="10"/>
    </row>
    <row r="123" spans="1:7" x14ac:dyDescent="0.35">
      <c r="A123" s="10" t="s">
        <v>399</v>
      </c>
      <c r="B123" s="12" t="s">
        <v>224</v>
      </c>
      <c r="C123" s="98" t="s">
        <v>171</v>
      </c>
      <c r="D123" s="18">
        <v>5444</v>
      </c>
      <c r="E123" s="12" t="s">
        <v>492</v>
      </c>
      <c r="F123" s="10" t="s">
        <v>28</v>
      </c>
      <c r="G123" s="10"/>
    </row>
    <row r="124" spans="1:7" x14ac:dyDescent="0.35">
      <c r="A124" s="10" t="s">
        <v>399</v>
      </c>
      <c r="B124" s="12" t="s">
        <v>221</v>
      </c>
      <c r="C124" s="98" t="s">
        <v>171</v>
      </c>
      <c r="D124" s="18">
        <v>571</v>
      </c>
      <c r="E124" s="12" t="s">
        <v>492</v>
      </c>
      <c r="F124" s="10" t="s">
        <v>28</v>
      </c>
      <c r="G124" s="10"/>
    </row>
    <row r="125" spans="1:7" x14ac:dyDescent="0.35">
      <c r="A125" s="84" t="s">
        <v>399</v>
      </c>
      <c r="B125" s="92" t="s">
        <v>223</v>
      </c>
      <c r="C125" s="176" t="s">
        <v>174</v>
      </c>
      <c r="D125" s="83">
        <v>37.200000000000003</v>
      </c>
      <c r="E125" s="92" t="s">
        <v>492</v>
      </c>
      <c r="F125" s="84" t="s">
        <v>607</v>
      </c>
      <c r="G125" s="10"/>
    </row>
    <row r="126" spans="1:7" x14ac:dyDescent="0.35">
      <c r="A126" s="10" t="s">
        <v>399</v>
      </c>
      <c r="B126" s="10" t="s">
        <v>222</v>
      </c>
      <c r="C126" s="98" t="s">
        <v>174</v>
      </c>
      <c r="D126" s="13">
        <v>24.8</v>
      </c>
      <c r="E126" s="12" t="s">
        <v>492</v>
      </c>
      <c r="F126" s="10" t="s">
        <v>607</v>
      </c>
      <c r="G126" s="10"/>
    </row>
    <row r="127" spans="1:7" x14ac:dyDescent="0.35">
      <c r="A127" s="10" t="s">
        <v>399</v>
      </c>
      <c r="B127" s="10" t="s">
        <v>221</v>
      </c>
      <c r="C127" s="98" t="s">
        <v>174</v>
      </c>
      <c r="D127" s="13">
        <v>59.6</v>
      </c>
      <c r="E127" s="12" t="s">
        <v>492</v>
      </c>
      <c r="F127" s="10" t="s">
        <v>607</v>
      </c>
      <c r="G127" s="10"/>
    </row>
    <row r="128" spans="1:7" x14ac:dyDescent="0.35">
      <c r="A128" s="10" t="s">
        <v>399</v>
      </c>
      <c r="B128" s="10" t="s">
        <v>500</v>
      </c>
      <c r="C128" s="98" t="s">
        <v>174</v>
      </c>
      <c r="D128" s="13">
        <v>1345</v>
      </c>
      <c r="E128" s="12" t="s">
        <v>492</v>
      </c>
      <c r="F128" s="10" t="s">
        <v>595</v>
      </c>
      <c r="G128" s="10"/>
    </row>
    <row r="129" spans="1:7" x14ac:dyDescent="0.35">
      <c r="A129" s="10" t="s">
        <v>399</v>
      </c>
      <c r="B129" s="10" t="s">
        <v>500</v>
      </c>
      <c r="C129" s="98" t="s">
        <v>174</v>
      </c>
      <c r="D129" s="13">
        <v>1473.4</v>
      </c>
      <c r="E129" s="12" t="s">
        <v>492</v>
      </c>
      <c r="F129" s="10" t="s">
        <v>25</v>
      </c>
      <c r="G129" s="10"/>
    </row>
    <row r="130" spans="1:7" x14ac:dyDescent="0.35">
      <c r="A130" s="10" t="s">
        <v>399</v>
      </c>
      <c r="B130" s="10" t="s">
        <v>500</v>
      </c>
      <c r="C130" s="98" t="s">
        <v>174</v>
      </c>
      <c r="D130" s="19">
        <v>60</v>
      </c>
      <c r="E130" s="12" t="s">
        <v>492</v>
      </c>
      <c r="F130" s="10" t="s">
        <v>621</v>
      </c>
      <c r="G130" s="10"/>
    </row>
    <row r="131" spans="1:7" x14ac:dyDescent="0.35">
      <c r="A131" s="10" t="s">
        <v>399</v>
      </c>
      <c r="B131" s="12" t="s">
        <v>224</v>
      </c>
      <c r="C131" s="98" t="s">
        <v>174</v>
      </c>
      <c r="D131" s="13">
        <v>1523</v>
      </c>
      <c r="E131" s="12" t="s">
        <v>492</v>
      </c>
      <c r="F131" s="10" t="s">
        <v>28</v>
      </c>
      <c r="G131" s="10"/>
    </row>
    <row r="132" spans="1:7" x14ac:dyDescent="0.35">
      <c r="A132" s="10" t="s">
        <v>399</v>
      </c>
      <c r="B132" s="12" t="s">
        <v>221</v>
      </c>
      <c r="C132" s="98" t="s">
        <v>174</v>
      </c>
      <c r="D132" s="13">
        <v>1489</v>
      </c>
      <c r="E132" s="12" t="s">
        <v>492</v>
      </c>
      <c r="F132" s="10" t="s">
        <v>28</v>
      </c>
      <c r="G132" s="10"/>
    </row>
    <row r="133" spans="1:7" x14ac:dyDescent="0.35">
      <c r="A133" s="10" t="s">
        <v>399</v>
      </c>
      <c r="B133" s="10" t="s">
        <v>500</v>
      </c>
      <c r="C133" s="98" t="s">
        <v>175</v>
      </c>
      <c r="D133" s="13">
        <f>1000*(62.8*2.3/100)</f>
        <v>1444.3999999999996</v>
      </c>
      <c r="E133" s="12" t="s">
        <v>492</v>
      </c>
      <c r="F133" s="10" t="s">
        <v>501</v>
      </c>
      <c r="G133" s="10"/>
    </row>
    <row r="134" spans="1:7" x14ac:dyDescent="0.35">
      <c r="A134" s="10" t="s">
        <v>399</v>
      </c>
      <c r="B134" s="10" t="s">
        <v>221</v>
      </c>
      <c r="C134" s="98" t="s">
        <v>179</v>
      </c>
      <c r="D134" s="13">
        <v>0.5</v>
      </c>
      <c r="E134" s="12" t="s">
        <v>492</v>
      </c>
      <c r="F134" s="10" t="s">
        <v>607</v>
      </c>
      <c r="G134" s="10"/>
    </row>
    <row r="135" spans="1:7" x14ac:dyDescent="0.35">
      <c r="A135" s="10" t="s">
        <v>399</v>
      </c>
      <c r="B135" s="10" t="s">
        <v>500</v>
      </c>
      <c r="C135" s="98" t="s">
        <v>179</v>
      </c>
      <c r="D135" s="13">
        <v>1</v>
      </c>
      <c r="E135" s="12" t="s">
        <v>492</v>
      </c>
      <c r="F135" s="10" t="s">
        <v>621</v>
      </c>
      <c r="G135" s="10"/>
    </row>
    <row r="136" spans="1:7" x14ac:dyDescent="0.35">
      <c r="A136" s="10" t="s">
        <v>399</v>
      </c>
      <c r="B136" s="10" t="s">
        <v>221</v>
      </c>
      <c r="C136" s="98" t="s">
        <v>180</v>
      </c>
      <c r="D136" s="13">
        <v>1.4</v>
      </c>
      <c r="E136" s="12" t="s">
        <v>492</v>
      </c>
      <c r="F136" s="10" t="s">
        <v>607</v>
      </c>
      <c r="G136" s="10"/>
    </row>
    <row r="137" spans="1:7" x14ac:dyDescent="0.35">
      <c r="A137" s="10" t="s">
        <v>399</v>
      </c>
      <c r="B137" s="10" t="s">
        <v>500</v>
      </c>
      <c r="C137" s="98" t="s">
        <v>180</v>
      </c>
      <c r="D137" s="13">
        <v>2</v>
      </c>
      <c r="E137" s="12" t="s">
        <v>492</v>
      </c>
      <c r="F137" s="10" t="s">
        <v>621</v>
      </c>
      <c r="G137" s="10"/>
    </row>
    <row r="138" spans="1:7" x14ac:dyDescent="0.35">
      <c r="A138" s="10" t="s">
        <v>399</v>
      </c>
      <c r="B138" s="10" t="s">
        <v>500</v>
      </c>
      <c r="C138" s="98" t="s">
        <v>181</v>
      </c>
      <c r="D138" s="19">
        <v>502.4</v>
      </c>
      <c r="E138" s="12" t="s">
        <v>492</v>
      </c>
      <c r="F138" s="10" t="s">
        <v>627</v>
      </c>
      <c r="G138" s="10"/>
    </row>
    <row r="139" spans="1:7" x14ac:dyDescent="0.35">
      <c r="A139" s="10" t="s">
        <v>399</v>
      </c>
      <c r="B139" s="12" t="s">
        <v>224</v>
      </c>
      <c r="C139" s="98" t="s">
        <v>181</v>
      </c>
      <c r="D139" s="18">
        <v>72244</v>
      </c>
      <c r="E139" s="12" t="s">
        <v>492</v>
      </c>
      <c r="F139" s="10" t="s">
        <v>28</v>
      </c>
      <c r="G139" s="10"/>
    </row>
    <row r="140" spans="1:7" x14ac:dyDescent="0.35">
      <c r="A140" s="10" t="s">
        <v>399</v>
      </c>
      <c r="B140" s="12" t="s">
        <v>221</v>
      </c>
      <c r="C140" s="98" t="s">
        <v>181</v>
      </c>
      <c r="D140" s="18">
        <v>65888</v>
      </c>
      <c r="E140" s="12" t="s">
        <v>492</v>
      </c>
      <c r="F140" s="10" t="s">
        <v>28</v>
      </c>
      <c r="G140" s="10"/>
    </row>
    <row r="141" spans="1:7" x14ac:dyDescent="0.35">
      <c r="A141" s="10" t="s">
        <v>399</v>
      </c>
      <c r="B141" s="10" t="s">
        <v>500</v>
      </c>
      <c r="C141" s="98" t="s">
        <v>181</v>
      </c>
      <c r="D141" s="13">
        <v>476235.42</v>
      </c>
      <c r="E141" s="12" t="s">
        <v>492</v>
      </c>
      <c r="F141" s="10" t="s">
        <v>621</v>
      </c>
      <c r="G141" s="10"/>
    </row>
    <row r="142" spans="1:7" x14ac:dyDescent="0.35">
      <c r="A142" s="10" t="s">
        <v>399</v>
      </c>
      <c r="B142" s="10" t="s">
        <v>500</v>
      </c>
      <c r="C142" s="98" t="s">
        <v>182</v>
      </c>
      <c r="D142" s="13">
        <v>491.69888000000014</v>
      </c>
      <c r="E142" s="12" t="s">
        <v>492</v>
      </c>
      <c r="F142" s="10" t="s">
        <v>501</v>
      </c>
      <c r="G142" s="10"/>
    </row>
    <row r="143" spans="1:7" x14ac:dyDescent="0.35">
      <c r="A143" s="10" t="s">
        <v>399</v>
      </c>
      <c r="B143" s="10" t="s">
        <v>500</v>
      </c>
      <c r="C143" s="98" t="s">
        <v>182</v>
      </c>
      <c r="D143" s="13">
        <v>4</v>
      </c>
      <c r="E143" s="12" t="s">
        <v>492</v>
      </c>
      <c r="F143" s="10" t="s">
        <v>621</v>
      </c>
      <c r="G143" s="10"/>
    </row>
    <row r="144" spans="1:7" x14ac:dyDescent="0.35">
      <c r="A144" s="10" t="s">
        <v>399</v>
      </c>
      <c r="B144" s="12" t="s">
        <v>224</v>
      </c>
      <c r="C144" s="98" t="s">
        <v>182</v>
      </c>
      <c r="D144" s="13">
        <v>20</v>
      </c>
      <c r="E144" s="12" t="s">
        <v>492</v>
      </c>
      <c r="F144" s="10" t="s">
        <v>28</v>
      </c>
      <c r="G144" s="10"/>
    </row>
    <row r="145" spans="1:7" x14ac:dyDescent="0.35">
      <c r="A145" s="10" t="s">
        <v>399</v>
      </c>
      <c r="B145" s="12" t="s">
        <v>221</v>
      </c>
      <c r="C145" s="98" t="s">
        <v>182</v>
      </c>
      <c r="D145" s="13">
        <v>11</v>
      </c>
      <c r="E145" s="12" t="s">
        <v>492</v>
      </c>
      <c r="F145" s="10" t="s">
        <v>28</v>
      </c>
      <c r="G145" s="10"/>
    </row>
    <row r="146" spans="1:7" x14ac:dyDescent="0.35">
      <c r="A146" s="10" t="s">
        <v>399</v>
      </c>
      <c r="B146" s="12" t="s">
        <v>224</v>
      </c>
      <c r="C146" s="98" t="s">
        <v>184</v>
      </c>
      <c r="D146" s="17">
        <v>9</v>
      </c>
      <c r="E146" s="12" t="s">
        <v>492</v>
      </c>
      <c r="F146" s="10" t="s">
        <v>28</v>
      </c>
      <c r="G146" s="10"/>
    </row>
    <row r="147" spans="1:7" x14ac:dyDescent="0.35">
      <c r="A147" s="10" t="s">
        <v>399</v>
      </c>
      <c r="B147" s="12" t="s">
        <v>221</v>
      </c>
      <c r="C147" s="98" t="s">
        <v>184</v>
      </c>
      <c r="D147" s="17">
        <v>6</v>
      </c>
      <c r="E147" s="12" t="s">
        <v>492</v>
      </c>
      <c r="F147" s="10" t="s">
        <v>28</v>
      </c>
      <c r="G147" s="10"/>
    </row>
    <row r="148" spans="1:7" x14ac:dyDescent="0.35">
      <c r="A148" s="10" t="s">
        <v>399</v>
      </c>
      <c r="B148" s="10" t="s">
        <v>500</v>
      </c>
      <c r="C148" s="98" t="s">
        <v>185</v>
      </c>
      <c r="D148" s="13">
        <v>147.69</v>
      </c>
      <c r="E148" s="12" t="s">
        <v>492</v>
      </c>
      <c r="F148" s="10" t="s">
        <v>25</v>
      </c>
      <c r="G148" s="10"/>
    </row>
    <row r="149" spans="1:7" x14ac:dyDescent="0.35">
      <c r="A149" s="10" t="s">
        <v>399</v>
      </c>
      <c r="B149" s="12" t="s">
        <v>224</v>
      </c>
      <c r="C149" s="98" t="s">
        <v>185</v>
      </c>
      <c r="D149" s="13">
        <v>264</v>
      </c>
      <c r="E149" s="12" t="s">
        <v>492</v>
      </c>
      <c r="F149" s="10" t="s">
        <v>28</v>
      </c>
      <c r="G149" s="10"/>
    </row>
    <row r="150" spans="1:7" x14ac:dyDescent="0.35">
      <c r="A150" s="10" t="s">
        <v>399</v>
      </c>
      <c r="B150" s="12" t="s">
        <v>221</v>
      </c>
      <c r="C150" s="27" t="s">
        <v>185</v>
      </c>
      <c r="D150" s="13">
        <v>230</v>
      </c>
      <c r="E150" s="12" t="s">
        <v>492</v>
      </c>
      <c r="F150" s="10" t="s">
        <v>28</v>
      </c>
      <c r="G150" s="10"/>
    </row>
    <row r="151" spans="1:7" x14ac:dyDescent="0.35">
      <c r="A151" s="10" t="s">
        <v>399</v>
      </c>
      <c r="B151" s="12" t="s">
        <v>223</v>
      </c>
      <c r="C151" s="98" t="s">
        <v>186</v>
      </c>
      <c r="D151" s="18">
        <v>50.7</v>
      </c>
      <c r="E151" s="12" t="s">
        <v>492</v>
      </c>
      <c r="F151" s="10" t="s">
        <v>607</v>
      </c>
      <c r="G151" s="10"/>
    </row>
    <row r="152" spans="1:7" x14ac:dyDescent="0.35">
      <c r="A152" s="10" t="s">
        <v>399</v>
      </c>
      <c r="B152" s="10" t="s">
        <v>222</v>
      </c>
      <c r="C152" s="98" t="s">
        <v>186</v>
      </c>
      <c r="D152" s="18">
        <v>18.3</v>
      </c>
      <c r="E152" s="12" t="s">
        <v>492</v>
      </c>
      <c r="F152" s="10" t="s">
        <v>607</v>
      </c>
      <c r="G152" s="10"/>
    </row>
    <row r="153" spans="1:7" x14ac:dyDescent="0.35">
      <c r="A153" s="10" t="s">
        <v>399</v>
      </c>
      <c r="B153" s="10" t="s">
        <v>221</v>
      </c>
      <c r="C153" s="98" t="s">
        <v>186</v>
      </c>
      <c r="D153" s="18">
        <v>2.5</v>
      </c>
      <c r="E153" s="12" t="s">
        <v>492</v>
      </c>
      <c r="F153" s="10" t="s">
        <v>607</v>
      </c>
      <c r="G153" s="10"/>
    </row>
    <row r="154" spans="1:7" x14ac:dyDescent="0.35">
      <c r="A154" s="10" t="s">
        <v>399</v>
      </c>
      <c r="B154" s="10" t="s">
        <v>500</v>
      </c>
      <c r="C154" s="98" t="s">
        <v>186</v>
      </c>
      <c r="D154" s="18">
        <v>70.8</v>
      </c>
      <c r="E154" s="12" t="s">
        <v>492</v>
      </c>
      <c r="F154" s="10" t="s">
        <v>25</v>
      </c>
      <c r="G154" s="10"/>
    </row>
    <row r="155" spans="1:7" x14ac:dyDescent="0.35">
      <c r="A155" s="10" t="s">
        <v>399</v>
      </c>
      <c r="B155" s="10" t="s">
        <v>500</v>
      </c>
      <c r="C155" s="98" t="s">
        <v>186</v>
      </c>
      <c r="D155" s="18">
        <v>71</v>
      </c>
      <c r="E155" s="12" t="s">
        <v>492</v>
      </c>
      <c r="F155" s="10" t="s">
        <v>621</v>
      </c>
      <c r="G155" s="10"/>
    </row>
    <row r="156" spans="1:7" x14ac:dyDescent="0.35">
      <c r="A156" s="10" t="s">
        <v>399</v>
      </c>
      <c r="B156" s="10" t="s">
        <v>500</v>
      </c>
      <c r="C156" s="98" t="s">
        <v>186</v>
      </c>
      <c r="D156" s="18">
        <v>70.8</v>
      </c>
      <c r="E156" s="12" t="s">
        <v>492</v>
      </c>
      <c r="F156" s="10" t="s">
        <v>33</v>
      </c>
      <c r="G156" s="10"/>
    </row>
    <row r="157" spans="1:7" x14ac:dyDescent="0.35">
      <c r="A157" s="10" t="s">
        <v>399</v>
      </c>
      <c r="B157" s="12" t="s">
        <v>223</v>
      </c>
      <c r="C157" s="98" t="s">
        <v>188</v>
      </c>
      <c r="D157" s="18">
        <v>50.7</v>
      </c>
      <c r="E157" s="12" t="s">
        <v>492</v>
      </c>
      <c r="F157" s="10" t="s">
        <v>607</v>
      </c>
      <c r="G157" s="10"/>
    </row>
    <row r="158" spans="1:7" x14ac:dyDescent="0.35">
      <c r="A158" s="10" t="s">
        <v>399</v>
      </c>
      <c r="B158" s="10" t="s">
        <v>222</v>
      </c>
      <c r="C158" s="98" t="s">
        <v>188</v>
      </c>
      <c r="D158" s="18">
        <v>33.700000000000003</v>
      </c>
      <c r="E158" s="12" t="s">
        <v>492</v>
      </c>
      <c r="F158" s="10" t="s">
        <v>607</v>
      </c>
      <c r="G158" s="10"/>
    </row>
    <row r="159" spans="1:7" x14ac:dyDescent="0.35">
      <c r="A159" s="10" t="s">
        <v>399</v>
      </c>
      <c r="B159" s="10" t="s">
        <v>221</v>
      </c>
      <c r="C159" s="98" t="s">
        <v>188</v>
      </c>
      <c r="D159" s="18">
        <v>12.4</v>
      </c>
      <c r="E159" s="12" t="s">
        <v>492</v>
      </c>
      <c r="F159" s="10" t="s">
        <v>607</v>
      </c>
      <c r="G159" s="10"/>
    </row>
    <row r="160" spans="1:7" x14ac:dyDescent="0.35">
      <c r="A160" s="10" t="s">
        <v>399</v>
      </c>
      <c r="B160" s="10" t="s">
        <v>500</v>
      </c>
      <c r="C160" s="98" t="s">
        <v>188</v>
      </c>
      <c r="D160" s="18">
        <v>300</v>
      </c>
      <c r="E160" s="12" t="s">
        <v>492</v>
      </c>
      <c r="F160" s="10" t="s">
        <v>595</v>
      </c>
      <c r="G160" s="10"/>
    </row>
    <row r="161" spans="1:7" x14ac:dyDescent="0.35">
      <c r="A161" s="10" t="s">
        <v>399</v>
      </c>
      <c r="B161" s="10" t="s">
        <v>500</v>
      </c>
      <c r="C161" s="98" t="s">
        <v>188</v>
      </c>
      <c r="D161" s="13">
        <v>1297.4000000000001</v>
      </c>
      <c r="E161" s="12" t="s">
        <v>492</v>
      </c>
      <c r="F161" s="10" t="s">
        <v>25</v>
      </c>
      <c r="G161" s="10"/>
    </row>
    <row r="162" spans="1:7" x14ac:dyDescent="0.35">
      <c r="A162" s="10" t="s">
        <v>399</v>
      </c>
      <c r="B162" s="10" t="s">
        <v>500</v>
      </c>
      <c r="C162" s="98" t="s">
        <v>188</v>
      </c>
      <c r="D162" s="18">
        <v>256</v>
      </c>
      <c r="E162" s="12" t="s">
        <v>492</v>
      </c>
      <c r="F162" s="10" t="s">
        <v>621</v>
      </c>
      <c r="G162" s="10"/>
    </row>
    <row r="163" spans="1:7" x14ac:dyDescent="0.35">
      <c r="A163" s="10" t="s">
        <v>399</v>
      </c>
      <c r="B163" s="12" t="s">
        <v>224</v>
      </c>
      <c r="C163" s="98" t="s">
        <v>188</v>
      </c>
      <c r="D163" s="13">
        <v>3217</v>
      </c>
      <c r="E163" s="12" t="s">
        <v>492</v>
      </c>
      <c r="F163" s="10" t="s">
        <v>28</v>
      </c>
      <c r="G163" s="10"/>
    </row>
    <row r="164" spans="1:7" x14ac:dyDescent="0.35">
      <c r="A164" s="10" t="s">
        <v>399</v>
      </c>
      <c r="B164" s="12" t="s">
        <v>221</v>
      </c>
      <c r="C164" s="98" t="s">
        <v>188</v>
      </c>
      <c r="D164" s="13">
        <v>3355</v>
      </c>
      <c r="E164" s="12" t="s">
        <v>492</v>
      </c>
      <c r="F164" s="10" t="s">
        <v>28</v>
      </c>
      <c r="G164" s="10"/>
    </row>
    <row r="165" spans="1:7" x14ac:dyDescent="0.35">
      <c r="A165" s="10" t="s">
        <v>399</v>
      </c>
      <c r="B165" s="12" t="s">
        <v>223</v>
      </c>
      <c r="C165" s="98" t="s">
        <v>189</v>
      </c>
      <c r="D165" s="13">
        <v>0.01</v>
      </c>
      <c r="E165" s="12" t="s">
        <v>492</v>
      </c>
      <c r="F165" s="10" t="s">
        <v>607</v>
      </c>
      <c r="G165" s="10"/>
    </row>
    <row r="166" spans="1:7" x14ac:dyDescent="0.35">
      <c r="A166" s="10" t="s">
        <v>399</v>
      </c>
      <c r="B166" s="10" t="s">
        <v>221</v>
      </c>
      <c r="C166" s="98" t="s">
        <v>189</v>
      </c>
      <c r="D166" s="13">
        <v>0.3</v>
      </c>
      <c r="E166" s="12" t="s">
        <v>492</v>
      </c>
      <c r="F166" s="10" t="s">
        <v>607</v>
      </c>
      <c r="G166" s="10"/>
    </row>
    <row r="167" spans="1:7" x14ac:dyDescent="0.35">
      <c r="A167" s="10" t="s">
        <v>399</v>
      </c>
      <c r="B167" s="10" t="s">
        <v>500</v>
      </c>
      <c r="C167" s="98" t="s">
        <v>189</v>
      </c>
      <c r="D167" s="13">
        <v>2</v>
      </c>
      <c r="E167" s="12" t="s">
        <v>492</v>
      </c>
      <c r="F167" s="10" t="s">
        <v>621</v>
      </c>
      <c r="G167" s="10"/>
    </row>
    <row r="168" spans="1:7" x14ac:dyDescent="0.35">
      <c r="A168" s="10" t="s">
        <v>399</v>
      </c>
      <c r="B168" s="10" t="s">
        <v>221</v>
      </c>
      <c r="C168" s="98" t="s">
        <v>194</v>
      </c>
      <c r="D168" s="13">
        <v>7.5</v>
      </c>
      <c r="E168" s="12" t="s">
        <v>492</v>
      </c>
      <c r="F168" s="10" t="s">
        <v>607</v>
      </c>
      <c r="G168" s="10"/>
    </row>
    <row r="169" spans="1:7" x14ac:dyDescent="0.35">
      <c r="A169" s="10" t="s">
        <v>399</v>
      </c>
      <c r="B169" s="10" t="s">
        <v>500</v>
      </c>
      <c r="C169" s="98" t="s">
        <v>194</v>
      </c>
      <c r="D169" s="13">
        <v>8</v>
      </c>
      <c r="E169" s="12" t="s">
        <v>492</v>
      </c>
      <c r="F169" s="10" t="s">
        <v>621</v>
      </c>
      <c r="G169" s="10"/>
    </row>
    <row r="170" spans="1:7" x14ac:dyDescent="0.35">
      <c r="A170" s="10" t="s">
        <v>399</v>
      </c>
      <c r="B170" s="12" t="s">
        <v>224</v>
      </c>
      <c r="C170" s="98" t="s">
        <v>194</v>
      </c>
      <c r="D170" s="13">
        <v>0.06</v>
      </c>
      <c r="E170" s="12" t="s">
        <v>492</v>
      </c>
      <c r="F170" s="10" t="s">
        <v>28</v>
      </c>
      <c r="G170" s="10"/>
    </row>
    <row r="171" spans="1:7" x14ac:dyDescent="0.35">
      <c r="A171" s="10" t="s">
        <v>399</v>
      </c>
      <c r="B171" s="10" t="s">
        <v>500</v>
      </c>
      <c r="C171" s="98" t="s">
        <v>198</v>
      </c>
      <c r="D171" s="17">
        <v>5</v>
      </c>
      <c r="E171" s="12" t="s">
        <v>492</v>
      </c>
      <c r="F171" s="10" t="s">
        <v>621</v>
      </c>
      <c r="G171" s="10"/>
    </row>
    <row r="172" spans="1:7" x14ac:dyDescent="0.35">
      <c r="A172" s="10" t="s">
        <v>399</v>
      </c>
      <c r="B172" s="12" t="s">
        <v>224</v>
      </c>
      <c r="C172" s="98" t="s">
        <v>198</v>
      </c>
      <c r="D172" s="13">
        <v>0.3</v>
      </c>
      <c r="E172" s="12" t="s">
        <v>492</v>
      </c>
      <c r="F172" s="10" t="s">
        <v>28</v>
      </c>
      <c r="G172" s="10"/>
    </row>
    <row r="173" spans="1:7" x14ac:dyDescent="0.35">
      <c r="A173" s="10" t="s">
        <v>399</v>
      </c>
      <c r="B173" s="10" t="s">
        <v>500</v>
      </c>
      <c r="C173" s="98" t="s">
        <v>199</v>
      </c>
      <c r="D173" s="17">
        <v>5</v>
      </c>
      <c r="E173" s="12" t="s">
        <v>492</v>
      </c>
      <c r="F173" s="10" t="s">
        <v>621</v>
      </c>
      <c r="G173" s="10"/>
    </row>
    <row r="174" spans="1:7" x14ac:dyDescent="0.35">
      <c r="A174" s="10" t="s">
        <v>399</v>
      </c>
      <c r="B174" s="12" t="s">
        <v>223</v>
      </c>
      <c r="C174" s="98" t="s">
        <v>200</v>
      </c>
      <c r="D174" s="13">
        <v>1.7</v>
      </c>
      <c r="E174" s="12" t="s">
        <v>492</v>
      </c>
      <c r="F174" s="10" t="s">
        <v>607</v>
      </c>
      <c r="G174" s="10"/>
    </row>
    <row r="175" spans="1:7" x14ac:dyDescent="0.35">
      <c r="A175" s="10" t="s">
        <v>399</v>
      </c>
      <c r="B175" s="10" t="s">
        <v>222</v>
      </c>
      <c r="C175" s="98" t="s">
        <v>200</v>
      </c>
      <c r="D175" s="13">
        <v>1.2</v>
      </c>
      <c r="E175" s="12" t="s">
        <v>492</v>
      </c>
      <c r="F175" s="10" t="s">
        <v>607</v>
      </c>
      <c r="G175" s="10"/>
    </row>
    <row r="176" spans="1:7" x14ac:dyDescent="0.35">
      <c r="A176" s="10" t="s">
        <v>399</v>
      </c>
      <c r="B176" s="10" t="s">
        <v>221</v>
      </c>
      <c r="C176" s="98" t="s">
        <v>200</v>
      </c>
      <c r="D176" s="13">
        <v>3</v>
      </c>
      <c r="E176" s="12" t="s">
        <v>492</v>
      </c>
      <c r="F176" s="10" t="s">
        <v>607</v>
      </c>
      <c r="G176" s="10"/>
    </row>
    <row r="177" spans="1:7" x14ac:dyDescent="0.35">
      <c r="A177" s="10" t="s">
        <v>399</v>
      </c>
      <c r="B177" s="10" t="s">
        <v>500</v>
      </c>
      <c r="C177" s="98" t="s">
        <v>200</v>
      </c>
      <c r="D177" s="13">
        <v>1</v>
      </c>
      <c r="E177" s="12" t="s">
        <v>492</v>
      </c>
      <c r="F177" s="10" t="s">
        <v>621</v>
      </c>
      <c r="G177" s="10"/>
    </row>
    <row r="178" spans="1:7" x14ac:dyDescent="0.35">
      <c r="A178" s="10" t="s">
        <v>399</v>
      </c>
      <c r="B178" s="10" t="s">
        <v>500</v>
      </c>
      <c r="C178" s="98" t="s">
        <v>201</v>
      </c>
      <c r="D178" s="17">
        <v>1</v>
      </c>
      <c r="E178" s="12" t="s">
        <v>492</v>
      </c>
      <c r="F178" s="10" t="s">
        <v>621</v>
      </c>
      <c r="G178" s="10"/>
    </row>
    <row r="179" spans="1:7" x14ac:dyDescent="0.35">
      <c r="A179" s="10" t="s">
        <v>399</v>
      </c>
      <c r="B179" s="12" t="s">
        <v>224</v>
      </c>
      <c r="C179" s="98" t="s">
        <v>202</v>
      </c>
      <c r="D179" s="17">
        <v>87</v>
      </c>
      <c r="E179" s="12" t="s">
        <v>492</v>
      </c>
      <c r="F179" s="10" t="s">
        <v>28</v>
      </c>
      <c r="G179" s="10"/>
    </row>
    <row r="180" spans="1:7" x14ac:dyDescent="0.35">
      <c r="A180" s="10" t="s">
        <v>399</v>
      </c>
      <c r="B180" s="12" t="s">
        <v>221</v>
      </c>
      <c r="C180" s="98" t="s">
        <v>202</v>
      </c>
      <c r="D180" s="17">
        <v>48</v>
      </c>
      <c r="E180" s="12" t="s">
        <v>492</v>
      </c>
      <c r="F180" s="10" t="s">
        <v>28</v>
      </c>
      <c r="G180" s="10"/>
    </row>
    <row r="181" spans="1:7" x14ac:dyDescent="0.35">
      <c r="A181" s="10" t="s">
        <v>399</v>
      </c>
      <c r="B181" s="10" t="s">
        <v>500</v>
      </c>
      <c r="C181" s="98" t="s">
        <v>203</v>
      </c>
      <c r="D181" s="13">
        <v>31</v>
      </c>
      <c r="E181" s="12" t="s">
        <v>492</v>
      </c>
      <c r="F181" s="10" t="s">
        <v>621</v>
      </c>
      <c r="G181" s="10"/>
    </row>
    <row r="182" spans="1:7" x14ac:dyDescent="0.35">
      <c r="A182" s="10" t="s">
        <v>399</v>
      </c>
      <c r="B182" s="12" t="s">
        <v>224</v>
      </c>
      <c r="C182" s="98" t="s">
        <v>203</v>
      </c>
      <c r="D182" s="13">
        <v>14</v>
      </c>
      <c r="E182" s="12" t="s">
        <v>492</v>
      </c>
      <c r="F182" s="10" t="s">
        <v>28</v>
      </c>
      <c r="G182" s="10"/>
    </row>
    <row r="183" spans="1:7" x14ac:dyDescent="0.35">
      <c r="A183" s="10" t="s">
        <v>142</v>
      </c>
      <c r="B183" s="10" t="s">
        <v>491</v>
      </c>
      <c r="C183" s="98" t="s">
        <v>202</v>
      </c>
      <c r="D183" s="16">
        <v>100</v>
      </c>
      <c r="E183" s="12" t="s">
        <v>492</v>
      </c>
      <c r="F183" s="10" t="s">
        <v>502</v>
      </c>
      <c r="G183" s="10"/>
    </row>
    <row r="184" spans="1:7" x14ac:dyDescent="0.35">
      <c r="A184" s="10" t="s">
        <v>142</v>
      </c>
      <c r="B184" s="10" t="s">
        <v>503</v>
      </c>
      <c r="C184" s="98" t="s">
        <v>202</v>
      </c>
      <c r="D184" s="16">
        <v>650</v>
      </c>
      <c r="E184" s="12" t="s">
        <v>492</v>
      </c>
      <c r="F184" s="10" t="s">
        <v>23</v>
      </c>
      <c r="G184" s="10"/>
    </row>
    <row r="185" spans="1:7" x14ac:dyDescent="0.35">
      <c r="A185" s="10" t="s">
        <v>142</v>
      </c>
      <c r="B185" s="10" t="s">
        <v>504</v>
      </c>
      <c r="C185" s="98" t="s">
        <v>202</v>
      </c>
      <c r="D185" s="16">
        <v>1400</v>
      </c>
      <c r="E185" s="12" t="s">
        <v>492</v>
      </c>
      <c r="F185" s="10" t="s">
        <v>23</v>
      </c>
      <c r="G185" s="10"/>
    </row>
    <row r="186" spans="1:7" x14ac:dyDescent="0.35">
      <c r="A186" s="10" t="s">
        <v>142</v>
      </c>
      <c r="B186" s="10" t="s">
        <v>503</v>
      </c>
      <c r="C186" s="98" t="s">
        <v>200</v>
      </c>
      <c r="D186" s="29">
        <v>2</v>
      </c>
      <c r="E186" s="12" t="s">
        <v>492</v>
      </c>
      <c r="F186" s="10" t="s">
        <v>23</v>
      </c>
      <c r="G186" s="10"/>
    </row>
    <row r="187" spans="1:7" x14ac:dyDescent="0.35">
      <c r="A187" s="10" t="s">
        <v>142</v>
      </c>
      <c r="B187" s="10" t="s">
        <v>504</v>
      </c>
      <c r="C187" s="98" t="s">
        <v>200</v>
      </c>
      <c r="D187" s="182">
        <v>2</v>
      </c>
      <c r="E187" s="12" t="s">
        <v>492</v>
      </c>
      <c r="F187" s="10" t="s">
        <v>23</v>
      </c>
      <c r="G187" s="10"/>
    </row>
    <row r="188" spans="1:7" x14ac:dyDescent="0.35">
      <c r="A188" s="10" t="s">
        <v>142</v>
      </c>
      <c r="B188" s="10" t="s">
        <v>503</v>
      </c>
      <c r="C188" s="98" t="s">
        <v>194</v>
      </c>
      <c r="D188" s="16">
        <v>13</v>
      </c>
      <c r="E188" s="12" t="s">
        <v>492</v>
      </c>
      <c r="F188" s="10" t="s">
        <v>31</v>
      </c>
      <c r="G188" s="10"/>
    </row>
    <row r="189" spans="1:7" x14ac:dyDescent="0.35">
      <c r="A189" s="10" t="s">
        <v>142</v>
      </c>
      <c r="B189" s="10" t="s">
        <v>504</v>
      </c>
      <c r="C189" s="98" t="s">
        <v>194</v>
      </c>
      <c r="D189" s="16">
        <v>16</v>
      </c>
      <c r="E189" s="12" t="s">
        <v>492</v>
      </c>
      <c r="F189" s="10" t="s">
        <v>31</v>
      </c>
      <c r="G189" s="10"/>
    </row>
    <row r="190" spans="1:7" x14ac:dyDescent="0.35">
      <c r="A190" s="10" t="s">
        <v>142</v>
      </c>
      <c r="B190" s="10" t="s">
        <v>491</v>
      </c>
      <c r="C190" s="98" t="s">
        <v>194</v>
      </c>
      <c r="D190" s="21">
        <v>2000</v>
      </c>
      <c r="E190" s="12" t="s">
        <v>492</v>
      </c>
      <c r="F190" s="10" t="s">
        <v>502</v>
      </c>
      <c r="G190" s="10"/>
    </row>
    <row r="191" spans="1:7" x14ac:dyDescent="0.35">
      <c r="A191" s="10" t="s">
        <v>142</v>
      </c>
      <c r="B191" s="10" t="s">
        <v>503</v>
      </c>
      <c r="C191" s="98" t="s">
        <v>194</v>
      </c>
      <c r="D191" s="14">
        <v>13</v>
      </c>
      <c r="E191" s="12" t="s">
        <v>492</v>
      </c>
      <c r="F191" s="10" t="s">
        <v>505</v>
      </c>
      <c r="G191" s="10"/>
    </row>
    <row r="192" spans="1:7" x14ac:dyDescent="0.35">
      <c r="A192" s="10" t="s">
        <v>142</v>
      </c>
      <c r="B192" s="10" t="s">
        <v>504</v>
      </c>
      <c r="C192" s="98" t="s">
        <v>194</v>
      </c>
      <c r="D192" s="14">
        <v>16</v>
      </c>
      <c r="E192" s="12" t="s">
        <v>492</v>
      </c>
      <c r="F192" s="10" t="s">
        <v>505</v>
      </c>
      <c r="G192" s="10"/>
    </row>
    <row r="193" spans="1:7" x14ac:dyDescent="0.35">
      <c r="A193" s="10" t="s">
        <v>142</v>
      </c>
      <c r="B193" s="10" t="s">
        <v>503</v>
      </c>
      <c r="C193" s="98" t="s">
        <v>194</v>
      </c>
      <c r="D193" s="14">
        <v>8</v>
      </c>
      <c r="E193" s="12" t="s">
        <v>492</v>
      </c>
      <c r="F193" s="10" t="s">
        <v>23</v>
      </c>
      <c r="G193" s="10"/>
    </row>
    <row r="194" spans="1:7" x14ac:dyDescent="0.35">
      <c r="A194" s="10" t="s">
        <v>142</v>
      </c>
      <c r="B194" s="10" t="s">
        <v>504</v>
      </c>
      <c r="C194" s="98" t="s">
        <v>194</v>
      </c>
      <c r="D194" s="14">
        <v>12</v>
      </c>
      <c r="E194" s="12" t="s">
        <v>492</v>
      </c>
      <c r="F194" s="10" t="s">
        <v>23</v>
      </c>
      <c r="G194" s="10"/>
    </row>
    <row r="195" spans="1:7" x14ac:dyDescent="0.35">
      <c r="A195" s="10" t="s">
        <v>142</v>
      </c>
      <c r="B195" s="10" t="s">
        <v>491</v>
      </c>
      <c r="C195" s="98" t="s">
        <v>190</v>
      </c>
      <c r="D195" s="16">
        <v>100</v>
      </c>
      <c r="E195" s="12" t="s">
        <v>492</v>
      </c>
      <c r="F195" s="10" t="s">
        <v>502</v>
      </c>
      <c r="G195" s="10"/>
    </row>
    <row r="196" spans="1:7" x14ac:dyDescent="0.35">
      <c r="A196" s="10" t="s">
        <v>142</v>
      </c>
      <c r="B196" s="10" t="s">
        <v>491</v>
      </c>
      <c r="C196" s="98" t="s">
        <v>189</v>
      </c>
      <c r="D196" s="14">
        <v>2183</v>
      </c>
      <c r="E196" s="12" t="s">
        <v>492</v>
      </c>
      <c r="F196" s="10" t="s">
        <v>25</v>
      </c>
      <c r="G196" s="10"/>
    </row>
    <row r="197" spans="1:7" x14ac:dyDescent="0.35">
      <c r="A197" s="10" t="s">
        <v>142</v>
      </c>
      <c r="B197" s="10" t="s">
        <v>491</v>
      </c>
      <c r="C197" s="98" t="s">
        <v>189</v>
      </c>
      <c r="D197" s="14">
        <v>1145</v>
      </c>
      <c r="E197" s="12" t="s">
        <v>492</v>
      </c>
      <c r="F197" s="10" t="s">
        <v>502</v>
      </c>
      <c r="G197" s="10"/>
    </row>
    <row r="198" spans="1:7" x14ac:dyDescent="0.35">
      <c r="A198" s="10" t="s">
        <v>142</v>
      </c>
      <c r="B198" s="10" t="s">
        <v>504</v>
      </c>
      <c r="C198" s="98" t="s">
        <v>189</v>
      </c>
      <c r="D198" s="20">
        <v>140</v>
      </c>
      <c r="E198" s="12" t="s">
        <v>492</v>
      </c>
      <c r="F198" s="10" t="s">
        <v>23</v>
      </c>
      <c r="G198" s="10"/>
    </row>
    <row r="199" spans="1:7" x14ac:dyDescent="0.35">
      <c r="A199" s="10" t="s">
        <v>142</v>
      </c>
      <c r="B199" s="10" t="s">
        <v>503</v>
      </c>
      <c r="C199" s="98" t="s">
        <v>188</v>
      </c>
      <c r="D199" s="14">
        <v>940</v>
      </c>
      <c r="E199" s="12" t="s">
        <v>492</v>
      </c>
      <c r="F199" s="10" t="s">
        <v>31</v>
      </c>
      <c r="G199" s="10"/>
    </row>
    <row r="200" spans="1:7" x14ac:dyDescent="0.35">
      <c r="A200" s="10" t="s">
        <v>142</v>
      </c>
      <c r="B200" s="10" t="s">
        <v>504</v>
      </c>
      <c r="C200" s="98" t="s">
        <v>188</v>
      </c>
      <c r="D200" s="14">
        <v>1800</v>
      </c>
      <c r="E200" s="12" t="s">
        <v>492</v>
      </c>
      <c r="F200" s="10" t="s">
        <v>31</v>
      </c>
      <c r="G200" s="10"/>
    </row>
    <row r="201" spans="1:7" x14ac:dyDescent="0.35">
      <c r="A201" s="10" t="s">
        <v>142</v>
      </c>
      <c r="B201" s="10" t="s">
        <v>491</v>
      </c>
      <c r="C201" s="98" t="s">
        <v>188</v>
      </c>
      <c r="D201" s="21">
        <v>1</v>
      </c>
      <c r="E201" s="12" t="s">
        <v>492</v>
      </c>
      <c r="F201" s="10" t="s">
        <v>502</v>
      </c>
      <c r="G201" s="10"/>
    </row>
    <row r="202" spans="1:7" x14ac:dyDescent="0.35">
      <c r="A202" s="10" t="s">
        <v>142</v>
      </c>
      <c r="B202" s="10" t="s">
        <v>503</v>
      </c>
      <c r="C202" s="98" t="s">
        <v>188</v>
      </c>
      <c r="D202" s="14">
        <v>940</v>
      </c>
      <c r="E202" s="12" t="s">
        <v>492</v>
      </c>
      <c r="F202" s="10" t="s">
        <v>505</v>
      </c>
      <c r="G202" s="10"/>
    </row>
    <row r="203" spans="1:7" x14ac:dyDescent="0.35">
      <c r="A203" s="10" t="s">
        <v>142</v>
      </c>
      <c r="B203" s="10" t="s">
        <v>504</v>
      </c>
      <c r="C203" s="98" t="s">
        <v>188</v>
      </c>
      <c r="D203" s="14">
        <v>1800</v>
      </c>
      <c r="E203" s="12" t="s">
        <v>492</v>
      </c>
      <c r="F203" s="10" t="s">
        <v>505</v>
      </c>
      <c r="G203" s="10"/>
    </row>
    <row r="204" spans="1:7" x14ac:dyDescent="0.35">
      <c r="A204" s="10" t="s">
        <v>142</v>
      </c>
      <c r="B204" s="10" t="s">
        <v>503</v>
      </c>
      <c r="C204" s="98" t="s">
        <v>188</v>
      </c>
      <c r="D204" s="14">
        <v>471</v>
      </c>
      <c r="E204" s="12" t="s">
        <v>492</v>
      </c>
      <c r="F204" s="10" t="s">
        <v>23</v>
      </c>
      <c r="G204" s="10"/>
    </row>
    <row r="205" spans="1:7" x14ac:dyDescent="0.35">
      <c r="A205" s="10" t="s">
        <v>142</v>
      </c>
      <c r="B205" s="10" t="s">
        <v>504</v>
      </c>
      <c r="C205" s="98" t="s">
        <v>188</v>
      </c>
      <c r="D205" s="14">
        <v>1800</v>
      </c>
      <c r="E205" s="12" t="s">
        <v>492</v>
      </c>
      <c r="F205" s="10" t="s">
        <v>23</v>
      </c>
      <c r="G205" s="10"/>
    </row>
    <row r="206" spans="1:7" x14ac:dyDescent="0.35">
      <c r="A206" s="10" t="s">
        <v>142</v>
      </c>
      <c r="B206" s="10" t="s">
        <v>491</v>
      </c>
      <c r="C206" s="98" t="s">
        <v>186</v>
      </c>
      <c r="D206" s="21">
        <v>3761</v>
      </c>
      <c r="E206" s="12" t="s">
        <v>492</v>
      </c>
      <c r="F206" s="10" t="s">
        <v>502</v>
      </c>
      <c r="G206" s="10"/>
    </row>
    <row r="207" spans="1:7" x14ac:dyDescent="0.35">
      <c r="A207" s="10" t="s">
        <v>142</v>
      </c>
      <c r="B207" s="10" t="s">
        <v>503</v>
      </c>
      <c r="C207" s="98" t="s">
        <v>186</v>
      </c>
      <c r="D207" s="14">
        <v>200</v>
      </c>
      <c r="E207" s="12" t="s">
        <v>492</v>
      </c>
      <c r="F207" s="10" t="s">
        <v>505</v>
      </c>
      <c r="G207" s="10"/>
    </row>
    <row r="208" spans="1:7" x14ac:dyDescent="0.35">
      <c r="A208" s="10" t="s">
        <v>142</v>
      </c>
      <c r="B208" s="10" t="s">
        <v>504</v>
      </c>
      <c r="C208" s="98" t="s">
        <v>186</v>
      </c>
      <c r="D208" s="14">
        <v>56</v>
      </c>
      <c r="E208" s="12" t="s">
        <v>492</v>
      </c>
      <c r="F208" s="10" t="s">
        <v>505</v>
      </c>
      <c r="G208" s="10"/>
    </row>
    <row r="209" spans="1:7" x14ac:dyDescent="0.35">
      <c r="A209" s="10" t="s">
        <v>142</v>
      </c>
      <c r="B209" s="10" t="s">
        <v>503</v>
      </c>
      <c r="C209" s="98" t="s">
        <v>186</v>
      </c>
      <c r="D209" s="14">
        <v>200</v>
      </c>
      <c r="E209" s="12" t="s">
        <v>492</v>
      </c>
      <c r="F209" s="10" t="s">
        <v>23</v>
      </c>
      <c r="G209" s="10"/>
    </row>
    <row r="210" spans="1:7" x14ac:dyDescent="0.35">
      <c r="A210" s="10" t="s">
        <v>142</v>
      </c>
      <c r="B210" s="10" t="s">
        <v>504</v>
      </c>
      <c r="C210" s="98" t="s">
        <v>186</v>
      </c>
      <c r="D210" s="14">
        <v>56</v>
      </c>
      <c r="E210" s="12" t="s">
        <v>492</v>
      </c>
      <c r="F210" s="10" t="s">
        <v>23</v>
      </c>
      <c r="G210" s="10"/>
    </row>
    <row r="211" spans="1:7" x14ac:dyDescent="0.35">
      <c r="A211" s="10" t="s">
        <v>142</v>
      </c>
      <c r="B211" s="10" t="s">
        <v>491</v>
      </c>
      <c r="C211" s="98" t="s">
        <v>185</v>
      </c>
      <c r="D211" s="21">
        <v>100</v>
      </c>
      <c r="E211" s="12" t="s">
        <v>492</v>
      </c>
      <c r="F211" s="10" t="s">
        <v>502</v>
      </c>
      <c r="G211" s="10"/>
    </row>
    <row r="212" spans="1:7" x14ac:dyDescent="0.35">
      <c r="A212" s="10" t="s">
        <v>142</v>
      </c>
      <c r="B212" s="10" t="s">
        <v>503</v>
      </c>
      <c r="C212" s="98" t="s">
        <v>185</v>
      </c>
      <c r="D212" s="20">
        <v>2000</v>
      </c>
      <c r="E212" s="12" t="s">
        <v>492</v>
      </c>
      <c r="F212" s="10" t="s">
        <v>505</v>
      </c>
      <c r="G212" s="10"/>
    </row>
    <row r="213" spans="1:7" x14ac:dyDescent="0.35">
      <c r="A213" s="10" t="s">
        <v>142</v>
      </c>
      <c r="B213" s="10" t="s">
        <v>504</v>
      </c>
      <c r="C213" s="98" t="s">
        <v>185</v>
      </c>
      <c r="D213" s="14">
        <v>5700</v>
      </c>
      <c r="E213" s="12" t="s">
        <v>492</v>
      </c>
      <c r="F213" s="10" t="s">
        <v>505</v>
      </c>
      <c r="G213" s="10"/>
    </row>
    <row r="214" spans="1:7" x14ac:dyDescent="0.35">
      <c r="A214" s="10" t="s">
        <v>142</v>
      </c>
      <c r="B214" s="10" t="s">
        <v>503</v>
      </c>
      <c r="C214" s="98" t="s">
        <v>185</v>
      </c>
      <c r="D214" s="20">
        <v>736</v>
      </c>
      <c r="E214" s="12" t="s">
        <v>492</v>
      </c>
      <c r="F214" s="10" t="s">
        <v>23</v>
      </c>
      <c r="G214" s="10"/>
    </row>
    <row r="215" spans="1:7" x14ac:dyDescent="0.35">
      <c r="A215" s="10" t="s">
        <v>142</v>
      </c>
      <c r="B215" s="10" t="s">
        <v>504</v>
      </c>
      <c r="C215" s="98" t="s">
        <v>185</v>
      </c>
      <c r="D215" s="14">
        <v>5700</v>
      </c>
      <c r="E215" s="12" t="s">
        <v>492</v>
      </c>
      <c r="F215" s="10" t="s">
        <v>23</v>
      </c>
      <c r="G215" s="10"/>
    </row>
    <row r="216" spans="1:7" x14ac:dyDescent="0.35">
      <c r="A216" s="10" t="s">
        <v>142</v>
      </c>
      <c r="B216" s="10" t="s">
        <v>491</v>
      </c>
      <c r="C216" s="98" t="s">
        <v>184</v>
      </c>
      <c r="D216" s="14">
        <v>4000</v>
      </c>
      <c r="E216" s="12" t="s">
        <v>492</v>
      </c>
      <c r="F216" s="10" t="s">
        <v>502</v>
      </c>
      <c r="G216" s="10"/>
    </row>
    <row r="217" spans="1:7" x14ac:dyDescent="0.35">
      <c r="A217" s="10" t="s">
        <v>142</v>
      </c>
      <c r="B217" s="10" t="s">
        <v>503</v>
      </c>
      <c r="C217" s="98" t="s">
        <v>184</v>
      </c>
      <c r="D217" s="14">
        <v>3000</v>
      </c>
      <c r="E217" s="12" t="s">
        <v>492</v>
      </c>
      <c r="F217" s="10" t="s">
        <v>505</v>
      </c>
      <c r="G217" s="10"/>
    </row>
    <row r="218" spans="1:7" x14ac:dyDescent="0.35">
      <c r="A218" s="10" t="s">
        <v>142</v>
      </c>
      <c r="B218" s="10" t="s">
        <v>504</v>
      </c>
      <c r="C218" s="98" t="s">
        <v>184</v>
      </c>
      <c r="D218" s="14">
        <v>2600</v>
      </c>
      <c r="E218" s="12" t="s">
        <v>492</v>
      </c>
      <c r="F218" s="10" t="s">
        <v>505</v>
      </c>
      <c r="G218" s="10"/>
    </row>
    <row r="219" spans="1:7" x14ac:dyDescent="0.35">
      <c r="A219" s="10" t="s">
        <v>142</v>
      </c>
      <c r="B219" s="10" t="s">
        <v>503</v>
      </c>
      <c r="C219" s="98" t="s">
        <v>184</v>
      </c>
      <c r="D219" s="14">
        <v>1400</v>
      </c>
      <c r="E219" s="12" t="s">
        <v>492</v>
      </c>
      <c r="F219" s="10" t="s">
        <v>23</v>
      </c>
      <c r="G219" s="10"/>
    </row>
    <row r="220" spans="1:7" x14ac:dyDescent="0.35">
      <c r="A220" s="10" t="s">
        <v>142</v>
      </c>
      <c r="B220" s="10" t="s">
        <v>504</v>
      </c>
      <c r="C220" s="98" t="s">
        <v>184</v>
      </c>
      <c r="D220" s="14">
        <v>2600</v>
      </c>
      <c r="E220" s="12" t="s">
        <v>492</v>
      </c>
      <c r="F220" s="10" t="s">
        <v>23</v>
      </c>
      <c r="G220" s="10"/>
    </row>
    <row r="221" spans="1:7" x14ac:dyDescent="0.35">
      <c r="A221" s="10" t="s">
        <v>142</v>
      </c>
      <c r="B221" s="10" t="s">
        <v>491</v>
      </c>
      <c r="C221" s="98" t="s">
        <v>181</v>
      </c>
      <c r="D221" s="14">
        <v>500000</v>
      </c>
      <c r="E221" s="12" t="s">
        <v>492</v>
      </c>
      <c r="F221" s="10" t="s">
        <v>502</v>
      </c>
      <c r="G221" s="10"/>
    </row>
    <row r="222" spans="1:7" x14ac:dyDescent="0.35">
      <c r="A222" s="10" t="s">
        <v>142</v>
      </c>
      <c r="B222" s="10" t="s">
        <v>503</v>
      </c>
      <c r="C222" s="98" t="s">
        <v>181</v>
      </c>
      <c r="D222" s="14">
        <v>650000</v>
      </c>
      <c r="E222" s="12" t="s">
        <v>492</v>
      </c>
      <c r="F222" s="10" t="s">
        <v>505</v>
      </c>
      <c r="G222" s="10"/>
    </row>
    <row r="223" spans="1:7" x14ac:dyDescent="0.35">
      <c r="A223" s="10" t="s">
        <v>142</v>
      </c>
      <c r="B223" s="10" t="s">
        <v>504</v>
      </c>
      <c r="C223" s="98" t="s">
        <v>181</v>
      </c>
      <c r="D223" s="14">
        <v>393000</v>
      </c>
      <c r="E223" s="12" t="s">
        <v>492</v>
      </c>
      <c r="F223" s="10" t="s">
        <v>505</v>
      </c>
      <c r="G223" s="10"/>
    </row>
    <row r="224" spans="1:7" x14ac:dyDescent="0.35">
      <c r="A224" s="10" t="s">
        <v>142</v>
      </c>
      <c r="B224" s="10" t="s">
        <v>503</v>
      </c>
      <c r="C224" s="98" t="s">
        <v>181</v>
      </c>
      <c r="D224" s="183">
        <v>570849.67379999999</v>
      </c>
      <c r="E224" s="12" t="s">
        <v>492</v>
      </c>
      <c r="F224" s="10" t="s">
        <v>23</v>
      </c>
      <c r="G224" s="10" t="s">
        <v>496</v>
      </c>
    </row>
    <row r="225" spans="1:7" x14ac:dyDescent="0.35">
      <c r="A225" s="10" t="s">
        <v>142</v>
      </c>
      <c r="B225" s="10" t="s">
        <v>504</v>
      </c>
      <c r="C225" s="98" t="s">
        <v>181</v>
      </c>
      <c r="D225" s="183">
        <v>384589.8</v>
      </c>
      <c r="E225" s="12" t="s">
        <v>492</v>
      </c>
      <c r="F225" s="10" t="s">
        <v>23</v>
      </c>
      <c r="G225" s="10" t="s">
        <v>496</v>
      </c>
    </row>
    <row r="226" spans="1:7" x14ac:dyDescent="0.35">
      <c r="A226" s="10" t="s">
        <v>142</v>
      </c>
      <c r="B226" s="10" t="s">
        <v>491</v>
      </c>
      <c r="C226" s="98" t="s">
        <v>178</v>
      </c>
      <c r="D226" s="16">
        <v>100000</v>
      </c>
      <c r="E226" s="12" t="s">
        <v>492</v>
      </c>
      <c r="F226" s="10" t="s">
        <v>502</v>
      </c>
      <c r="G226" s="10"/>
    </row>
    <row r="227" spans="1:7" x14ac:dyDescent="0.35">
      <c r="A227" s="10" t="s">
        <v>142</v>
      </c>
      <c r="B227" s="10" t="s">
        <v>491</v>
      </c>
      <c r="C227" s="98" t="s">
        <v>211</v>
      </c>
      <c r="D227" s="16">
        <v>692</v>
      </c>
      <c r="E227" s="12" t="s">
        <v>492</v>
      </c>
      <c r="F227" s="10" t="s">
        <v>502</v>
      </c>
      <c r="G227" s="10"/>
    </row>
    <row r="228" spans="1:7" x14ac:dyDescent="0.35">
      <c r="A228" s="10" t="s">
        <v>142</v>
      </c>
      <c r="B228" s="10" t="s">
        <v>503</v>
      </c>
      <c r="C228" s="98" t="s">
        <v>174</v>
      </c>
      <c r="D228" s="20">
        <v>3200</v>
      </c>
      <c r="E228" s="12" t="s">
        <v>492</v>
      </c>
      <c r="F228" s="10" t="s">
        <v>31</v>
      </c>
      <c r="G228" s="10"/>
    </row>
    <row r="229" spans="1:7" x14ac:dyDescent="0.35">
      <c r="A229" s="10" t="s">
        <v>142</v>
      </c>
      <c r="B229" s="10" t="s">
        <v>504</v>
      </c>
      <c r="C229" s="98" t="s">
        <v>174</v>
      </c>
      <c r="D229" s="14">
        <v>1400</v>
      </c>
      <c r="E229" s="12" t="s">
        <v>492</v>
      </c>
      <c r="F229" s="10" t="s">
        <v>31</v>
      </c>
      <c r="G229" s="10"/>
    </row>
    <row r="230" spans="1:7" x14ac:dyDescent="0.35">
      <c r="A230" s="10" t="s">
        <v>142</v>
      </c>
      <c r="B230" s="10" t="s">
        <v>491</v>
      </c>
      <c r="C230" s="98" t="s">
        <v>174</v>
      </c>
      <c r="D230" s="14">
        <v>3000</v>
      </c>
      <c r="E230" s="12" t="s">
        <v>492</v>
      </c>
      <c r="F230" s="10" t="s">
        <v>502</v>
      </c>
      <c r="G230" s="10"/>
    </row>
    <row r="231" spans="1:7" x14ac:dyDescent="0.35">
      <c r="A231" s="10" t="s">
        <v>142</v>
      </c>
      <c r="B231" s="10" t="s">
        <v>503</v>
      </c>
      <c r="C231" s="98" t="s">
        <v>174</v>
      </c>
      <c r="D231" s="14">
        <v>3200</v>
      </c>
      <c r="E231" s="12" t="s">
        <v>492</v>
      </c>
      <c r="F231" s="10" t="s">
        <v>505</v>
      </c>
      <c r="G231" s="10"/>
    </row>
    <row r="232" spans="1:7" x14ac:dyDescent="0.35">
      <c r="A232" s="10" t="s">
        <v>142</v>
      </c>
      <c r="B232" s="10" t="s">
        <v>504</v>
      </c>
      <c r="C232" s="98" t="s">
        <v>174</v>
      </c>
      <c r="D232" s="14">
        <v>1400</v>
      </c>
      <c r="E232" s="12" t="s">
        <v>492</v>
      </c>
      <c r="F232" s="10" t="s">
        <v>505</v>
      </c>
      <c r="G232" s="10"/>
    </row>
    <row r="233" spans="1:7" x14ac:dyDescent="0.35">
      <c r="A233" s="10" t="s">
        <v>142</v>
      </c>
      <c r="B233" s="10" t="s">
        <v>503</v>
      </c>
      <c r="C233" s="98" t="s">
        <v>174</v>
      </c>
      <c r="D233" s="14">
        <v>3175</v>
      </c>
      <c r="E233" s="12" t="s">
        <v>492</v>
      </c>
      <c r="F233" s="10" t="s">
        <v>23</v>
      </c>
      <c r="G233" s="10"/>
    </row>
    <row r="234" spans="1:7" x14ac:dyDescent="0.35">
      <c r="A234" s="10" t="s">
        <v>142</v>
      </c>
      <c r="B234" s="10" t="s">
        <v>504</v>
      </c>
      <c r="C234" s="98" t="s">
        <v>174</v>
      </c>
      <c r="D234" s="14">
        <v>1400</v>
      </c>
      <c r="E234" s="12" t="s">
        <v>492</v>
      </c>
      <c r="F234" s="10" t="s">
        <v>23</v>
      </c>
      <c r="G234" s="10"/>
    </row>
    <row r="235" spans="1:7" x14ac:dyDescent="0.35">
      <c r="A235" s="10" t="s">
        <v>142</v>
      </c>
      <c r="B235" s="10" t="s">
        <v>491</v>
      </c>
      <c r="C235" s="98" t="s">
        <v>173</v>
      </c>
      <c r="D235" s="16">
        <v>1000000</v>
      </c>
      <c r="E235" s="12" t="s">
        <v>492</v>
      </c>
      <c r="F235" s="10" t="s">
        <v>502</v>
      </c>
      <c r="G235" s="10"/>
    </row>
    <row r="236" spans="1:7" x14ac:dyDescent="0.35">
      <c r="A236" s="10" t="s">
        <v>142</v>
      </c>
      <c r="B236" s="10" t="s">
        <v>491</v>
      </c>
      <c r="C236" s="98" t="s">
        <v>172</v>
      </c>
      <c r="D236" s="16">
        <v>326</v>
      </c>
      <c r="E236" s="12" t="s">
        <v>492</v>
      </c>
      <c r="F236" s="10" t="s">
        <v>25</v>
      </c>
      <c r="G236" s="10"/>
    </row>
    <row r="237" spans="1:7" x14ac:dyDescent="0.35">
      <c r="A237" s="10" t="s">
        <v>142</v>
      </c>
      <c r="B237" s="10" t="s">
        <v>503</v>
      </c>
      <c r="C237" s="98" t="s">
        <v>171</v>
      </c>
      <c r="D237" s="19">
        <v>2190</v>
      </c>
      <c r="E237" s="12" t="s">
        <v>492</v>
      </c>
      <c r="F237" s="10" t="s">
        <v>31</v>
      </c>
      <c r="G237" s="10"/>
    </row>
    <row r="238" spans="1:7" x14ac:dyDescent="0.35">
      <c r="A238" s="10" t="s">
        <v>142</v>
      </c>
      <c r="B238" s="10" t="s">
        <v>491</v>
      </c>
      <c r="C238" s="98" t="s">
        <v>171</v>
      </c>
      <c r="D238" s="14">
        <v>3000</v>
      </c>
      <c r="E238" s="12" t="s">
        <v>492</v>
      </c>
      <c r="F238" s="10" t="s">
        <v>502</v>
      </c>
      <c r="G238" s="10"/>
    </row>
    <row r="239" spans="1:7" x14ac:dyDescent="0.35">
      <c r="A239" s="10" t="s">
        <v>142</v>
      </c>
      <c r="B239" s="10" t="s">
        <v>503</v>
      </c>
      <c r="C239" s="98" t="s">
        <v>171</v>
      </c>
      <c r="D239" s="14">
        <v>4733</v>
      </c>
      <c r="E239" s="12" t="s">
        <v>492</v>
      </c>
      <c r="F239" s="10" t="s">
        <v>23</v>
      </c>
      <c r="G239" s="10"/>
    </row>
    <row r="240" spans="1:7" x14ac:dyDescent="0.35">
      <c r="A240" s="10" t="s">
        <v>142</v>
      </c>
      <c r="B240" s="10" t="s">
        <v>504</v>
      </c>
      <c r="C240" s="98" t="s">
        <v>171</v>
      </c>
      <c r="D240" s="184">
        <v>3700</v>
      </c>
      <c r="E240" s="12" t="s">
        <v>492</v>
      </c>
      <c r="F240" s="10" t="s">
        <v>23</v>
      </c>
      <c r="G240" s="10"/>
    </row>
    <row r="241" spans="1:7" x14ac:dyDescent="0.35">
      <c r="A241" s="10" t="s">
        <v>142</v>
      </c>
      <c r="B241" s="10" t="s">
        <v>491</v>
      </c>
      <c r="C241" s="98" t="s">
        <v>168</v>
      </c>
      <c r="D241" s="14">
        <v>200</v>
      </c>
      <c r="E241" s="12" t="s">
        <v>492</v>
      </c>
      <c r="F241" s="10" t="s">
        <v>502</v>
      </c>
      <c r="G241" s="10"/>
    </row>
    <row r="242" spans="1:7" x14ac:dyDescent="0.35">
      <c r="A242" s="10" t="s">
        <v>142</v>
      </c>
      <c r="B242" s="10" t="s">
        <v>504</v>
      </c>
      <c r="C242" s="98" t="s">
        <v>168</v>
      </c>
      <c r="D242" s="13">
        <v>11000</v>
      </c>
      <c r="E242" s="12" t="s">
        <v>492</v>
      </c>
      <c r="F242" s="10" t="s">
        <v>505</v>
      </c>
      <c r="G242" s="10"/>
    </row>
    <row r="243" spans="1:7" x14ac:dyDescent="0.35">
      <c r="A243" s="10" t="s">
        <v>142</v>
      </c>
      <c r="B243" s="10" t="s">
        <v>503</v>
      </c>
      <c r="C243" s="98" t="s">
        <v>168</v>
      </c>
      <c r="D243" s="14">
        <v>285</v>
      </c>
      <c r="E243" s="12" t="s">
        <v>492</v>
      </c>
      <c r="F243" s="10" t="s">
        <v>23</v>
      </c>
      <c r="G243" s="10"/>
    </row>
    <row r="244" spans="1:7" x14ac:dyDescent="0.35">
      <c r="A244" s="10" t="s">
        <v>142</v>
      </c>
      <c r="B244" s="10" t="s">
        <v>504</v>
      </c>
      <c r="C244" s="98" t="s">
        <v>168</v>
      </c>
      <c r="D244" s="13">
        <v>72967</v>
      </c>
      <c r="E244" s="12" t="s">
        <v>492</v>
      </c>
      <c r="F244" s="10" t="s">
        <v>23</v>
      </c>
      <c r="G244" s="10"/>
    </row>
    <row r="245" spans="1:7" x14ac:dyDescent="0.35">
      <c r="A245" s="10" t="s">
        <v>141</v>
      </c>
      <c r="B245" s="10" t="s">
        <v>491</v>
      </c>
      <c r="C245" s="98" t="s">
        <v>168</v>
      </c>
      <c r="D245" s="178">
        <v>7288</v>
      </c>
      <c r="E245" s="12" t="s">
        <v>492</v>
      </c>
      <c r="F245" s="10" t="s">
        <v>485</v>
      </c>
      <c r="G245" s="10"/>
    </row>
    <row r="246" spans="1:7" x14ac:dyDescent="0.35">
      <c r="A246" s="10" t="s">
        <v>141</v>
      </c>
      <c r="B246" s="10" t="s">
        <v>491</v>
      </c>
      <c r="C246" s="98" t="s">
        <v>168</v>
      </c>
      <c r="D246" s="178">
        <f>9.4*80000/100</f>
        <v>7520</v>
      </c>
      <c r="E246" s="12" t="s">
        <v>492</v>
      </c>
      <c r="F246" s="10" t="s">
        <v>26</v>
      </c>
      <c r="G246" s="10"/>
    </row>
    <row r="247" spans="1:7" x14ac:dyDescent="0.35">
      <c r="A247" s="10" t="s">
        <v>141</v>
      </c>
      <c r="B247" s="10" t="s">
        <v>208</v>
      </c>
      <c r="C247" s="98" t="s">
        <v>168</v>
      </c>
      <c r="D247" s="13">
        <v>10953</v>
      </c>
      <c r="E247" s="12" t="s">
        <v>492</v>
      </c>
      <c r="F247" s="10" t="s">
        <v>470</v>
      </c>
      <c r="G247" s="10"/>
    </row>
    <row r="248" spans="1:7" ht="12" customHeight="1" x14ac:dyDescent="0.35">
      <c r="A248" s="10" t="s">
        <v>141</v>
      </c>
      <c r="B248" s="10" t="s">
        <v>208</v>
      </c>
      <c r="C248" s="98" t="s">
        <v>168</v>
      </c>
      <c r="D248" s="178">
        <v>31407.3</v>
      </c>
      <c r="E248" s="12" t="s">
        <v>492</v>
      </c>
      <c r="F248" s="6" t="s">
        <v>209</v>
      </c>
      <c r="G248" s="10"/>
    </row>
    <row r="249" spans="1:7" x14ac:dyDescent="0.35">
      <c r="A249" s="10" t="s">
        <v>141</v>
      </c>
      <c r="B249" s="10" t="s">
        <v>207</v>
      </c>
      <c r="C249" s="98" t="s">
        <v>168</v>
      </c>
      <c r="D249" s="178">
        <v>31300</v>
      </c>
      <c r="E249" s="12" t="s">
        <v>492</v>
      </c>
      <c r="F249" s="10" t="s">
        <v>622</v>
      </c>
      <c r="G249" s="10"/>
    </row>
    <row r="250" spans="1:7" x14ac:dyDescent="0.35">
      <c r="A250" s="10" t="s">
        <v>141</v>
      </c>
      <c r="B250" s="10" t="s">
        <v>206</v>
      </c>
      <c r="C250" s="98" t="s">
        <v>168</v>
      </c>
      <c r="D250" s="178">
        <v>38500</v>
      </c>
      <c r="E250" s="12" t="s">
        <v>492</v>
      </c>
      <c r="F250" s="10" t="s">
        <v>622</v>
      </c>
      <c r="G250" s="10"/>
    </row>
    <row r="251" spans="1:7" x14ac:dyDescent="0.35">
      <c r="A251" s="10" t="s">
        <v>141</v>
      </c>
      <c r="B251" s="10" t="s">
        <v>204</v>
      </c>
      <c r="C251" s="98" t="s">
        <v>168</v>
      </c>
      <c r="D251" s="178">
        <v>2000</v>
      </c>
      <c r="E251" s="12" t="s">
        <v>492</v>
      </c>
      <c r="F251" s="10" t="s">
        <v>24</v>
      </c>
      <c r="G251" s="10" t="s">
        <v>623</v>
      </c>
    </row>
    <row r="252" spans="1:7" x14ac:dyDescent="0.35">
      <c r="A252" s="10" t="s">
        <v>141</v>
      </c>
      <c r="B252" s="10" t="s">
        <v>204</v>
      </c>
      <c r="C252" s="98" t="s">
        <v>168</v>
      </c>
      <c r="D252" s="178">
        <v>1051</v>
      </c>
      <c r="E252" s="12" t="s">
        <v>492</v>
      </c>
      <c r="F252" s="10" t="s">
        <v>23</v>
      </c>
      <c r="G252" s="10" t="s">
        <v>623</v>
      </c>
    </row>
    <row r="253" spans="1:7" x14ac:dyDescent="0.35">
      <c r="A253" s="10" t="s">
        <v>141</v>
      </c>
      <c r="B253" s="10" t="s">
        <v>204</v>
      </c>
      <c r="C253" s="98" t="s">
        <v>168</v>
      </c>
      <c r="D253" s="185">
        <v>102</v>
      </c>
      <c r="E253" s="12" t="s">
        <v>492</v>
      </c>
      <c r="F253" s="10" t="s">
        <v>506</v>
      </c>
      <c r="G253" s="10" t="s">
        <v>623</v>
      </c>
    </row>
    <row r="254" spans="1:7" x14ac:dyDescent="0.35">
      <c r="A254" s="10" t="s">
        <v>141</v>
      </c>
      <c r="B254" s="10" t="s">
        <v>205</v>
      </c>
      <c r="C254" s="98" t="s">
        <v>168</v>
      </c>
      <c r="D254" s="178">
        <v>20000</v>
      </c>
      <c r="E254" s="12" t="s">
        <v>492</v>
      </c>
      <c r="F254" s="10" t="s">
        <v>24</v>
      </c>
      <c r="G254" s="10" t="s">
        <v>623</v>
      </c>
    </row>
    <row r="255" spans="1:7" x14ac:dyDescent="0.35">
      <c r="A255" s="10" t="s">
        <v>141</v>
      </c>
      <c r="B255" s="10" t="s">
        <v>205</v>
      </c>
      <c r="C255" s="98" t="s">
        <v>168</v>
      </c>
      <c r="D255" s="178">
        <v>33500</v>
      </c>
      <c r="E255" s="12" t="s">
        <v>492</v>
      </c>
      <c r="F255" s="10" t="s">
        <v>23</v>
      </c>
      <c r="G255" s="10" t="s">
        <v>623</v>
      </c>
    </row>
    <row r="256" spans="1:7" x14ac:dyDescent="0.35">
      <c r="A256" s="10" t="s">
        <v>141</v>
      </c>
      <c r="B256" s="10" t="s">
        <v>491</v>
      </c>
      <c r="C256" s="98" t="s">
        <v>169</v>
      </c>
      <c r="D256" s="186">
        <v>8.0000000000000004E-4</v>
      </c>
      <c r="E256" s="12" t="s">
        <v>492</v>
      </c>
      <c r="F256" s="10" t="s">
        <v>506</v>
      </c>
      <c r="G256" s="10" t="s">
        <v>507</v>
      </c>
    </row>
    <row r="257" spans="1:7" x14ac:dyDescent="0.35">
      <c r="A257" s="10" t="s">
        <v>141</v>
      </c>
      <c r="B257" s="10" t="s">
        <v>1</v>
      </c>
      <c r="C257" s="98" t="s">
        <v>170</v>
      </c>
      <c r="D257" s="178">
        <v>50</v>
      </c>
      <c r="E257" s="12" t="s">
        <v>492</v>
      </c>
      <c r="F257" s="10" t="s">
        <v>30</v>
      </c>
      <c r="G257" s="10"/>
    </row>
    <row r="258" spans="1:7" x14ac:dyDescent="0.35">
      <c r="A258" s="10" t="s">
        <v>141</v>
      </c>
      <c r="B258" s="10" t="s">
        <v>1</v>
      </c>
      <c r="C258" s="98" t="s">
        <v>170</v>
      </c>
      <c r="D258" s="178" t="s">
        <v>508</v>
      </c>
      <c r="E258" s="12" t="s">
        <v>492</v>
      </c>
      <c r="F258" s="10" t="s">
        <v>600</v>
      </c>
      <c r="G258" s="10" t="s">
        <v>624</v>
      </c>
    </row>
    <row r="259" spans="1:7" x14ac:dyDescent="0.35">
      <c r="A259" s="10" t="s">
        <v>141</v>
      </c>
      <c r="B259" s="10" t="s">
        <v>1</v>
      </c>
      <c r="C259" s="98" t="s">
        <v>170</v>
      </c>
      <c r="D259" s="178">
        <v>138</v>
      </c>
      <c r="E259" s="12" t="s">
        <v>492</v>
      </c>
      <c r="F259" s="10" t="s">
        <v>589</v>
      </c>
      <c r="G259" s="10"/>
    </row>
    <row r="260" spans="1:7" x14ac:dyDescent="0.35">
      <c r="A260" s="10" t="s">
        <v>141</v>
      </c>
      <c r="B260" s="10" t="s">
        <v>1</v>
      </c>
      <c r="C260" s="98" t="s">
        <v>170</v>
      </c>
      <c r="D260" s="178">
        <v>87</v>
      </c>
      <c r="E260" s="12" t="s">
        <v>492</v>
      </c>
      <c r="F260" s="10" t="s">
        <v>23</v>
      </c>
      <c r="G260" s="10" t="s">
        <v>509</v>
      </c>
    </row>
    <row r="261" spans="1:7" ht="19" customHeight="1" x14ac:dyDescent="0.35">
      <c r="A261" s="10" t="s">
        <v>141</v>
      </c>
      <c r="B261" s="10" t="s">
        <v>208</v>
      </c>
      <c r="C261" s="98" t="s">
        <v>170</v>
      </c>
      <c r="D261" s="186">
        <v>0.3</v>
      </c>
      <c r="E261" s="12" t="s">
        <v>492</v>
      </c>
      <c r="F261" s="6" t="s">
        <v>209</v>
      </c>
      <c r="G261" s="10"/>
    </row>
    <row r="262" spans="1:7" x14ac:dyDescent="0.35">
      <c r="A262" s="10" t="s">
        <v>141</v>
      </c>
      <c r="B262" s="10" t="s">
        <v>204</v>
      </c>
      <c r="C262" s="98" t="s">
        <v>171</v>
      </c>
      <c r="D262" s="187">
        <v>61</v>
      </c>
      <c r="E262" s="12" t="s">
        <v>492</v>
      </c>
      <c r="F262" s="10" t="s">
        <v>23</v>
      </c>
      <c r="G262" s="10" t="s">
        <v>625</v>
      </c>
    </row>
    <row r="263" spans="1:7" x14ac:dyDescent="0.35">
      <c r="A263" s="10" t="s">
        <v>141</v>
      </c>
      <c r="B263" s="10" t="s">
        <v>205</v>
      </c>
      <c r="C263" s="98" t="s">
        <v>171</v>
      </c>
      <c r="D263" s="187">
        <v>3700</v>
      </c>
      <c r="E263" s="12" t="s">
        <v>492</v>
      </c>
      <c r="F263" s="10" t="s">
        <v>23</v>
      </c>
      <c r="G263" s="10" t="s">
        <v>625</v>
      </c>
    </row>
    <row r="264" spans="1:7" x14ac:dyDescent="0.35">
      <c r="A264" s="10" t="s">
        <v>141</v>
      </c>
      <c r="B264" s="10" t="s">
        <v>491</v>
      </c>
      <c r="C264" s="98" t="s">
        <v>173</v>
      </c>
      <c r="D264" s="186">
        <v>60700</v>
      </c>
      <c r="E264" s="12" t="s">
        <v>492</v>
      </c>
      <c r="F264" s="10" t="s">
        <v>30</v>
      </c>
      <c r="G264" s="10"/>
    </row>
    <row r="265" spans="1:7" x14ac:dyDescent="0.35">
      <c r="A265" s="10" t="s">
        <v>141</v>
      </c>
      <c r="B265" s="10" t="s">
        <v>2</v>
      </c>
      <c r="C265" s="98" t="s">
        <v>173</v>
      </c>
      <c r="D265" s="188">
        <v>60700</v>
      </c>
      <c r="E265" s="12" t="s">
        <v>492</v>
      </c>
      <c r="F265" s="10" t="s">
        <v>30</v>
      </c>
      <c r="G265" s="10"/>
    </row>
    <row r="266" spans="1:7" x14ac:dyDescent="0.35">
      <c r="A266" s="10" t="s">
        <v>141</v>
      </c>
      <c r="B266" s="10" t="s">
        <v>1</v>
      </c>
      <c r="C266" s="98" t="s">
        <v>173</v>
      </c>
      <c r="D266" s="186">
        <v>60700</v>
      </c>
      <c r="E266" s="12" t="s">
        <v>492</v>
      </c>
      <c r="F266" s="10" t="s">
        <v>30</v>
      </c>
      <c r="G266" s="10"/>
    </row>
    <row r="267" spans="1:7" x14ac:dyDescent="0.35">
      <c r="A267" s="10" t="s">
        <v>141</v>
      </c>
      <c r="B267" s="12" t="s">
        <v>153</v>
      </c>
      <c r="C267" s="98" t="s">
        <v>173</v>
      </c>
      <c r="D267" s="186">
        <v>60700</v>
      </c>
      <c r="E267" s="12" t="s">
        <v>492</v>
      </c>
      <c r="F267" s="10" t="s">
        <v>30</v>
      </c>
      <c r="G267" s="10"/>
    </row>
    <row r="268" spans="1:7" x14ac:dyDescent="0.35">
      <c r="A268" s="10" t="s">
        <v>141</v>
      </c>
      <c r="B268" s="10" t="s">
        <v>208</v>
      </c>
      <c r="C268" s="98" t="s">
        <v>173</v>
      </c>
      <c r="D268" s="186">
        <v>60700</v>
      </c>
      <c r="E268" s="12" t="s">
        <v>492</v>
      </c>
      <c r="F268" s="10" t="s">
        <v>30</v>
      </c>
      <c r="G268" s="10"/>
    </row>
    <row r="269" spans="1:7" x14ac:dyDescent="0.35">
      <c r="A269" s="10" t="s">
        <v>141</v>
      </c>
      <c r="B269" s="12" t="s">
        <v>491</v>
      </c>
      <c r="C269" s="98" t="s">
        <v>174</v>
      </c>
      <c r="D269" s="21">
        <v>22</v>
      </c>
      <c r="E269" s="12" t="s">
        <v>492</v>
      </c>
      <c r="F269" s="10" t="s">
        <v>607</v>
      </c>
      <c r="G269" s="10"/>
    </row>
    <row r="270" spans="1:7" x14ac:dyDescent="0.35">
      <c r="A270" s="10" t="s">
        <v>141</v>
      </c>
      <c r="B270" s="10" t="s">
        <v>491</v>
      </c>
      <c r="C270" s="98" t="s">
        <v>174</v>
      </c>
      <c r="D270" s="178">
        <v>3707</v>
      </c>
      <c r="E270" s="12" t="s">
        <v>492</v>
      </c>
      <c r="F270" s="10" t="s">
        <v>485</v>
      </c>
      <c r="G270" s="10"/>
    </row>
    <row r="271" spans="1:7" x14ac:dyDescent="0.35">
      <c r="A271" s="10" t="s">
        <v>141</v>
      </c>
      <c r="B271" s="10" t="s">
        <v>491</v>
      </c>
      <c r="C271" s="98" t="s">
        <v>174</v>
      </c>
      <c r="D271" s="178">
        <f>5.8*80000/100</f>
        <v>4640</v>
      </c>
      <c r="E271" s="12" t="s">
        <v>492</v>
      </c>
      <c r="F271" s="10" t="s">
        <v>26</v>
      </c>
      <c r="G271" s="10"/>
    </row>
    <row r="272" spans="1:7" x14ac:dyDescent="0.35">
      <c r="A272" s="10" t="s">
        <v>141</v>
      </c>
      <c r="B272" s="10" t="s">
        <v>3</v>
      </c>
      <c r="C272" s="98" t="s">
        <v>174</v>
      </c>
      <c r="D272" s="189">
        <v>1005</v>
      </c>
      <c r="E272" s="12" t="s">
        <v>492</v>
      </c>
      <c r="F272" s="10" t="s">
        <v>31</v>
      </c>
      <c r="G272" s="10"/>
    </row>
    <row r="273" spans="1:7" x14ac:dyDescent="0.35">
      <c r="A273" s="10" t="s">
        <v>141</v>
      </c>
      <c r="B273" s="10" t="s">
        <v>1</v>
      </c>
      <c r="C273" s="98" t="s">
        <v>174</v>
      </c>
      <c r="D273" s="178">
        <v>5181</v>
      </c>
      <c r="E273" s="12" t="s">
        <v>492</v>
      </c>
      <c r="F273" s="10" t="s">
        <v>31</v>
      </c>
      <c r="G273" s="10"/>
    </row>
    <row r="274" spans="1:7" x14ac:dyDescent="0.35">
      <c r="A274" s="10" t="s">
        <v>141</v>
      </c>
      <c r="B274" s="10" t="s">
        <v>1</v>
      </c>
      <c r="C274" s="98" t="s">
        <v>174</v>
      </c>
      <c r="D274" s="178">
        <v>3091</v>
      </c>
      <c r="E274" s="12" t="s">
        <v>492</v>
      </c>
      <c r="F274" s="10" t="s">
        <v>23</v>
      </c>
      <c r="G274" s="10" t="s">
        <v>509</v>
      </c>
    </row>
    <row r="275" spans="1:7" x14ac:dyDescent="0.35">
      <c r="A275" s="10" t="s">
        <v>141</v>
      </c>
      <c r="B275" s="12" t="s">
        <v>153</v>
      </c>
      <c r="C275" s="98" t="s">
        <v>174</v>
      </c>
      <c r="D275" s="185">
        <v>22</v>
      </c>
      <c r="E275" s="12" t="s">
        <v>492</v>
      </c>
      <c r="F275" s="10" t="s">
        <v>30</v>
      </c>
      <c r="G275" s="10"/>
    </row>
    <row r="276" spans="1:7" x14ac:dyDescent="0.35">
      <c r="A276" s="10" t="s">
        <v>141</v>
      </c>
      <c r="B276" s="12" t="s">
        <v>153</v>
      </c>
      <c r="C276" s="98" t="s">
        <v>174</v>
      </c>
      <c r="D276" s="185">
        <v>450</v>
      </c>
      <c r="E276" s="12" t="s">
        <v>492</v>
      </c>
      <c r="F276" s="10" t="s">
        <v>31</v>
      </c>
      <c r="G276" s="10"/>
    </row>
    <row r="277" spans="1:7" x14ac:dyDescent="0.35">
      <c r="A277" s="10" t="s">
        <v>141</v>
      </c>
      <c r="B277" s="12" t="s">
        <v>153</v>
      </c>
      <c r="C277" s="98" t="s">
        <v>174</v>
      </c>
      <c r="D277" s="178">
        <v>233</v>
      </c>
      <c r="E277" s="12" t="s">
        <v>492</v>
      </c>
      <c r="F277" s="10" t="s">
        <v>23</v>
      </c>
      <c r="G277" s="10" t="s">
        <v>509</v>
      </c>
    </row>
    <row r="278" spans="1:7" x14ac:dyDescent="0.35">
      <c r="A278" s="10" t="s">
        <v>141</v>
      </c>
      <c r="B278" s="10" t="s">
        <v>208</v>
      </c>
      <c r="C278" s="98" t="s">
        <v>174</v>
      </c>
      <c r="D278" s="178" t="s">
        <v>210</v>
      </c>
      <c r="E278" s="12" t="s">
        <v>492</v>
      </c>
      <c r="F278" s="10" t="s">
        <v>470</v>
      </c>
      <c r="G278" s="10"/>
    </row>
    <row r="279" spans="1:7" x14ac:dyDescent="0.35">
      <c r="A279" s="10" t="s">
        <v>141</v>
      </c>
      <c r="B279" s="10" t="s">
        <v>208</v>
      </c>
      <c r="C279" s="98" t="s">
        <v>174</v>
      </c>
      <c r="D279" s="190">
        <v>884</v>
      </c>
      <c r="E279" s="12" t="s">
        <v>492</v>
      </c>
      <c r="F279" s="10" t="s">
        <v>31</v>
      </c>
      <c r="G279" s="10"/>
    </row>
    <row r="280" spans="1:7" x14ac:dyDescent="0.35">
      <c r="A280" s="10" t="s">
        <v>141</v>
      </c>
      <c r="B280" s="10" t="s">
        <v>208</v>
      </c>
      <c r="C280" s="98" t="s">
        <v>174</v>
      </c>
      <c r="D280" s="178">
        <v>458</v>
      </c>
      <c r="E280" s="12" t="s">
        <v>492</v>
      </c>
      <c r="F280" s="10" t="s">
        <v>23</v>
      </c>
      <c r="G280" s="10" t="s">
        <v>509</v>
      </c>
    </row>
    <row r="281" spans="1:7" ht="29" x14ac:dyDescent="0.35">
      <c r="A281" s="10" t="s">
        <v>141</v>
      </c>
      <c r="B281" s="10" t="s">
        <v>208</v>
      </c>
      <c r="C281" s="98" t="s">
        <v>174</v>
      </c>
      <c r="D281" s="178">
        <v>5952.19</v>
      </c>
      <c r="E281" s="12" t="s">
        <v>492</v>
      </c>
      <c r="F281" s="6" t="s">
        <v>209</v>
      </c>
      <c r="G281" s="10"/>
    </row>
    <row r="282" spans="1:7" x14ac:dyDescent="0.35">
      <c r="A282" s="10" t="s">
        <v>141</v>
      </c>
      <c r="B282" s="10" t="s">
        <v>205</v>
      </c>
      <c r="C282" s="98" t="s">
        <v>174</v>
      </c>
      <c r="D282" s="178">
        <v>3765</v>
      </c>
      <c r="E282" s="12" t="s">
        <v>492</v>
      </c>
      <c r="F282" s="10" t="s">
        <v>23</v>
      </c>
      <c r="G282" s="10" t="s">
        <v>625</v>
      </c>
    </row>
    <row r="283" spans="1:7" x14ac:dyDescent="0.35">
      <c r="A283" s="10" t="s">
        <v>141</v>
      </c>
      <c r="B283" s="12" t="s">
        <v>153</v>
      </c>
      <c r="C283" s="98" t="s">
        <v>211</v>
      </c>
      <c r="D283" s="178">
        <v>4</v>
      </c>
      <c r="E283" s="12" t="s">
        <v>492</v>
      </c>
      <c r="F283" s="10" t="s">
        <v>30</v>
      </c>
      <c r="G283" s="10"/>
    </row>
    <row r="284" spans="1:7" x14ac:dyDescent="0.35">
      <c r="A284" s="10" t="s">
        <v>141</v>
      </c>
      <c r="B284" s="12" t="s">
        <v>153</v>
      </c>
      <c r="C284" s="98" t="s">
        <v>211</v>
      </c>
      <c r="D284" s="14" t="s">
        <v>510</v>
      </c>
      <c r="E284" s="12" t="s">
        <v>492</v>
      </c>
      <c r="F284" s="10" t="s">
        <v>600</v>
      </c>
      <c r="G284" s="10" t="s">
        <v>624</v>
      </c>
    </row>
    <row r="285" spans="1:7" x14ac:dyDescent="0.35">
      <c r="A285" s="10" t="s">
        <v>141</v>
      </c>
      <c r="B285" s="12" t="s">
        <v>153</v>
      </c>
      <c r="C285" s="98" t="s">
        <v>211</v>
      </c>
      <c r="D285" s="178">
        <v>4</v>
      </c>
      <c r="E285" s="12" t="s">
        <v>492</v>
      </c>
      <c r="F285" s="10" t="s">
        <v>31</v>
      </c>
      <c r="G285" s="10"/>
    </row>
    <row r="286" spans="1:7" x14ac:dyDescent="0.35">
      <c r="A286" s="10" t="s">
        <v>141</v>
      </c>
      <c r="B286" s="12" t="s">
        <v>153</v>
      </c>
      <c r="C286" s="98" t="s">
        <v>211</v>
      </c>
      <c r="D286" s="178">
        <v>9</v>
      </c>
      <c r="E286" s="12" t="s">
        <v>492</v>
      </c>
      <c r="F286" s="10" t="s">
        <v>589</v>
      </c>
      <c r="G286" s="10"/>
    </row>
    <row r="287" spans="1:7" x14ac:dyDescent="0.35">
      <c r="A287" s="10" t="s">
        <v>141</v>
      </c>
      <c r="B287" s="12" t="s">
        <v>153</v>
      </c>
      <c r="C287" s="98" t="s">
        <v>211</v>
      </c>
      <c r="D287" s="185">
        <v>19</v>
      </c>
      <c r="E287" s="12" t="s">
        <v>492</v>
      </c>
      <c r="F287" s="10" t="s">
        <v>23</v>
      </c>
      <c r="G287" s="10" t="s">
        <v>509</v>
      </c>
    </row>
    <row r="288" spans="1:7" ht="29" x14ac:dyDescent="0.35">
      <c r="A288" s="10" t="s">
        <v>141</v>
      </c>
      <c r="B288" s="10" t="s">
        <v>208</v>
      </c>
      <c r="C288" s="98" t="s">
        <v>211</v>
      </c>
      <c r="D288" s="186">
        <v>9.6999999999999993</v>
      </c>
      <c r="E288" s="12" t="s">
        <v>492</v>
      </c>
      <c r="F288" s="6" t="s">
        <v>209</v>
      </c>
      <c r="G288" s="10"/>
    </row>
    <row r="289" spans="1:7" x14ac:dyDescent="0.35">
      <c r="A289" s="10" t="s">
        <v>141</v>
      </c>
      <c r="B289" s="12" t="s">
        <v>2</v>
      </c>
      <c r="C289" s="98" t="s">
        <v>212</v>
      </c>
      <c r="D289" s="14">
        <v>48</v>
      </c>
      <c r="E289" s="12" t="s">
        <v>492</v>
      </c>
      <c r="F289" s="10" t="s">
        <v>607</v>
      </c>
      <c r="G289" s="10"/>
    </row>
    <row r="290" spans="1:7" x14ac:dyDescent="0.35">
      <c r="A290" s="10" t="s">
        <v>141</v>
      </c>
      <c r="B290" s="10" t="s">
        <v>2</v>
      </c>
      <c r="C290" s="98" t="s">
        <v>212</v>
      </c>
      <c r="D290" s="189">
        <v>48</v>
      </c>
      <c r="E290" s="12" t="s">
        <v>492</v>
      </c>
      <c r="F290" s="10" t="s">
        <v>30</v>
      </c>
      <c r="G290" s="10"/>
    </row>
    <row r="291" spans="1:7" x14ac:dyDescent="0.35">
      <c r="A291" s="10" t="s">
        <v>141</v>
      </c>
      <c r="B291" s="10" t="s">
        <v>491</v>
      </c>
      <c r="C291" s="98" t="s">
        <v>178</v>
      </c>
      <c r="D291" s="178">
        <v>46400</v>
      </c>
      <c r="E291" s="12" t="s">
        <v>492</v>
      </c>
      <c r="F291" s="10" t="s">
        <v>30</v>
      </c>
      <c r="G291" s="10"/>
    </row>
    <row r="292" spans="1:7" x14ac:dyDescent="0.35">
      <c r="A292" s="10" t="s">
        <v>141</v>
      </c>
      <c r="B292" s="10" t="s">
        <v>491</v>
      </c>
      <c r="C292" s="98" t="s">
        <v>178</v>
      </c>
      <c r="D292" s="178">
        <v>60014</v>
      </c>
      <c r="E292" s="12" t="s">
        <v>492</v>
      </c>
      <c r="F292" s="10" t="s">
        <v>485</v>
      </c>
      <c r="G292" s="10"/>
    </row>
    <row r="293" spans="1:7" x14ac:dyDescent="0.35">
      <c r="A293" s="10" t="s">
        <v>141</v>
      </c>
      <c r="B293" s="10" t="s">
        <v>2</v>
      </c>
      <c r="C293" s="98" t="s">
        <v>178</v>
      </c>
      <c r="D293" s="188">
        <v>46400</v>
      </c>
      <c r="E293" s="12" t="s">
        <v>492</v>
      </c>
      <c r="F293" s="10" t="s">
        <v>30</v>
      </c>
      <c r="G293" s="10"/>
    </row>
    <row r="294" spans="1:7" x14ac:dyDescent="0.35">
      <c r="A294" s="10" t="s">
        <v>141</v>
      </c>
      <c r="B294" s="10" t="s">
        <v>1</v>
      </c>
      <c r="C294" s="98" t="s">
        <v>178</v>
      </c>
      <c r="D294" s="186">
        <v>46400</v>
      </c>
      <c r="E294" s="12" t="s">
        <v>492</v>
      </c>
      <c r="F294" s="10" t="s">
        <v>30</v>
      </c>
      <c r="G294" s="10"/>
    </row>
    <row r="295" spans="1:7" x14ac:dyDescent="0.35">
      <c r="A295" s="10" t="s">
        <v>141</v>
      </c>
      <c r="B295" s="12" t="s">
        <v>153</v>
      </c>
      <c r="C295" s="98" t="s">
        <v>178</v>
      </c>
      <c r="D295" s="186">
        <v>46400</v>
      </c>
      <c r="E295" s="12" t="s">
        <v>492</v>
      </c>
      <c r="F295" s="10" t="s">
        <v>30</v>
      </c>
      <c r="G295" s="10"/>
    </row>
    <row r="296" spans="1:7" x14ac:dyDescent="0.35">
      <c r="A296" s="10" t="s">
        <v>141</v>
      </c>
      <c r="B296" s="10" t="s">
        <v>208</v>
      </c>
      <c r="C296" s="98" t="s">
        <v>178</v>
      </c>
      <c r="D296" s="186">
        <v>46400</v>
      </c>
      <c r="E296" s="12" t="s">
        <v>492</v>
      </c>
      <c r="F296" s="10" t="s">
        <v>30</v>
      </c>
      <c r="G296" s="10"/>
    </row>
    <row r="297" spans="1:7" x14ac:dyDescent="0.35">
      <c r="A297" s="10" t="s">
        <v>141</v>
      </c>
      <c r="B297" s="10" t="s">
        <v>3</v>
      </c>
      <c r="C297" s="98" t="s">
        <v>180</v>
      </c>
      <c r="D297" s="188">
        <v>5.32</v>
      </c>
      <c r="E297" s="12" t="s">
        <v>492</v>
      </c>
      <c r="F297" s="10" t="s">
        <v>31</v>
      </c>
      <c r="G297" s="10"/>
    </row>
    <row r="298" spans="1:7" x14ac:dyDescent="0.35">
      <c r="A298" s="10" t="s">
        <v>141</v>
      </c>
      <c r="B298" s="12" t="s">
        <v>153</v>
      </c>
      <c r="C298" s="98" t="s">
        <v>180</v>
      </c>
      <c r="D298" s="178">
        <v>15</v>
      </c>
      <c r="E298" s="12" t="s">
        <v>492</v>
      </c>
      <c r="F298" s="10" t="s">
        <v>30</v>
      </c>
      <c r="G298" s="10"/>
    </row>
    <row r="299" spans="1:7" x14ac:dyDescent="0.35">
      <c r="A299" s="10" t="s">
        <v>141</v>
      </c>
      <c r="B299" s="12" t="s">
        <v>153</v>
      </c>
      <c r="C299" s="98" t="s">
        <v>180</v>
      </c>
      <c r="D299" s="191" t="s">
        <v>511</v>
      </c>
      <c r="E299" s="12" t="s">
        <v>492</v>
      </c>
      <c r="F299" s="10" t="s">
        <v>600</v>
      </c>
      <c r="G299" s="10" t="s">
        <v>624</v>
      </c>
    </row>
    <row r="300" spans="1:7" x14ac:dyDescent="0.35">
      <c r="A300" s="10" t="s">
        <v>141</v>
      </c>
      <c r="B300" s="12" t="s">
        <v>153</v>
      </c>
      <c r="C300" s="98" t="s">
        <v>180</v>
      </c>
      <c r="D300" s="178">
        <v>13</v>
      </c>
      <c r="E300" s="12" t="s">
        <v>492</v>
      </c>
      <c r="F300" s="10" t="s">
        <v>31</v>
      </c>
      <c r="G300" s="10"/>
    </row>
    <row r="301" spans="1:7" x14ac:dyDescent="0.35">
      <c r="A301" s="10" t="s">
        <v>141</v>
      </c>
      <c r="B301" s="12" t="s">
        <v>153</v>
      </c>
      <c r="C301" s="98" t="s">
        <v>180</v>
      </c>
      <c r="D301" s="178">
        <v>28</v>
      </c>
      <c r="E301" s="12" t="s">
        <v>492</v>
      </c>
      <c r="F301" s="10" t="s">
        <v>589</v>
      </c>
      <c r="G301" s="10"/>
    </row>
    <row r="302" spans="1:7" x14ac:dyDescent="0.35">
      <c r="A302" s="10" t="s">
        <v>141</v>
      </c>
      <c r="B302" s="12" t="s">
        <v>153</v>
      </c>
      <c r="C302" s="98" t="s">
        <v>180</v>
      </c>
      <c r="D302" s="178">
        <v>31</v>
      </c>
      <c r="E302" s="12" t="s">
        <v>492</v>
      </c>
      <c r="F302" s="10" t="s">
        <v>23</v>
      </c>
      <c r="G302" s="10" t="s">
        <v>509</v>
      </c>
    </row>
    <row r="303" spans="1:7" x14ac:dyDescent="0.35">
      <c r="A303" s="10" t="s">
        <v>141</v>
      </c>
      <c r="B303" s="10" t="s">
        <v>491</v>
      </c>
      <c r="C303" s="98" t="s">
        <v>181</v>
      </c>
      <c r="D303" s="178">
        <v>66446.94</v>
      </c>
      <c r="E303" s="12" t="s">
        <v>492</v>
      </c>
      <c r="F303" s="10" t="s">
        <v>30</v>
      </c>
      <c r="G303" s="10" t="s">
        <v>496</v>
      </c>
    </row>
    <row r="304" spans="1:7" x14ac:dyDescent="0.35">
      <c r="A304" s="10" t="s">
        <v>141</v>
      </c>
      <c r="B304" s="10" t="s">
        <v>491</v>
      </c>
      <c r="C304" s="98" t="s">
        <v>181</v>
      </c>
      <c r="D304" s="178">
        <v>66466.512000000002</v>
      </c>
      <c r="E304" s="12" t="s">
        <v>492</v>
      </c>
      <c r="F304" s="10" t="s">
        <v>26</v>
      </c>
      <c r="G304" s="10" t="s">
        <v>496</v>
      </c>
    </row>
    <row r="305" spans="1:7" x14ac:dyDescent="0.35">
      <c r="A305" s="10" t="s">
        <v>141</v>
      </c>
      <c r="B305" s="10" t="s">
        <v>2</v>
      </c>
      <c r="C305" s="98" t="s">
        <v>181</v>
      </c>
      <c r="D305" s="186">
        <v>66446.94</v>
      </c>
      <c r="E305" s="12" t="s">
        <v>492</v>
      </c>
      <c r="F305" s="10" t="s">
        <v>30</v>
      </c>
      <c r="G305" s="10" t="s">
        <v>496</v>
      </c>
    </row>
    <row r="306" spans="1:7" x14ac:dyDescent="0.35">
      <c r="A306" s="10" t="s">
        <v>141</v>
      </c>
      <c r="B306" s="10" t="s">
        <v>1</v>
      </c>
      <c r="C306" s="98" t="s">
        <v>181</v>
      </c>
      <c r="D306" s="186">
        <v>66446.94</v>
      </c>
      <c r="E306" s="12" t="s">
        <v>492</v>
      </c>
      <c r="F306" s="10" t="s">
        <v>30</v>
      </c>
      <c r="G306" s="10" t="s">
        <v>496</v>
      </c>
    </row>
    <row r="307" spans="1:7" x14ac:dyDescent="0.35">
      <c r="A307" s="10" t="s">
        <v>141</v>
      </c>
      <c r="B307" s="12" t="s">
        <v>153</v>
      </c>
      <c r="C307" s="98" t="s">
        <v>181</v>
      </c>
      <c r="D307" s="186">
        <v>66446.94</v>
      </c>
      <c r="E307" s="12" t="s">
        <v>492</v>
      </c>
      <c r="F307" s="10" t="s">
        <v>30</v>
      </c>
      <c r="G307" s="10" t="s">
        <v>496</v>
      </c>
    </row>
    <row r="308" spans="1:7" x14ac:dyDescent="0.35">
      <c r="A308" s="10" t="s">
        <v>141</v>
      </c>
      <c r="B308" s="10" t="s">
        <v>208</v>
      </c>
      <c r="C308" s="98" t="s">
        <v>181</v>
      </c>
      <c r="D308" s="178">
        <v>66446.94</v>
      </c>
      <c r="E308" s="12" t="s">
        <v>492</v>
      </c>
      <c r="F308" s="10" t="s">
        <v>30</v>
      </c>
      <c r="G308" s="10" t="s">
        <v>496</v>
      </c>
    </row>
    <row r="309" spans="1:7" ht="29" x14ac:dyDescent="0.35">
      <c r="A309" s="10" t="s">
        <v>141</v>
      </c>
      <c r="B309" s="10" t="s">
        <v>208</v>
      </c>
      <c r="C309" s="98" t="s">
        <v>181</v>
      </c>
      <c r="D309" s="178">
        <v>90926.9</v>
      </c>
      <c r="E309" s="12" t="s">
        <v>492</v>
      </c>
      <c r="F309" s="6" t="s">
        <v>209</v>
      </c>
      <c r="G309" s="10"/>
    </row>
    <row r="310" spans="1:7" ht="29" x14ac:dyDescent="0.35">
      <c r="A310" s="10" t="s">
        <v>141</v>
      </c>
      <c r="B310" s="10" t="s">
        <v>208</v>
      </c>
      <c r="C310" s="98" t="s">
        <v>181</v>
      </c>
      <c r="D310" s="178">
        <v>65137.181759999999</v>
      </c>
      <c r="E310" s="12" t="s">
        <v>492</v>
      </c>
      <c r="F310" s="6" t="s">
        <v>209</v>
      </c>
      <c r="G310" s="10" t="s">
        <v>496</v>
      </c>
    </row>
    <row r="311" spans="1:7" x14ac:dyDescent="0.35">
      <c r="A311" s="10" t="s">
        <v>141</v>
      </c>
      <c r="B311" s="10" t="s">
        <v>205</v>
      </c>
      <c r="C311" s="98" t="s">
        <v>181</v>
      </c>
      <c r="D311" s="190">
        <v>1174320</v>
      </c>
      <c r="E311" s="12" t="s">
        <v>492</v>
      </c>
      <c r="F311" s="10" t="s">
        <v>23</v>
      </c>
      <c r="G311" s="10" t="s">
        <v>512</v>
      </c>
    </row>
    <row r="312" spans="1:7" x14ac:dyDescent="0.35">
      <c r="A312" s="10" t="s">
        <v>141</v>
      </c>
      <c r="B312" s="10" t="s">
        <v>1</v>
      </c>
      <c r="C312" s="98" t="s">
        <v>182</v>
      </c>
      <c r="D312" s="20">
        <v>8</v>
      </c>
      <c r="E312" s="12" t="s">
        <v>492</v>
      </c>
      <c r="F312" s="10" t="s">
        <v>595</v>
      </c>
      <c r="G312" s="10"/>
    </row>
    <row r="313" spans="1:7" x14ac:dyDescent="0.35">
      <c r="A313" s="84" t="s">
        <v>141</v>
      </c>
      <c r="B313" s="84" t="s">
        <v>1</v>
      </c>
      <c r="C313" s="176" t="s">
        <v>182</v>
      </c>
      <c r="D313" s="192">
        <v>8</v>
      </c>
      <c r="E313" s="92" t="s">
        <v>492</v>
      </c>
      <c r="F313" s="84" t="s">
        <v>23</v>
      </c>
      <c r="G313" s="10" t="s">
        <v>509</v>
      </c>
    </row>
    <row r="314" spans="1:7" x14ac:dyDescent="0.35">
      <c r="A314" s="10" t="s">
        <v>141</v>
      </c>
      <c r="B314" s="10" t="s">
        <v>208</v>
      </c>
      <c r="C314" s="98" t="s">
        <v>182</v>
      </c>
      <c r="D314" s="20">
        <v>6</v>
      </c>
      <c r="E314" s="12" t="s">
        <v>492</v>
      </c>
      <c r="F314" s="10" t="s">
        <v>595</v>
      </c>
      <c r="G314" s="10"/>
    </row>
    <row r="315" spans="1:7" x14ac:dyDescent="0.35">
      <c r="A315" s="10" t="s">
        <v>141</v>
      </c>
      <c r="B315" s="10" t="s">
        <v>208</v>
      </c>
      <c r="C315" s="98" t="s">
        <v>182</v>
      </c>
      <c r="D315" s="20" t="s">
        <v>213</v>
      </c>
      <c r="E315" s="12" t="s">
        <v>492</v>
      </c>
      <c r="F315" s="10" t="s">
        <v>470</v>
      </c>
      <c r="G315" s="10"/>
    </row>
    <row r="316" spans="1:7" x14ac:dyDescent="0.35">
      <c r="A316" s="10" t="s">
        <v>141</v>
      </c>
      <c r="B316" s="10" t="s">
        <v>208</v>
      </c>
      <c r="C316" s="98" t="s">
        <v>182</v>
      </c>
      <c r="D316" s="185">
        <v>39</v>
      </c>
      <c r="E316" s="12" t="s">
        <v>492</v>
      </c>
      <c r="F316" s="10" t="s">
        <v>23</v>
      </c>
      <c r="G316" s="10" t="s">
        <v>509</v>
      </c>
    </row>
    <row r="317" spans="1:7" x14ac:dyDescent="0.35">
      <c r="A317" s="10" t="s">
        <v>141</v>
      </c>
      <c r="B317" s="10" t="s">
        <v>208</v>
      </c>
      <c r="C317" s="98" t="s">
        <v>182</v>
      </c>
      <c r="D317" s="20">
        <v>72</v>
      </c>
      <c r="E317" s="12" t="s">
        <v>492</v>
      </c>
      <c r="F317" s="10" t="s">
        <v>506</v>
      </c>
      <c r="G317" s="10"/>
    </row>
    <row r="318" spans="1:7" ht="29" x14ac:dyDescent="0.35">
      <c r="A318" s="10" t="s">
        <v>141</v>
      </c>
      <c r="B318" s="10" t="s">
        <v>208</v>
      </c>
      <c r="C318" s="98" t="s">
        <v>182</v>
      </c>
      <c r="D318" s="190">
        <v>550.28</v>
      </c>
      <c r="E318" s="12" t="s">
        <v>492</v>
      </c>
      <c r="F318" s="6" t="s">
        <v>209</v>
      </c>
      <c r="G318" s="10"/>
    </row>
    <row r="319" spans="1:7" x14ac:dyDescent="0.35">
      <c r="A319" s="10" t="s">
        <v>141</v>
      </c>
      <c r="B319" s="10" t="s">
        <v>1</v>
      </c>
      <c r="C319" s="98" t="s">
        <v>186</v>
      </c>
      <c r="D319" s="178">
        <v>109</v>
      </c>
      <c r="E319" s="12" t="s">
        <v>492</v>
      </c>
      <c r="F319" s="10" t="s">
        <v>23</v>
      </c>
      <c r="G319" s="10" t="s">
        <v>509</v>
      </c>
    </row>
    <row r="320" spans="1:7" x14ac:dyDescent="0.35">
      <c r="A320" s="10" t="s">
        <v>141</v>
      </c>
      <c r="B320" s="12" t="s">
        <v>153</v>
      </c>
      <c r="C320" s="98" t="s">
        <v>186</v>
      </c>
      <c r="D320" s="186">
        <v>1</v>
      </c>
      <c r="E320" s="12" t="s">
        <v>492</v>
      </c>
      <c r="F320" s="10" t="s">
        <v>23</v>
      </c>
      <c r="G320" s="10" t="s">
        <v>509</v>
      </c>
    </row>
    <row r="321" spans="1:7" x14ac:dyDescent="0.35">
      <c r="A321" s="10" t="s">
        <v>141</v>
      </c>
      <c r="B321" s="10" t="s">
        <v>205</v>
      </c>
      <c r="C321" s="98" t="s">
        <v>186</v>
      </c>
      <c r="D321" s="178">
        <v>200</v>
      </c>
      <c r="E321" s="12" t="s">
        <v>492</v>
      </c>
      <c r="F321" s="10" t="s">
        <v>23</v>
      </c>
      <c r="G321" s="10" t="s">
        <v>625</v>
      </c>
    </row>
    <row r="322" spans="1:7" x14ac:dyDescent="0.35">
      <c r="A322" s="84" t="s">
        <v>141</v>
      </c>
      <c r="B322" s="10" t="s">
        <v>491</v>
      </c>
      <c r="C322" s="176" t="s">
        <v>188</v>
      </c>
      <c r="D322" s="193">
        <v>1</v>
      </c>
      <c r="E322" s="92" t="s">
        <v>492</v>
      </c>
      <c r="F322" s="84" t="s">
        <v>485</v>
      </c>
      <c r="G322" s="84"/>
    </row>
    <row r="323" spans="1:7" x14ac:dyDescent="0.35">
      <c r="A323" s="10" t="s">
        <v>141</v>
      </c>
      <c r="B323" s="10" t="s">
        <v>1</v>
      </c>
      <c r="C323" s="98" t="s">
        <v>188</v>
      </c>
      <c r="D323" s="186">
        <v>16</v>
      </c>
      <c r="E323" s="12" t="s">
        <v>492</v>
      </c>
      <c r="F323" s="10" t="s">
        <v>23</v>
      </c>
      <c r="G323" s="10" t="s">
        <v>509</v>
      </c>
    </row>
    <row r="324" spans="1:7" x14ac:dyDescent="0.35">
      <c r="A324" s="10" t="s">
        <v>141</v>
      </c>
      <c r="B324" s="10" t="s">
        <v>208</v>
      </c>
      <c r="C324" s="98" t="s">
        <v>188</v>
      </c>
      <c r="D324" s="185" t="s">
        <v>214</v>
      </c>
      <c r="E324" s="12" t="s">
        <v>492</v>
      </c>
      <c r="F324" s="10" t="s">
        <v>470</v>
      </c>
      <c r="G324" s="10"/>
    </row>
    <row r="325" spans="1:7" x14ac:dyDescent="0.35">
      <c r="A325" s="10" t="s">
        <v>141</v>
      </c>
      <c r="B325" s="10" t="s">
        <v>208</v>
      </c>
      <c r="C325" s="98" t="s">
        <v>188</v>
      </c>
      <c r="D325" s="185">
        <v>1</v>
      </c>
      <c r="E325" s="12" t="s">
        <v>492</v>
      </c>
      <c r="F325" s="10" t="s">
        <v>23</v>
      </c>
      <c r="G325" s="10" t="s">
        <v>509</v>
      </c>
    </row>
    <row r="326" spans="1:7" ht="29" x14ac:dyDescent="0.35">
      <c r="A326" s="10" t="s">
        <v>141</v>
      </c>
      <c r="B326" s="10" t="s">
        <v>208</v>
      </c>
      <c r="C326" s="98" t="s">
        <v>188</v>
      </c>
      <c r="D326" s="190">
        <v>1043.48</v>
      </c>
      <c r="E326" s="12" t="s">
        <v>492</v>
      </c>
      <c r="F326" s="6" t="s">
        <v>209</v>
      </c>
      <c r="G326" s="10"/>
    </row>
    <row r="327" spans="1:7" x14ac:dyDescent="0.35">
      <c r="A327" s="10" t="s">
        <v>141</v>
      </c>
      <c r="B327" s="10" t="s">
        <v>205</v>
      </c>
      <c r="C327" s="98" t="s">
        <v>188</v>
      </c>
      <c r="D327" s="190">
        <v>1800</v>
      </c>
      <c r="E327" s="12" t="s">
        <v>492</v>
      </c>
      <c r="F327" s="10" t="s">
        <v>23</v>
      </c>
      <c r="G327" s="10" t="s">
        <v>625</v>
      </c>
    </row>
    <row r="328" spans="1:7" x14ac:dyDescent="0.35">
      <c r="A328" s="10" t="s">
        <v>141</v>
      </c>
      <c r="B328" s="10" t="s">
        <v>491</v>
      </c>
      <c r="C328" s="98" t="s">
        <v>190</v>
      </c>
      <c r="D328" s="178">
        <v>8600</v>
      </c>
      <c r="E328" s="12" t="s">
        <v>492</v>
      </c>
      <c r="F328" s="10" t="s">
        <v>30</v>
      </c>
      <c r="G328" s="10"/>
    </row>
    <row r="329" spans="1:7" x14ac:dyDescent="0.35">
      <c r="A329" s="10" t="s">
        <v>141</v>
      </c>
      <c r="B329" s="10" t="s">
        <v>491</v>
      </c>
      <c r="C329" s="98" t="s">
        <v>190</v>
      </c>
      <c r="D329" s="178">
        <v>7897</v>
      </c>
      <c r="E329" s="12" t="s">
        <v>492</v>
      </c>
      <c r="F329" s="10" t="s">
        <v>485</v>
      </c>
      <c r="G329" s="10"/>
    </row>
    <row r="330" spans="1:7" x14ac:dyDescent="0.35">
      <c r="A330" s="10" t="s">
        <v>141</v>
      </c>
      <c r="B330" s="10" t="s">
        <v>2</v>
      </c>
      <c r="C330" s="98" t="s">
        <v>190</v>
      </c>
      <c r="D330" s="188">
        <v>8600</v>
      </c>
      <c r="E330" s="12" t="s">
        <v>492</v>
      </c>
      <c r="F330" s="10" t="s">
        <v>30</v>
      </c>
      <c r="G330" s="10"/>
    </row>
    <row r="331" spans="1:7" x14ac:dyDescent="0.35">
      <c r="A331" s="10" t="s">
        <v>141</v>
      </c>
      <c r="B331" s="10" t="s">
        <v>1</v>
      </c>
      <c r="C331" s="98" t="s">
        <v>190</v>
      </c>
      <c r="D331" s="186">
        <v>8600</v>
      </c>
      <c r="E331" s="12" t="s">
        <v>492</v>
      </c>
      <c r="F331" s="10" t="s">
        <v>30</v>
      </c>
      <c r="G331" s="10"/>
    </row>
    <row r="332" spans="1:7" x14ac:dyDescent="0.35">
      <c r="A332" s="10" t="s">
        <v>141</v>
      </c>
      <c r="B332" s="12" t="s">
        <v>153</v>
      </c>
      <c r="C332" s="98" t="s">
        <v>190</v>
      </c>
      <c r="D332" s="186">
        <v>8600</v>
      </c>
      <c r="E332" s="12" t="s">
        <v>492</v>
      </c>
      <c r="F332" s="10" t="s">
        <v>30</v>
      </c>
      <c r="G332" s="10"/>
    </row>
    <row r="333" spans="1:7" x14ac:dyDescent="0.35">
      <c r="A333" s="10" t="s">
        <v>141</v>
      </c>
      <c r="B333" s="10" t="s">
        <v>208</v>
      </c>
      <c r="C333" s="98" t="s">
        <v>190</v>
      </c>
      <c r="D333" s="178">
        <v>8600</v>
      </c>
      <c r="E333" s="12" t="s">
        <v>492</v>
      </c>
      <c r="F333" s="10" t="s">
        <v>30</v>
      </c>
      <c r="G333" s="10"/>
    </row>
    <row r="334" spans="1:7" x14ac:dyDescent="0.35">
      <c r="A334" s="10" t="s">
        <v>141</v>
      </c>
      <c r="B334" s="12" t="s">
        <v>153</v>
      </c>
      <c r="C334" s="98" t="s">
        <v>192</v>
      </c>
      <c r="D334" s="178">
        <v>35</v>
      </c>
      <c r="E334" s="12" t="s">
        <v>492</v>
      </c>
      <c r="F334" s="10" t="s">
        <v>30</v>
      </c>
      <c r="G334" s="10"/>
    </row>
    <row r="335" spans="1:7" x14ac:dyDescent="0.35">
      <c r="A335" s="10" t="s">
        <v>141</v>
      </c>
      <c r="B335" s="12" t="s">
        <v>153</v>
      </c>
      <c r="C335" s="98" t="s">
        <v>192</v>
      </c>
      <c r="D335" s="20" t="s">
        <v>513</v>
      </c>
      <c r="E335" s="12" t="s">
        <v>492</v>
      </c>
      <c r="F335" s="10" t="s">
        <v>600</v>
      </c>
      <c r="G335" s="10" t="s">
        <v>624</v>
      </c>
    </row>
    <row r="336" spans="1:7" x14ac:dyDescent="0.35">
      <c r="A336" s="10" t="s">
        <v>141</v>
      </c>
      <c r="B336" s="12" t="s">
        <v>153</v>
      </c>
      <c r="C336" s="98" t="s">
        <v>192</v>
      </c>
      <c r="D336" s="178">
        <v>41</v>
      </c>
      <c r="E336" s="12" t="s">
        <v>492</v>
      </c>
      <c r="F336" s="10" t="s">
        <v>31</v>
      </c>
      <c r="G336" s="10"/>
    </row>
    <row r="337" spans="1:7" x14ac:dyDescent="0.35">
      <c r="A337" s="10" t="s">
        <v>141</v>
      </c>
      <c r="B337" s="12" t="s">
        <v>153</v>
      </c>
      <c r="C337" s="98" t="s">
        <v>192</v>
      </c>
      <c r="D337" s="185">
        <v>161</v>
      </c>
      <c r="E337" s="12" t="s">
        <v>492</v>
      </c>
      <c r="F337" s="10" t="s">
        <v>589</v>
      </c>
      <c r="G337" s="10"/>
    </row>
    <row r="338" spans="1:7" x14ac:dyDescent="0.35">
      <c r="A338" s="10" t="s">
        <v>141</v>
      </c>
      <c r="B338" s="12" t="s">
        <v>153</v>
      </c>
      <c r="C338" s="98" t="s">
        <v>192</v>
      </c>
      <c r="D338" s="178">
        <v>61</v>
      </c>
      <c r="E338" s="12" t="s">
        <v>492</v>
      </c>
      <c r="F338" s="10" t="s">
        <v>23</v>
      </c>
      <c r="G338" s="10" t="s">
        <v>509</v>
      </c>
    </row>
    <row r="339" spans="1:7" x14ac:dyDescent="0.35">
      <c r="A339" s="10" t="s">
        <v>141</v>
      </c>
      <c r="B339" s="10" t="s">
        <v>491</v>
      </c>
      <c r="C339" s="98" t="s">
        <v>225</v>
      </c>
      <c r="D339" s="178">
        <v>3948</v>
      </c>
      <c r="E339" s="12" t="s">
        <v>492</v>
      </c>
      <c r="F339" s="10" t="s">
        <v>485</v>
      </c>
      <c r="G339" s="10"/>
    </row>
    <row r="340" spans="1:7" x14ac:dyDescent="0.35">
      <c r="A340" s="10" t="s">
        <v>141</v>
      </c>
      <c r="B340" s="10" t="s">
        <v>2</v>
      </c>
      <c r="C340" s="98" t="s">
        <v>225</v>
      </c>
      <c r="D340" s="188">
        <v>150</v>
      </c>
      <c r="E340" s="12" t="s">
        <v>492</v>
      </c>
      <c r="F340" s="10" t="s">
        <v>30</v>
      </c>
      <c r="G340" s="10"/>
    </row>
    <row r="341" spans="1:7" x14ac:dyDescent="0.35">
      <c r="A341" s="10" t="s">
        <v>141</v>
      </c>
      <c r="B341" s="10" t="s">
        <v>208</v>
      </c>
      <c r="C341" s="98" t="s">
        <v>225</v>
      </c>
      <c r="D341" s="178">
        <v>4000</v>
      </c>
      <c r="E341" s="12" t="s">
        <v>492</v>
      </c>
      <c r="F341" s="10" t="s">
        <v>30</v>
      </c>
      <c r="G341" s="10"/>
    </row>
    <row r="342" spans="1:7" x14ac:dyDescent="0.35">
      <c r="A342" s="10" t="s">
        <v>141</v>
      </c>
      <c r="B342" s="10" t="s">
        <v>208</v>
      </c>
      <c r="C342" s="98" t="s">
        <v>225</v>
      </c>
      <c r="D342" s="178" t="s">
        <v>514</v>
      </c>
      <c r="E342" s="12" t="s">
        <v>492</v>
      </c>
      <c r="F342" s="10" t="s">
        <v>600</v>
      </c>
      <c r="G342" s="10" t="s">
        <v>624</v>
      </c>
    </row>
    <row r="343" spans="1:7" x14ac:dyDescent="0.35">
      <c r="A343" s="10" t="s">
        <v>141</v>
      </c>
      <c r="B343" s="10" t="s">
        <v>208</v>
      </c>
      <c r="C343" s="98" t="s">
        <v>225</v>
      </c>
      <c r="D343" s="178">
        <v>6630</v>
      </c>
      <c r="E343" s="12" t="s">
        <v>492</v>
      </c>
      <c r="F343" s="10" t="s">
        <v>589</v>
      </c>
      <c r="G343" s="10"/>
    </row>
    <row r="344" spans="1:7" x14ac:dyDescent="0.35">
      <c r="A344" s="10" t="s">
        <v>141</v>
      </c>
      <c r="B344" s="10" t="s">
        <v>208</v>
      </c>
      <c r="C344" s="98" t="s">
        <v>225</v>
      </c>
      <c r="D344" s="178">
        <v>6428</v>
      </c>
      <c r="E344" s="12" t="s">
        <v>492</v>
      </c>
      <c r="F344" s="10" t="s">
        <v>23</v>
      </c>
      <c r="G344" s="10" t="s">
        <v>509</v>
      </c>
    </row>
    <row r="345" spans="1:7" x14ac:dyDescent="0.35">
      <c r="A345" s="10" t="s">
        <v>141</v>
      </c>
      <c r="B345" s="10" t="s">
        <v>491</v>
      </c>
      <c r="C345" s="98" t="s">
        <v>194</v>
      </c>
      <c r="D345" s="178">
        <v>79</v>
      </c>
      <c r="E345" s="12" t="s">
        <v>492</v>
      </c>
      <c r="F345" s="10" t="s">
        <v>485</v>
      </c>
      <c r="G345" s="10"/>
    </row>
    <row r="346" spans="1:7" x14ac:dyDescent="0.35">
      <c r="A346" s="10" t="s">
        <v>141</v>
      </c>
      <c r="B346" s="12" t="s">
        <v>208</v>
      </c>
      <c r="C346" s="98" t="s">
        <v>194</v>
      </c>
      <c r="D346" s="14">
        <v>20</v>
      </c>
      <c r="E346" s="12" t="s">
        <v>492</v>
      </c>
      <c r="F346" s="10" t="s">
        <v>607</v>
      </c>
      <c r="G346" s="10"/>
    </row>
    <row r="347" spans="1:7" x14ac:dyDescent="0.35">
      <c r="A347" s="10" t="s">
        <v>141</v>
      </c>
      <c r="B347" s="10" t="s">
        <v>208</v>
      </c>
      <c r="C347" s="98" t="s">
        <v>194</v>
      </c>
      <c r="D347" s="178">
        <v>20</v>
      </c>
      <c r="E347" s="12" t="s">
        <v>492</v>
      </c>
      <c r="F347" s="10" t="s">
        <v>30</v>
      </c>
      <c r="G347" s="10"/>
    </row>
    <row r="348" spans="1:7" x14ac:dyDescent="0.35">
      <c r="A348" s="10" t="s">
        <v>141</v>
      </c>
      <c r="B348" s="10" t="s">
        <v>208</v>
      </c>
      <c r="C348" s="98" t="s">
        <v>194</v>
      </c>
      <c r="D348" s="178">
        <v>36</v>
      </c>
      <c r="E348" s="12" t="s">
        <v>492</v>
      </c>
      <c r="F348" s="10" t="s">
        <v>600</v>
      </c>
      <c r="G348" s="10" t="s">
        <v>624</v>
      </c>
    </row>
    <row r="349" spans="1:7" x14ac:dyDescent="0.35">
      <c r="A349" s="10" t="s">
        <v>141</v>
      </c>
      <c r="B349" s="10" t="s">
        <v>208</v>
      </c>
      <c r="C349" s="98" t="s">
        <v>194</v>
      </c>
      <c r="D349" s="178" t="s">
        <v>215</v>
      </c>
      <c r="E349" s="12" t="s">
        <v>492</v>
      </c>
      <c r="F349" s="10" t="s">
        <v>470</v>
      </c>
      <c r="G349" s="10"/>
    </row>
    <row r="350" spans="1:7" x14ac:dyDescent="0.35">
      <c r="A350" s="10" t="s">
        <v>141</v>
      </c>
      <c r="B350" s="10" t="s">
        <v>208</v>
      </c>
      <c r="C350" s="98" t="s">
        <v>194</v>
      </c>
      <c r="D350" s="178">
        <v>10</v>
      </c>
      <c r="E350" s="12" t="s">
        <v>492</v>
      </c>
      <c r="F350" s="10" t="s">
        <v>31</v>
      </c>
      <c r="G350" s="10"/>
    </row>
    <row r="351" spans="1:7" x14ac:dyDescent="0.35">
      <c r="A351" s="10" t="s">
        <v>141</v>
      </c>
      <c r="B351" s="10" t="s">
        <v>208</v>
      </c>
      <c r="C351" s="98" t="s">
        <v>194</v>
      </c>
      <c r="D351" s="178">
        <v>36</v>
      </c>
      <c r="E351" s="12" t="s">
        <v>492</v>
      </c>
      <c r="F351" s="10" t="s">
        <v>589</v>
      </c>
      <c r="G351" s="10"/>
    </row>
    <row r="352" spans="1:7" x14ac:dyDescent="0.35">
      <c r="A352" s="10" t="s">
        <v>141</v>
      </c>
      <c r="B352" s="10" t="s">
        <v>208</v>
      </c>
      <c r="C352" s="98" t="s">
        <v>194</v>
      </c>
      <c r="D352" s="178">
        <v>30</v>
      </c>
      <c r="E352" s="12" t="s">
        <v>492</v>
      </c>
      <c r="F352" s="10" t="s">
        <v>23</v>
      </c>
      <c r="G352" s="10" t="s">
        <v>509</v>
      </c>
    </row>
    <row r="353" spans="1:7" ht="29" x14ac:dyDescent="0.35">
      <c r="A353" s="10" t="s">
        <v>141</v>
      </c>
      <c r="B353" s="10" t="s">
        <v>208</v>
      </c>
      <c r="C353" s="98" t="s">
        <v>194</v>
      </c>
      <c r="D353" s="178">
        <v>25.5</v>
      </c>
      <c r="E353" s="12" t="s">
        <v>492</v>
      </c>
      <c r="F353" s="6" t="s">
        <v>209</v>
      </c>
      <c r="G353" s="10"/>
    </row>
    <row r="354" spans="1:7" x14ac:dyDescent="0.35">
      <c r="A354" s="10" t="s">
        <v>141</v>
      </c>
      <c r="B354" s="10" t="s">
        <v>1</v>
      </c>
      <c r="C354" s="98" t="s">
        <v>196</v>
      </c>
      <c r="D354" s="178">
        <v>52</v>
      </c>
      <c r="E354" s="12" t="s">
        <v>492</v>
      </c>
      <c r="F354" s="10" t="s">
        <v>30</v>
      </c>
      <c r="G354" s="10"/>
    </row>
    <row r="355" spans="1:7" x14ac:dyDescent="0.35">
      <c r="A355" s="10" t="s">
        <v>141</v>
      </c>
      <c r="B355" s="10" t="s">
        <v>1</v>
      </c>
      <c r="C355" s="98" t="s">
        <v>196</v>
      </c>
      <c r="D355" s="178" t="s">
        <v>515</v>
      </c>
      <c r="E355" s="12" t="s">
        <v>492</v>
      </c>
      <c r="F355" s="10" t="s">
        <v>600</v>
      </c>
      <c r="G355" s="10" t="s">
        <v>624</v>
      </c>
    </row>
    <row r="356" spans="1:7" x14ac:dyDescent="0.35">
      <c r="A356" s="10" t="s">
        <v>141</v>
      </c>
      <c r="B356" s="10" t="s">
        <v>1</v>
      </c>
      <c r="C356" s="98" t="s">
        <v>196</v>
      </c>
      <c r="D356" s="178">
        <v>70</v>
      </c>
      <c r="E356" s="12" t="s">
        <v>492</v>
      </c>
      <c r="F356" s="10" t="s">
        <v>31</v>
      </c>
      <c r="G356" s="10"/>
    </row>
    <row r="357" spans="1:7" x14ac:dyDescent="0.35">
      <c r="A357" s="10" t="s">
        <v>141</v>
      </c>
      <c r="B357" s="10" t="s">
        <v>1</v>
      </c>
      <c r="C357" s="98" t="s">
        <v>196</v>
      </c>
      <c r="D357" s="190">
        <v>15.2</v>
      </c>
      <c r="E357" s="12" t="s">
        <v>492</v>
      </c>
      <c r="F357" s="10" t="s">
        <v>603</v>
      </c>
      <c r="G357" s="10"/>
    </row>
    <row r="358" spans="1:7" x14ac:dyDescent="0.35">
      <c r="A358" s="10" t="s">
        <v>141</v>
      </c>
      <c r="B358" s="10" t="s">
        <v>1</v>
      </c>
      <c r="C358" s="98" t="s">
        <v>196</v>
      </c>
      <c r="D358" s="185">
        <v>156</v>
      </c>
      <c r="E358" s="12" t="s">
        <v>492</v>
      </c>
      <c r="F358" s="10" t="s">
        <v>589</v>
      </c>
      <c r="G358" s="10"/>
    </row>
    <row r="359" spans="1:7" x14ac:dyDescent="0.35">
      <c r="A359" s="10" t="s">
        <v>141</v>
      </c>
      <c r="B359" s="10" t="s">
        <v>1</v>
      </c>
      <c r="C359" s="98" t="s">
        <v>196</v>
      </c>
      <c r="D359" s="178">
        <v>92</v>
      </c>
      <c r="E359" s="12" t="s">
        <v>492</v>
      </c>
      <c r="F359" s="10" t="s">
        <v>23</v>
      </c>
      <c r="G359" s="10" t="s">
        <v>509</v>
      </c>
    </row>
    <row r="360" spans="1:7" x14ac:dyDescent="0.35">
      <c r="A360" s="10" t="s">
        <v>141</v>
      </c>
      <c r="B360" s="10" t="s">
        <v>208</v>
      </c>
      <c r="C360" s="98" t="s">
        <v>198</v>
      </c>
      <c r="D360" s="14">
        <v>577</v>
      </c>
      <c r="E360" s="12" t="s">
        <v>492</v>
      </c>
      <c r="F360" s="10" t="s">
        <v>470</v>
      </c>
      <c r="G360" s="10"/>
    </row>
    <row r="361" spans="1:7" ht="29" x14ac:dyDescent="0.35">
      <c r="A361" s="10" t="s">
        <v>141</v>
      </c>
      <c r="B361" s="10" t="s">
        <v>208</v>
      </c>
      <c r="C361" s="98" t="s">
        <v>198</v>
      </c>
      <c r="D361" s="185">
        <v>10</v>
      </c>
      <c r="E361" s="12" t="s">
        <v>492</v>
      </c>
      <c r="F361" s="6" t="s">
        <v>209</v>
      </c>
      <c r="G361" s="10"/>
    </row>
    <row r="362" spans="1:7" x14ac:dyDescent="0.35">
      <c r="A362" s="10" t="s">
        <v>141</v>
      </c>
      <c r="B362" s="10" t="s">
        <v>204</v>
      </c>
      <c r="C362" s="98" t="s">
        <v>198</v>
      </c>
      <c r="D362" s="178">
        <v>332</v>
      </c>
      <c r="E362" s="12" t="s">
        <v>492</v>
      </c>
      <c r="F362" s="10" t="s">
        <v>23</v>
      </c>
      <c r="G362" s="10" t="s">
        <v>625</v>
      </c>
    </row>
    <row r="363" spans="1:7" ht="29" x14ac:dyDescent="0.35">
      <c r="A363" s="10" t="s">
        <v>141</v>
      </c>
      <c r="B363" s="10" t="s">
        <v>208</v>
      </c>
      <c r="C363" s="98" t="s">
        <v>200</v>
      </c>
      <c r="D363" s="185">
        <v>1.0999999999999999E-2</v>
      </c>
      <c r="E363" s="12" t="s">
        <v>492</v>
      </c>
      <c r="F363" s="6" t="s">
        <v>209</v>
      </c>
      <c r="G363" s="10"/>
    </row>
    <row r="364" spans="1:7" x14ac:dyDescent="0.35">
      <c r="A364" s="10" t="s">
        <v>141</v>
      </c>
      <c r="B364" s="10" t="s">
        <v>205</v>
      </c>
      <c r="C364" s="98" t="s">
        <v>200</v>
      </c>
      <c r="D364" s="185">
        <v>2</v>
      </c>
      <c r="E364" s="12" t="s">
        <v>492</v>
      </c>
      <c r="F364" s="10" t="s">
        <v>23</v>
      </c>
      <c r="G364" s="10" t="s">
        <v>625</v>
      </c>
    </row>
    <row r="365" spans="1:7" x14ac:dyDescent="0.35">
      <c r="A365" s="10" t="s">
        <v>141</v>
      </c>
      <c r="B365" s="10" t="s">
        <v>491</v>
      </c>
      <c r="C365" s="98" t="s">
        <v>202</v>
      </c>
      <c r="D365" s="178">
        <v>30</v>
      </c>
      <c r="E365" s="12" t="s">
        <v>492</v>
      </c>
      <c r="F365" s="10" t="s">
        <v>485</v>
      </c>
      <c r="G365" s="10"/>
    </row>
    <row r="366" spans="1:7" ht="29" x14ac:dyDescent="0.35">
      <c r="A366" s="10" t="s">
        <v>141</v>
      </c>
      <c r="B366" s="10" t="s">
        <v>208</v>
      </c>
      <c r="C366" s="98" t="s">
        <v>202</v>
      </c>
      <c r="D366" s="178">
        <v>2523.04</v>
      </c>
      <c r="E366" s="12" t="s">
        <v>492</v>
      </c>
      <c r="F366" s="6" t="s">
        <v>209</v>
      </c>
      <c r="G366" s="10"/>
    </row>
    <row r="367" spans="1:7" x14ac:dyDescent="0.35">
      <c r="A367" s="10" t="s">
        <v>141</v>
      </c>
      <c r="B367" s="10" t="s">
        <v>204</v>
      </c>
      <c r="C367" s="98" t="s">
        <v>202</v>
      </c>
      <c r="D367" s="178">
        <v>56</v>
      </c>
      <c r="E367" s="12" t="s">
        <v>492</v>
      </c>
      <c r="F367" s="10" t="s">
        <v>23</v>
      </c>
      <c r="G367" s="10" t="s">
        <v>625</v>
      </c>
    </row>
    <row r="368" spans="1:7" x14ac:dyDescent="0.35">
      <c r="A368" s="10" t="s">
        <v>141</v>
      </c>
      <c r="B368" s="10" t="s">
        <v>205</v>
      </c>
      <c r="C368" s="98" t="s">
        <v>202</v>
      </c>
      <c r="D368" s="178">
        <v>1400</v>
      </c>
      <c r="E368" s="12" t="s">
        <v>492</v>
      </c>
      <c r="F368" s="10" t="s">
        <v>23</v>
      </c>
      <c r="G368" s="10" t="s">
        <v>625</v>
      </c>
    </row>
    <row r="369" spans="1:7" x14ac:dyDescent="0.35">
      <c r="A369" s="10" t="s">
        <v>516</v>
      </c>
      <c r="B369" s="10" t="s">
        <v>517</v>
      </c>
      <c r="C369" s="98" t="s">
        <v>168</v>
      </c>
      <c r="D369" s="16">
        <v>46.400078224184739</v>
      </c>
      <c r="E369" s="10" t="s">
        <v>429</v>
      </c>
      <c r="F369" s="175" t="s">
        <v>518</v>
      </c>
      <c r="G369" s="10" t="s">
        <v>519</v>
      </c>
    </row>
    <row r="370" spans="1:7" x14ac:dyDescent="0.35">
      <c r="A370" s="10" t="s">
        <v>516</v>
      </c>
      <c r="B370" s="10" t="s">
        <v>517</v>
      </c>
      <c r="C370" s="98" t="s">
        <v>172</v>
      </c>
      <c r="D370" s="21">
        <v>1536.85058087675</v>
      </c>
      <c r="E370" s="10" t="s">
        <v>429</v>
      </c>
      <c r="F370" s="175" t="s">
        <v>518</v>
      </c>
      <c r="G370" s="10" t="s">
        <v>519</v>
      </c>
    </row>
    <row r="371" spans="1:7" x14ac:dyDescent="0.35">
      <c r="A371" s="10" t="s">
        <v>516</v>
      </c>
      <c r="B371" s="10" t="s">
        <v>517</v>
      </c>
      <c r="C371" s="98" t="s">
        <v>172</v>
      </c>
      <c r="D371" s="14">
        <v>0</v>
      </c>
      <c r="E371" s="10" t="s">
        <v>429</v>
      </c>
      <c r="F371" s="10" t="s">
        <v>230</v>
      </c>
      <c r="G371" s="10" t="s">
        <v>520</v>
      </c>
    </row>
    <row r="372" spans="1:7" x14ac:dyDescent="0.35">
      <c r="A372" s="10" t="s">
        <v>516</v>
      </c>
      <c r="B372" s="10" t="s">
        <v>517</v>
      </c>
      <c r="C372" s="98" t="s">
        <v>172</v>
      </c>
      <c r="D372" s="14">
        <v>0</v>
      </c>
      <c r="E372" s="10" t="s">
        <v>429</v>
      </c>
      <c r="F372" s="10" t="s">
        <v>521</v>
      </c>
      <c r="G372" s="10"/>
    </row>
    <row r="373" spans="1:7" x14ac:dyDescent="0.35">
      <c r="A373" s="10" t="s">
        <v>516</v>
      </c>
      <c r="B373" s="10" t="s">
        <v>517</v>
      </c>
      <c r="C373" s="98" t="s">
        <v>174</v>
      </c>
      <c r="D373" s="20">
        <v>0</v>
      </c>
      <c r="E373" s="10" t="s">
        <v>429</v>
      </c>
      <c r="F373" s="175" t="s">
        <v>518</v>
      </c>
      <c r="G373" s="10" t="s">
        <v>519</v>
      </c>
    </row>
    <row r="374" spans="1:7" x14ac:dyDescent="0.35">
      <c r="A374" s="10" t="s">
        <v>516</v>
      </c>
      <c r="B374" s="10" t="s">
        <v>517</v>
      </c>
      <c r="C374" s="98" t="s">
        <v>174</v>
      </c>
      <c r="D374" s="20">
        <v>493.22483445920028</v>
      </c>
      <c r="E374" s="10" t="s">
        <v>429</v>
      </c>
      <c r="F374" s="10" t="s">
        <v>230</v>
      </c>
      <c r="G374" s="10" t="s">
        <v>520</v>
      </c>
    </row>
    <row r="375" spans="1:7" x14ac:dyDescent="0.35">
      <c r="A375" s="10" t="s">
        <v>516</v>
      </c>
      <c r="B375" s="10" t="s">
        <v>517</v>
      </c>
      <c r="C375" s="98" t="s">
        <v>343</v>
      </c>
      <c r="D375" s="16">
        <v>0</v>
      </c>
      <c r="E375" s="10" t="s">
        <v>429</v>
      </c>
      <c r="F375" s="175" t="s">
        <v>518</v>
      </c>
      <c r="G375" s="10" t="s">
        <v>519</v>
      </c>
    </row>
    <row r="376" spans="1:7" x14ac:dyDescent="0.35">
      <c r="A376" s="10" t="s">
        <v>516</v>
      </c>
      <c r="B376" s="10" t="s">
        <v>517</v>
      </c>
      <c r="C376" s="98" t="s">
        <v>183</v>
      </c>
      <c r="D376" s="14">
        <v>104.29174826530344</v>
      </c>
      <c r="E376" s="10" t="s">
        <v>429</v>
      </c>
      <c r="F376" s="175" t="s">
        <v>518</v>
      </c>
      <c r="G376" s="10" t="s">
        <v>519</v>
      </c>
    </row>
    <row r="377" spans="1:7" x14ac:dyDescent="0.35">
      <c r="A377" s="10" t="s">
        <v>516</v>
      </c>
      <c r="B377" s="10" t="s">
        <v>517</v>
      </c>
      <c r="C377" s="98" t="s">
        <v>183</v>
      </c>
      <c r="D377" s="20">
        <v>510.8399423217781</v>
      </c>
      <c r="E377" s="10" t="s">
        <v>429</v>
      </c>
      <c r="F377" s="10" t="s">
        <v>230</v>
      </c>
      <c r="G377" s="10" t="s">
        <v>520</v>
      </c>
    </row>
    <row r="378" spans="1:7" x14ac:dyDescent="0.35">
      <c r="A378" s="10" t="s">
        <v>516</v>
      </c>
      <c r="B378" s="10" t="s">
        <v>517</v>
      </c>
      <c r="C378" s="98" t="s">
        <v>183</v>
      </c>
      <c r="D378" s="14">
        <v>170</v>
      </c>
      <c r="E378" s="10" t="s">
        <v>429</v>
      </c>
      <c r="F378" s="10" t="s">
        <v>521</v>
      </c>
      <c r="G378" s="10"/>
    </row>
    <row r="379" spans="1:7" x14ac:dyDescent="0.35">
      <c r="A379" s="10" t="s">
        <v>516</v>
      </c>
      <c r="B379" s="10" t="s">
        <v>517</v>
      </c>
      <c r="C379" s="98" t="s">
        <v>183</v>
      </c>
      <c r="D379" s="14">
        <v>111.25</v>
      </c>
      <c r="E379" s="10" t="s">
        <v>429</v>
      </c>
      <c r="F379" s="10" t="s">
        <v>522</v>
      </c>
      <c r="G379" s="10"/>
    </row>
    <row r="380" spans="1:7" x14ac:dyDescent="0.35">
      <c r="A380" s="10" t="s">
        <v>516</v>
      </c>
      <c r="B380" s="10" t="s">
        <v>517</v>
      </c>
      <c r="C380" s="98" t="s">
        <v>185</v>
      </c>
      <c r="D380" s="20">
        <v>1492.4507879970258</v>
      </c>
      <c r="E380" s="10" t="s">
        <v>429</v>
      </c>
      <c r="F380" s="175" t="s">
        <v>518</v>
      </c>
      <c r="G380" s="10" t="s">
        <v>519</v>
      </c>
    </row>
    <row r="381" spans="1:7" x14ac:dyDescent="0.35">
      <c r="A381" s="10" t="s">
        <v>516</v>
      </c>
      <c r="B381" s="10" t="s">
        <v>517</v>
      </c>
      <c r="C381" s="98" t="s">
        <v>185</v>
      </c>
      <c r="D381" s="20">
        <v>0</v>
      </c>
      <c r="E381" s="10" t="s">
        <v>429</v>
      </c>
      <c r="F381" s="10" t="s">
        <v>230</v>
      </c>
      <c r="G381" s="10" t="s">
        <v>520</v>
      </c>
    </row>
    <row r="382" spans="1:7" x14ac:dyDescent="0.35">
      <c r="A382" s="10" t="s">
        <v>516</v>
      </c>
      <c r="B382" s="10" t="s">
        <v>517</v>
      </c>
      <c r="C382" s="98" t="s">
        <v>188</v>
      </c>
      <c r="D382" s="20">
        <v>140</v>
      </c>
      <c r="E382" s="10" t="s">
        <v>429</v>
      </c>
      <c r="F382" s="175" t="s">
        <v>518</v>
      </c>
      <c r="G382" s="10" t="s">
        <v>519</v>
      </c>
    </row>
    <row r="383" spans="1:7" x14ac:dyDescent="0.35">
      <c r="A383" s="10" t="s">
        <v>516</v>
      </c>
      <c r="B383" s="10" t="s">
        <v>517</v>
      </c>
      <c r="C383" s="98" t="s">
        <v>188</v>
      </c>
      <c r="D383" s="20">
        <v>0</v>
      </c>
      <c r="E383" s="10" t="s">
        <v>429</v>
      </c>
      <c r="F383" s="10" t="s">
        <v>230</v>
      </c>
      <c r="G383" s="10" t="s">
        <v>520</v>
      </c>
    </row>
    <row r="384" spans="1:7" x14ac:dyDescent="0.35">
      <c r="A384" s="10" t="s">
        <v>516</v>
      </c>
      <c r="B384" s="10" t="s">
        <v>523</v>
      </c>
      <c r="C384" s="98" t="s">
        <v>172</v>
      </c>
      <c r="D384" s="16">
        <v>0</v>
      </c>
      <c r="E384" s="10" t="s">
        <v>429</v>
      </c>
      <c r="F384" s="10" t="s">
        <v>230</v>
      </c>
      <c r="G384" s="10" t="s">
        <v>524</v>
      </c>
    </row>
    <row r="385" spans="1:7" x14ac:dyDescent="0.35">
      <c r="A385" s="10" t="s">
        <v>516</v>
      </c>
      <c r="B385" s="10" t="s">
        <v>523</v>
      </c>
      <c r="C385" s="98" t="s">
        <v>174</v>
      </c>
      <c r="D385" s="16">
        <v>484.41738132276015</v>
      </c>
      <c r="E385" s="10" t="s">
        <v>429</v>
      </c>
      <c r="F385" s="10" t="s">
        <v>230</v>
      </c>
      <c r="G385" s="10" t="s">
        <v>524</v>
      </c>
    </row>
    <row r="386" spans="1:7" x14ac:dyDescent="0.35">
      <c r="A386" s="10" t="s">
        <v>516</v>
      </c>
      <c r="B386" s="10" t="s">
        <v>523</v>
      </c>
      <c r="C386" s="98" t="s">
        <v>183</v>
      </c>
      <c r="D386" s="16">
        <v>519.64759704790811</v>
      </c>
      <c r="E386" s="10" t="s">
        <v>429</v>
      </c>
      <c r="F386" s="10" t="s">
        <v>230</v>
      </c>
      <c r="G386" s="10" t="s">
        <v>524</v>
      </c>
    </row>
    <row r="387" spans="1:7" x14ac:dyDescent="0.35">
      <c r="A387" s="10" t="s">
        <v>516</v>
      </c>
      <c r="B387" s="10" t="s">
        <v>523</v>
      </c>
      <c r="C387" s="98" t="s">
        <v>185</v>
      </c>
      <c r="D387" s="16">
        <v>317.07315106442002</v>
      </c>
      <c r="E387" s="10" t="s">
        <v>429</v>
      </c>
      <c r="F387" s="10" t="s">
        <v>230</v>
      </c>
      <c r="G387" s="10" t="s">
        <v>524</v>
      </c>
    </row>
    <row r="388" spans="1:7" x14ac:dyDescent="0.35">
      <c r="A388" s="10" t="s">
        <v>516</v>
      </c>
      <c r="B388" s="10" t="s">
        <v>523</v>
      </c>
      <c r="C388" s="98" t="s">
        <v>188</v>
      </c>
      <c r="D388" s="16">
        <v>0</v>
      </c>
      <c r="E388" s="10" t="s">
        <v>429</v>
      </c>
      <c r="F388" s="10" t="s">
        <v>230</v>
      </c>
      <c r="G388" s="10" t="s">
        <v>524</v>
      </c>
    </row>
    <row r="389" spans="1:7" x14ac:dyDescent="0.35">
      <c r="A389" s="10" t="s">
        <v>516</v>
      </c>
      <c r="B389" s="10" t="s">
        <v>525</v>
      </c>
      <c r="C389" s="98" t="s">
        <v>172</v>
      </c>
      <c r="D389" s="20">
        <v>500</v>
      </c>
      <c r="E389" s="10" t="s">
        <v>429</v>
      </c>
      <c r="F389" s="10" t="s">
        <v>521</v>
      </c>
      <c r="G389" s="10"/>
    </row>
    <row r="390" spans="1:7" x14ac:dyDescent="0.35">
      <c r="A390" s="10" t="s">
        <v>516</v>
      </c>
      <c r="B390" s="10" t="s">
        <v>525</v>
      </c>
      <c r="C390" s="98" t="s">
        <v>172</v>
      </c>
      <c r="D390" s="20">
        <v>0</v>
      </c>
      <c r="E390" s="5" t="s">
        <v>429</v>
      </c>
      <c r="F390" s="10" t="s">
        <v>230</v>
      </c>
      <c r="G390" s="10" t="s">
        <v>526</v>
      </c>
    </row>
    <row r="391" spans="1:7" x14ac:dyDescent="0.35">
      <c r="A391" s="10" t="s">
        <v>516</v>
      </c>
      <c r="B391" s="10" t="s">
        <v>525</v>
      </c>
      <c r="C391" s="98" t="s">
        <v>174</v>
      </c>
      <c r="D391" s="16">
        <v>440.37930928179981</v>
      </c>
      <c r="E391" s="10" t="s">
        <v>429</v>
      </c>
      <c r="F391" s="10" t="s">
        <v>230</v>
      </c>
      <c r="G391" s="10" t="s">
        <v>526</v>
      </c>
    </row>
    <row r="392" spans="1:7" x14ac:dyDescent="0.35">
      <c r="A392" s="10" t="s">
        <v>516</v>
      </c>
      <c r="B392" s="10" t="s">
        <v>525</v>
      </c>
      <c r="C392" s="98" t="s">
        <v>183</v>
      </c>
      <c r="D392" s="20">
        <v>113</v>
      </c>
      <c r="E392" s="10" t="s">
        <v>429</v>
      </c>
      <c r="F392" s="10" t="s">
        <v>521</v>
      </c>
      <c r="G392" s="10"/>
    </row>
    <row r="393" spans="1:7" x14ac:dyDescent="0.35">
      <c r="A393" s="10" t="s">
        <v>516</v>
      </c>
      <c r="B393" s="10" t="s">
        <v>525</v>
      </c>
      <c r="C393" s="98" t="s">
        <v>183</v>
      </c>
      <c r="D393" s="20">
        <v>598.9160864036869</v>
      </c>
      <c r="E393" s="10" t="s">
        <v>429</v>
      </c>
      <c r="F393" s="10" t="s">
        <v>230</v>
      </c>
      <c r="G393" s="10" t="s">
        <v>526</v>
      </c>
    </row>
    <row r="394" spans="1:7" x14ac:dyDescent="0.35">
      <c r="A394" s="10" t="s">
        <v>516</v>
      </c>
      <c r="B394" s="10" t="s">
        <v>525</v>
      </c>
      <c r="C394" s="98" t="s">
        <v>185</v>
      </c>
      <c r="D394" s="16">
        <v>1277.1002589838204</v>
      </c>
      <c r="E394" s="10" t="s">
        <v>429</v>
      </c>
      <c r="F394" s="10" t="s">
        <v>230</v>
      </c>
      <c r="G394" s="10" t="s">
        <v>526</v>
      </c>
    </row>
    <row r="395" spans="1:7" x14ac:dyDescent="0.35">
      <c r="A395" s="10" t="s">
        <v>516</v>
      </c>
      <c r="B395" s="10" t="s">
        <v>525</v>
      </c>
      <c r="C395" s="98" t="s">
        <v>188</v>
      </c>
      <c r="D395" s="16">
        <v>0</v>
      </c>
      <c r="E395" s="10" t="s">
        <v>429</v>
      </c>
      <c r="F395" s="10" t="s">
        <v>230</v>
      </c>
      <c r="G395" s="10" t="s">
        <v>526</v>
      </c>
    </row>
    <row r="396" spans="1:7" x14ac:dyDescent="0.35">
      <c r="A396" s="10" t="s">
        <v>516</v>
      </c>
      <c r="B396" s="10" t="s">
        <v>231</v>
      </c>
      <c r="C396" s="98" t="s">
        <v>172</v>
      </c>
      <c r="D396" s="20">
        <v>0</v>
      </c>
      <c r="E396" s="10" t="s">
        <v>429</v>
      </c>
      <c r="F396" s="10" t="s">
        <v>230</v>
      </c>
      <c r="G396" s="10"/>
    </row>
    <row r="397" spans="1:7" x14ac:dyDescent="0.35">
      <c r="A397" s="10" t="s">
        <v>516</v>
      </c>
      <c r="B397" s="10" t="s">
        <v>231</v>
      </c>
      <c r="C397" s="98" t="s">
        <v>174</v>
      </c>
      <c r="D397" s="20">
        <v>0</v>
      </c>
      <c r="E397" s="10" t="s">
        <v>429</v>
      </c>
      <c r="F397" s="10" t="s">
        <v>230</v>
      </c>
      <c r="G397" s="10"/>
    </row>
    <row r="398" spans="1:7" x14ac:dyDescent="0.35">
      <c r="A398" s="10" t="s">
        <v>516</v>
      </c>
      <c r="B398" s="10" t="s">
        <v>231</v>
      </c>
      <c r="C398" s="98" t="s">
        <v>183</v>
      </c>
      <c r="D398" s="14">
        <v>0</v>
      </c>
      <c r="E398" s="10" t="s">
        <v>429</v>
      </c>
      <c r="F398" s="10" t="s">
        <v>230</v>
      </c>
      <c r="G398" s="10"/>
    </row>
    <row r="399" spans="1:7" x14ac:dyDescent="0.35">
      <c r="A399" s="10" t="s">
        <v>516</v>
      </c>
      <c r="B399" s="10" t="s">
        <v>231</v>
      </c>
      <c r="C399" s="98" t="s">
        <v>185</v>
      </c>
      <c r="D399" s="20">
        <v>554.87801436273696</v>
      </c>
      <c r="E399" s="10" t="s">
        <v>429</v>
      </c>
      <c r="F399" s="10" t="s">
        <v>230</v>
      </c>
      <c r="G399" s="10"/>
    </row>
    <row r="400" spans="1:7" x14ac:dyDescent="0.35">
      <c r="A400" s="10" t="s">
        <v>516</v>
      </c>
      <c r="B400" s="10" t="s">
        <v>231</v>
      </c>
      <c r="C400" s="98" t="s">
        <v>188</v>
      </c>
      <c r="D400" s="14">
        <v>334.688460516676</v>
      </c>
      <c r="E400" s="10" t="s">
        <v>429</v>
      </c>
      <c r="F400" s="10" t="s">
        <v>230</v>
      </c>
      <c r="G400" s="10"/>
    </row>
    <row r="401" spans="1:7" x14ac:dyDescent="0.35">
      <c r="A401" s="10" t="s">
        <v>516</v>
      </c>
      <c r="B401" s="10" t="s">
        <v>527</v>
      </c>
      <c r="C401" s="98" t="s">
        <v>168</v>
      </c>
      <c r="D401" s="16">
        <v>300</v>
      </c>
      <c r="E401" s="10" t="s">
        <v>429</v>
      </c>
      <c r="F401" s="175" t="s">
        <v>518</v>
      </c>
      <c r="G401" s="10" t="s">
        <v>528</v>
      </c>
    </row>
    <row r="402" spans="1:7" x14ac:dyDescent="0.35">
      <c r="A402" s="10" t="s">
        <v>516</v>
      </c>
      <c r="B402" s="10" t="s">
        <v>527</v>
      </c>
      <c r="C402" s="98" t="s">
        <v>172</v>
      </c>
      <c r="D402" s="20">
        <v>160</v>
      </c>
      <c r="E402" s="10" t="s">
        <v>429</v>
      </c>
      <c r="F402" s="175" t="s">
        <v>518</v>
      </c>
      <c r="G402" s="10" t="s">
        <v>528</v>
      </c>
    </row>
    <row r="403" spans="1:7" x14ac:dyDescent="0.35">
      <c r="A403" s="10" t="s">
        <v>516</v>
      </c>
      <c r="B403" s="10" t="s">
        <v>527</v>
      </c>
      <c r="C403" s="98" t="s">
        <v>174</v>
      </c>
      <c r="D403" s="20">
        <v>200</v>
      </c>
      <c r="E403" s="10" t="s">
        <v>429</v>
      </c>
      <c r="F403" s="175" t="s">
        <v>518</v>
      </c>
      <c r="G403" s="10" t="s">
        <v>528</v>
      </c>
    </row>
    <row r="404" spans="1:7" x14ac:dyDescent="0.35">
      <c r="A404" s="10" t="s">
        <v>516</v>
      </c>
      <c r="B404" s="10" t="s">
        <v>527</v>
      </c>
      <c r="C404" s="98" t="s">
        <v>343</v>
      </c>
      <c r="D404" s="16">
        <v>170</v>
      </c>
      <c r="E404" s="10" t="s">
        <v>429</v>
      </c>
      <c r="F404" s="175" t="s">
        <v>518</v>
      </c>
      <c r="G404" s="10" t="s">
        <v>528</v>
      </c>
    </row>
    <row r="405" spans="1:7" x14ac:dyDescent="0.35">
      <c r="A405" s="10" t="s">
        <v>516</v>
      </c>
      <c r="B405" s="10" t="s">
        <v>527</v>
      </c>
      <c r="C405" s="98" t="s">
        <v>183</v>
      </c>
      <c r="D405" s="14">
        <v>0</v>
      </c>
      <c r="E405" s="10" t="s">
        <v>429</v>
      </c>
      <c r="F405" s="175" t="s">
        <v>518</v>
      </c>
      <c r="G405" s="10" t="s">
        <v>528</v>
      </c>
    </row>
    <row r="406" spans="1:7" x14ac:dyDescent="0.35">
      <c r="A406" s="10" t="s">
        <v>516</v>
      </c>
      <c r="B406" s="10" t="s">
        <v>527</v>
      </c>
      <c r="C406" s="98" t="s">
        <v>185</v>
      </c>
      <c r="D406" s="20">
        <v>113</v>
      </c>
      <c r="E406" s="10" t="s">
        <v>429</v>
      </c>
      <c r="F406" s="175" t="s">
        <v>518</v>
      </c>
      <c r="G406" s="10" t="s">
        <v>528</v>
      </c>
    </row>
    <row r="407" spans="1:7" x14ac:dyDescent="0.35">
      <c r="A407" s="10" t="s">
        <v>516</v>
      </c>
      <c r="B407" s="10" t="s">
        <v>527</v>
      </c>
      <c r="C407" s="98" t="s">
        <v>188</v>
      </c>
      <c r="D407" s="14">
        <v>500</v>
      </c>
      <c r="E407" s="10" t="s">
        <v>429</v>
      </c>
      <c r="F407" s="175" t="s">
        <v>518</v>
      </c>
      <c r="G407" s="10" t="s">
        <v>528</v>
      </c>
    </row>
    <row r="408" spans="1:7" x14ac:dyDescent="0.35">
      <c r="A408" s="10" t="s">
        <v>516</v>
      </c>
      <c r="B408" s="10" t="s">
        <v>529</v>
      </c>
      <c r="C408" s="98" t="s">
        <v>168</v>
      </c>
      <c r="D408" s="16">
        <v>0</v>
      </c>
      <c r="E408" s="10" t="s">
        <v>429</v>
      </c>
      <c r="F408" s="175" t="s">
        <v>518</v>
      </c>
      <c r="G408" s="10" t="s">
        <v>528</v>
      </c>
    </row>
    <row r="409" spans="1:7" x14ac:dyDescent="0.35">
      <c r="A409" s="10" t="s">
        <v>516</v>
      </c>
      <c r="B409" s="10" t="s">
        <v>529</v>
      </c>
      <c r="C409" s="98" t="s">
        <v>172</v>
      </c>
      <c r="D409" s="21">
        <v>920.77681734010343</v>
      </c>
      <c r="E409" s="10" t="s">
        <v>429</v>
      </c>
      <c r="F409" s="175" t="s">
        <v>518</v>
      </c>
      <c r="G409" s="10" t="s">
        <v>528</v>
      </c>
    </row>
    <row r="410" spans="1:7" x14ac:dyDescent="0.35">
      <c r="A410" s="10" t="s">
        <v>516</v>
      </c>
      <c r="B410" s="10" t="s">
        <v>529</v>
      </c>
      <c r="C410" s="98" t="s">
        <v>172</v>
      </c>
      <c r="D410" s="194">
        <v>105.69105035480008</v>
      </c>
      <c r="E410" s="10" t="s">
        <v>429</v>
      </c>
      <c r="F410" s="10" t="s">
        <v>230</v>
      </c>
      <c r="G410" s="10" t="s">
        <v>530</v>
      </c>
    </row>
    <row r="411" spans="1:7" x14ac:dyDescent="0.35">
      <c r="A411" s="10" t="s">
        <v>516</v>
      </c>
      <c r="B411" s="10" t="s">
        <v>529</v>
      </c>
      <c r="C411" s="98" t="s">
        <v>172</v>
      </c>
      <c r="D411" s="14">
        <v>200</v>
      </c>
      <c r="E411" s="10" t="s">
        <v>429</v>
      </c>
      <c r="F411" s="10" t="s">
        <v>521</v>
      </c>
      <c r="G411" s="10"/>
    </row>
    <row r="412" spans="1:7" x14ac:dyDescent="0.35">
      <c r="A412" s="10" t="s">
        <v>516</v>
      </c>
      <c r="B412" s="10" t="s">
        <v>529</v>
      </c>
      <c r="C412" s="98" t="s">
        <v>172</v>
      </c>
      <c r="D412" s="14">
        <v>143</v>
      </c>
      <c r="E412" s="10" t="s">
        <v>429</v>
      </c>
      <c r="F412" s="10" t="s">
        <v>522</v>
      </c>
      <c r="G412" s="10"/>
    </row>
    <row r="413" spans="1:7" x14ac:dyDescent="0.35">
      <c r="A413" s="10" t="s">
        <v>516</v>
      </c>
      <c r="B413" s="10" t="s">
        <v>529</v>
      </c>
      <c r="C413" s="98" t="s">
        <v>174</v>
      </c>
      <c r="D413" s="20">
        <v>705.76818490531809</v>
      </c>
      <c r="E413" s="10" t="s">
        <v>429</v>
      </c>
      <c r="F413" s="175" t="s">
        <v>518</v>
      </c>
      <c r="G413" s="10" t="s">
        <v>531</v>
      </c>
    </row>
    <row r="414" spans="1:7" x14ac:dyDescent="0.35">
      <c r="A414" s="10" t="s">
        <v>516</v>
      </c>
      <c r="B414" s="10" t="s">
        <v>529</v>
      </c>
      <c r="C414" s="98" t="s">
        <v>174</v>
      </c>
      <c r="D414" s="85">
        <v>264.22762588702</v>
      </c>
      <c r="E414" s="10" t="s">
        <v>429</v>
      </c>
      <c r="F414" s="10" t="s">
        <v>230</v>
      </c>
      <c r="G414" s="10" t="s">
        <v>530</v>
      </c>
    </row>
    <row r="415" spans="1:7" x14ac:dyDescent="0.35">
      <c r="A415" s="10" t="s">
        <v>516</v>
      </c>
      <c r="B415" s="10" t="s">
        <v>529</v>
      </c>
      <c r="C415" s="98" t="s">
        <v>343</v>
      </c>
      <c r="D415" s="16">
        <v>65.255522580515503</v>
      </c>
      <c r="E415" s="10" t="s">
        <v>429</v>
      </c>
      <c r="F415" s="175" t="s">
        <v>518</v>
      </c>
      <c r="G415" s="10" t="s">
        <v>531</v>
      </c>
    </row>
    <row r="416" spans="1:7" x14ac:dyDescent="0.35">
      <c r="A416" s="10" t="s">
        <v>516</v>
      </c>
      <c r="B416" s="10" t="s">
        <v>529</v>
      </c>
      <c r="C416" s="98" t="s">
        <v>183</v>
      </c>
      <c r="D416" s="20">
        <v>21.587616334742069</v>
      </c>
      <c r="E416" s="10" t="s">
        <v>429</v>
      </c>
      <c r="F416" s="175" t="s">
        <v>518</v>
      </c>
      <c r="G416" s="10" t="s">
        <v>531</v>
      </c>
    </row>
    <row r="417" spans="1:7" x14ac:dyDescent="0.35">
      <c r="A417" s="10" t="s">
        <v>516</v>
      </c>
      <c r="B417" s="10" t="s">
        <v>529</v>
      </c>
      <c r="C417" s="98" t="s">
        <v>183</v>
      </c>
      <c r="D417" s="85">
        <v>572.49332381499198</v>
      </c>
      <c r="E417" s="10" t="s">
        <v>429</v>
      </c>
      <c r="F417" s="10" t="s">
        <v>230</v>
      </c>
      <c r="G417" s="10" t="s">
        <v>530</v>
      </c>
    </row>
    <row r="418" spans="1:7" x14ac:dyDescent="0.35">
      <c r="A418" s="10" t="s">
        <v>516</v>
      </c>
      <c r="B418" s="10" t="s">
        <v>529</v>
      </c>
      <c r="C418" s="98" t="s">
        <v>183</v>
      </c>
      <c r="D418" s="14">
        <v>160</v>
      </c>
      <c r="E418" s="10" t="s">
        <v>429</v>
      </c>
      <c r="F418" s="10" t="s">
        <v>521</v>
      </c>
      <c r="G418" s="10"/>
    </row>
    <row r="419" spans="1:7" x14ac:dyDescent="0.35">
      <c r="A419" s="10" t="s">
        <v>516</v>
      </c>
      <c r="B419" s="10" t="s">
        <v>529</v>
      </c>
      <c r="C419" s="98" t="s">
        <v>183</v>
      </c>
      <c r="D419" s="14">
        <v>198</v>
      </c>
      <c r="E419" s="10" t="s">
        <v>429</v>
      </c>
      <c r="F419" s="10" t="s">
        <v>522</v>
      </c>
      <c r="G419" s="10"/>
    </row>
    <row r="420" spans="1:7" x14ac:dyDescent="0.35">
      <c r="A420" s="10" t="s">
        <v>516</v>
      </c>
      <c r="B420" s="10" t="s">
        <v>529</v>
      </c>
      <c r="C420" s="98" t="s">
        <v>185</v>
      </c>
      <c r="D420" s="14">
        <v>59.419486872067843</v>
      </c>
      <c r="E420" s="10" t="s">
        <v>429</v>
      </c>
      <c r="F420" s="175" t="s">
        <v>518</v>
      </c>
      <c r="G420" s="10" t="s">
        <v>531</v>
      </c>
    </row>
    <row r="421" spans="1:7" x14ac:dyDescent="0.35">
      <c r="A421" s="10" t="s">
        <v>516</v>
      </c>
      <c r="B421" s="10" t="s">
        <v>529</v>
      </c>
      <c r="C421" s="98" t="s">
        <v>185</v>
      </c>
      <c r="D421" s="14">
        <v>0</v>
      </c>
      <c r="E421" s="10" t="s">
        <v>429</v>
      </c>
      <c r="F421" s="10" t="s">
        <v>230</v>
      </c>
      <c r="G421" s="10" t="s">
        <v>530</v>
      </c>
    </row>
    <row r="422" spans="1:7" x14ac:dyDescent="0.35">
      <c r="A422" s="10" t="s">
        <v>516</v>
      </c>
      <c r="B422" s="10" t="s">
        <v>529</v>
      </c>
      <c r="C422" s="98" t="s">
        <v>185</v>
      </c>
      <c r="D422" s="14">
        <v>0</v>
      </c>
      <c r="E422" s="10" t="s">
        <v>429</v>
      </c>
      <c r="F422" s="10" t="s">
        <v>522</v>
      </c>
      <c r="G422" s="10"/>
    </row>
    <row r="423" spans="1:7" x14ac:dyDescent="0.35">
      <c r="A423" s="10" t="s">
        <v>516</v>
      </c>
      <c r="B423" s="10" t="s">
        <v>529</v>
      </c>
      <c r="C423" s="98" t="s">
        <v>188</v>
      </c>
      <c r="D423" s="14">
        <v>949.80032610598278</v>
      </c>
      <c r="E423" s="10" t="s">
        <v>429</v>
      </c>
      <c r="F423" s="175" t="s">
        <v>518</v>
      </c>
      <c r="G423" s="10" t="s">
        <v>531</v>
      </c>
    </row>
    <row r="424" spans="1:7" x14ac:dyDescent="0.35">
      <c r="A424" s="10" t="s">
        <v>516</v>
      </c>
      <c r="B424" s="10" t="s">
        <v>529</v>
      </c>
      <c r="C424" s="98" t="s">
        <v>188</v>
      </c>
      <c r="D424" s="194">
        <v>704.60713675850002</v>
      </c>
      <c r="E424" s="10" t="s">
        <v>429</v>
      </c>
      <c r="F424" s="10" t="s">
        <v>230</v>
      </c>
      <c r="G424" s="10" t="s">
        <v>530</v>
      </c>
    </row>
    <row r="425" spans="1:7" x14ac:dyDescent="0.35">
      <c r="A425" s="10" t="s">
        <v>516</v>
      </c>
      <c r="B425" s="10" t="s">
        <v>529</v>
      </c>
      <c r="C425" s="98" t="s">
        <v>188</v>
      </c>
      <c r="D425" s="14">
        <v>720</v>
      </c>
      <c r="E425" s="10" t="s">
        <v>429</v>
      </c>
      <c r="F425" s="10" t="s">
        <v>522</v>
      </c>
      <c r="G425" s="10"/>
    </row>
    <row r="426" spans="1:7" x14ac:dyDescent="0.35">
      <c r="A426" s="10" t="s">
        <v>516</v>
      </c>
      <c r="B426" s="10" t="s">
        <v>532</v>
      </c>
      <c r="C426" s="98" t="s">
        <v>172</v>
      </c>
      <c r="D426" s="16">
        <f>105.6910503548+0.147</f>
        <v>105.8380503548</v>
      </c>
      <c r="E426" s="10" t="s">
        <v>429</v>
      </c>
      <c r="F426" s="10" t="s">
        <v>230</v>
      </c>
      <c r="G426" s="10" t="s">
        <v>533</v>
      </c>
    </row>
    <row r="427" spans="1:7" x14ac:dyDescent="0.35">
      <c r="A427" s="10" t="s">
        <v>516</v>
      </c>
      <c r="B427" s="10" t="s">
        <v>532</v>
      </c>
      <c r="C427" s="98" t="s">
        <v>174</v>
      </c>
      <c r="D427" s="16">
        <v>264.22762588702</v>
      </c>
      <c r="E427" s="10" t="s">
        <v>429</v>
      </c>
      <c r="F427" s="10" t="s">
        <v>230</v>
      </c>
      <c r="G427" s="10" t="s">
        <v>533</v>
      </c>
    </row>
    <row r="428" spans="1:7" x14ac:dyDescent="0.35">
      <c r="A428" s="10" t="s">
        <v>516</v>
      </c>
      <c r="B428" s="10" t="s">
        <v>532</v>
      </c>
      <c r="C428" s="98" t="s">
        <v>183</v>
      </c>
      <c r="D428" s="195">
        <v>572.49332381499198</v>
      </c>
      <c r="E428" s="10" t="s">
        <v>429</v>
      </c>
      <c r="F428" s="10" t="s">
        <v>230</v>
      </c>
      <c r="G428" s="10" t="s">
        <v>533</v>
      </c>
    </row>
    <row r="429" spans="1:7" x14ac:dyDescent="0.35">
      <c r="A429" s="10" t="s">
        <v>516</v>
      </c>
      <c r="B429" s="10" t="s">
        <v>532</v>
      </c>
      <c r="C429" s="98" t="s">
        <v>185</v>
      </c>
      <c r="D429" s="16">
        <v>0</v>
      </c>
      <c r="E429" s="10" t="s">
        <v>429</v>
      </c>
      <c r="F429" s="10" t="s">
        <v>230</v>
      </c>
      <c r="G429" s="10" t="s">
        <v>533</v>
      </c>
    </row>
    <row r="430" spans="1:7" x14ac:dyDescent="0.35">
      <c r="A430" s="10" t="s">
        <v>516</v>
      </c>
      <c r="B430" s="10" t="s">
        <v>532</v>
      </c>
      <c r="C430" s="98" t="s">
        <v>188</v>
      </c>
      <c r="D430" s="16">
        <v>673.82208834431788</v>
      </c>
      <c r="E430" s="10" t="s">
        <v>429</v>
      </c>
      <c r="F430" s="10" t="s">
        <v>230</v>
      </c>
      <c r="G430" s="10" t="s">
        <v>533</v>
      </c>
    </row>
    <row r="431" spans="1:7" x14ac:dyDescent="0.35">
      <c r="A431" s="10" t="s">
        <v>516</v>
      </c>
      <c r="B431" s="10" t="s">
        <v>534</v>
      </c>
      <c r="C431" s="98" t="s">
        <v>172</v>
      </c>
      <c r="D431" s="16">
        <v>105.69105035480008</v>
      </c>
      <c r="E431" s="10" t="s">
        <v>429</v>
      </c>
      <c r="F431" s="10" t="s">
        <v>230</v>
      </c>
      <c r="G431" s="10" t="s">
        <v>535</v>
      </c>
    </row>
    <row r="432" spans="1:7" x14ac:dyDescent="0.35">
      <c r="A432" s="10" t="s">
        <v>516</v>
      </c>
      <c r="B432" s="10" t="s">
        <v>534</v>
      </c>
      <c r="C432" s="98" t="s">
        <v>174</v>
      </c>
      <c r="D432" s="16">
        <v>264.22762588702</v>
      </c>
      <c r="E432" s="10" t="s">
        <v>429</v>
      </c>
      <c r="F432" s="10" t="s">
        <v>230</v>
      </c>
      <c r="G432" s="10" t="s">
        <v>535</v>
      </c>
    </row>
    <row r="433" spans="1:7" x14ac:dyDescent="0.35">
      <c r="A433" s="10" t="s">
        <v>516</v>
      </c>
      <c r="B433" s="10" t="s">
        <v>534</v>
      </c>
      <c r="C433" s="98" t="s">
        <v>183</v>
      </c>
      <c r="D433" s="195">
        <v>572.49332381499198</v>
      </c>
      <c r="E433" s="10" t="s">
        <v>429</v>
      </c>
      <c r="F433" s="10" t="s">
        <v>230</v>
      </c>
      <c r="G433" s="10" t="s">
        <v>535</v>
      </c>
    </row>
    <row r="434" spans="1:7" x14ac:dyDescent="0.35">
      <c r="A434" s="10" t="s">
        <v>516</v>
      </c>
      <c r="B434" s="10" t="s">
        <v>534</v>
      </c>
      <c r="C434" s="98" t="s">
        <v>185</v>
      </c>
      <c r="D434" s="16">
        <v>0</v>
      </c>
      <c r="E434" s="10" t="s">
        <v>429</v>
      </c>
      <c r="F434" s="10" t="s">
        <v>230</v>
      </c>
      <c r="G434" s="10" t="s">
        <v>535</v>
      </c>
    </row>
    <row r="435" spans="1:7" x14ac:dyDescent="0.35">
      <c r="A435" s="10" t="s">
        <v>516</v>
      </c>
      <c r="B435" s="10" t="s">
        <v>534</v>
      </c>
      <c r="C435" s="98" t="s">
        <v>188</v>
      </c>
      <c r="D435" s="16">
        <v>735.07856339373586</v>
      </c>
      <c r="E435" s="10" t="s">
        <v>429</v>
      </c>
      <c r="F435" s="10" t="s">
        <v>230</v>
      </c>
      <c r="G435" s="10" t="s">
        <v>535</v>
      </c>
    </row>
    <row r="436" spans="1:7" x14ac:dyDescent="0.35">
      <c r="A436" s="10" t="s">
        <v>516</v>
      </c>
      <c r="B436" s="10" t="s">
        <v>536</v>
      </c>
      <c r="C436" s="98" t="s">
        <v>172</v>
      </c>
      <c r="D436" s="14">
        <v>300</v>
      </c>
      <c r="E436" s="10" t="s">
        <v>429</v>
      </c>
      <c r="F436" s="10" t="s">
        <v>521</v>
      </c>
      <c r="G436" s="10"/>
    </row>
    <row r="437" spans="1:7" x14ac:dyDescent="0.35">
      <c r="A437" s="10" t="s">
        <v>516</v>
      </c>
      <c r="B437" s="10" t="s">
        <v>536</v>
      </c>
      <c r="C437" s="98" t="s">
        <v>172</v>
      </c>
      <c r="D437" s="194">
        <v>132.1138129435102</v>
      </c>
      <c r="E437" s="10" t="s">
        <v>429</v>
      </c>
      <c r="F437" s="10" t="s">
        <v>230</v>
      </c>
      <c r="G437" s="10" t="s">
        <v>537</v>
      </c>
    </row>
    <row r="438" spans="1:7" x14ac:dyDescent="0.35">
      <c r="A438" s="10" t="s">
        <v>516</v>
      </c>
      <c r="B438" s="10" t="s">
        <v>536</v>
      </c>
      <c r="C438" s="98" t="s">
        <v>174</v>
      </c>
      <c r="D438" s="195">
        <v>317.07315106442002</v>
      </c>
      <c r="E438" s="10" t="s">
        <v>429</v>
      </c>
      <c r="F438" s="10" t="s">
        <v>230</v>
      </c>
      <c r="G438" s="10" t="s">
        <v>537</v>
      </c>
    </row>
    <row r="439" spans="1:7" x14ac:dyDescent="0.35">
      <c r="A439" s="10" t="s">
        <v>516</v>
      </c>
      <c r="B439" s="10" t="s">
        <v>536</v>
      </c>
      <c r="C439" s="98" t="s">
        <v>183</v>
      </c>
      <c r="D439" s="20">
        <v>140</v>
      </c>
      <c r="E439" s="10" t="s">
        <v>429</v>
      </c>
      <c r="F439" s="10" t="s">
        <v>521</v>
      </c>
      <c r="G439" s="10"/>
    </row>
    <row r="440" spans="1:7" x14ac:dyDescent="0.35">
      <c r="A440" s="10" t="s">
        <v>516</v>
      </c>
      <c r="B440" s="10" t="s">
        <v>536</v>
      </c>
      <c r="C440" s="98" t="s">
        <v>183</v>
      </c>
      <c r="D440" s="85">
        <v>607.72374112982209</v>
      </c>
      <c r="E440" s="10" t="s">
        <v>429</v>
      </c>
      <c r="F440" s="10" t="s">
        <v>230</v>
      </c>
      <c r="G440" s="10" t="s">
        <v>537</v>
      </c>
    </row>
    <row r="441" spans="1:7" x14ac:dyDescent="0.35">
      <c r="A441" s="10" t="s">
        <v>516</v>
      </c>
      <c r="B441" s="10" t="s">
        <v>536</v>
      </c>
      <c r="C441" s="98" t="s">
        <v>185</v>
      </c>
      <c r="D441" s="195">
        <v>158.53657553220989</v>
      </c>
      <c r="E441" s="10" t="s">
        <v>429</v>
      </c>
      <c r="F441" s="10" t="s">
        <v>230</v>
      </c>
      <c r="G441" s="10" t="s">
        <v>537</v>
      </c>
    </row>
    <row r="442" spans="1:7" x14ac:dyDescent="0.35">
      <c r="A442" s="10" t="s">
        <v>516</v>
      </c>
      <c r="B442" s="10" t="s">
        <v>536</v>
      </c>
      <c r="C442" s="98" t="s">
        <v>188</v>
      </c>
      <c r="D442" s="195">
        <v>563.68566908885987</v>
      </c>
      <c r="E442" s="10" t="s">
        <v>429</v>
      </c>
      <c r="F442" s="10" t="s">
        <v>230</v>
      </c>
      <c r="G442" s="10" t="s">
        <v>537</v>
      </c>
    </row>
    <row r="443" spans="1:7" x14ac:dyDescent="0.35">
      <c r="A443" s="10" t="s">
        <v>516</v>
      </c>
      <c r="B443" s="10" t="s">
        <v>538</v>
      </c>
      <c r="C443" s="98" t="s">
        <v>168</v>
      </c>
      <c r="D443" s="16">
        <v>58.429299361209431</v>
      </c>
      <c r="E443" s="10" t="s">
        <v>429</v>
      </c>
      <c r="F443" s="175" t="s">
        <v>518</v>
      </c>
      <c r="G443" s="10" t="s">
        <v>539</v>
      </c>
    </row>
    <row r="444" spans="1:7" x14ac:dyDescent="0.35">
      <c r="A444" s="10" t="s">
        <v>516</v>
      </c>
      <c r="B444" s="10" t="s">
        <v>538</v>
      </c>
      <c r="C444" s="98" t="s">
        <v>172</v>
      </c>
      <c r="D444" s="21">
        <v>2041.7233596455158</v>
      </c>
      <c r="E444" s="10" t="s">
        <v>429</v>
      </c>
      <c r="F444" s="175" t="s">
        <v>518</v>
      </c>
      <c r="G444" s="10" t="s">
        <v>539</v>
      </c>
    </row>
    <row r="445" spans="1:7" x14ac:dyDescent="0.35">
      <c r="A445" s="10" t="s">
        <v>516</v>
      </c>
      <c r="B445" s="10" t="s">
        <v>538</v>
      </c>
      <c r="C445" s="98" t="s">
        <v>172</v>
      </c>
      <c r="D445" s="21">
        <v>334.5549512355899</v>
      </c>
      <c r="E445" s="10" t="s">
        <v>429</v>
      </c>
      <c r="F445" s="10" t="s">
        <v>230</v>
      </c>
      <c r="G445" s="10" t="s">
        <v>540</v>
      </c>
    </row>
    <row r="446" spans="1:7" x14ac:dyDescent="0.35">
      <c r="A446" s="10" t="s">
        <v>516</v>
      </c>
      <c r="B446" s="10" t="s">
        <v>538</v>
      </c>
      <c r="C446" s="98" t="s">
        <v>174</v>
      </c>
      <c r="D446" s="14">
        <v>629.5271208191258</v>
      </c>
      <c r="E446" s="10" t="s">
        <v>429</v>
      </c>
      <c r="F446" s="175" t="s">
        <v>518</v>
      </c>
      <c r="G446" s="10" t="s">
        <v>539</v>
      </c>
    </row>
    <row r="447" spans="1:7" x14ac:dyDescent="0.35">
      <c r="A447" s="10" t="s">
        <v>516</v>
      </c>
      <c r="B447" s="10" t="s">
        <v>538</v>
      </c>
      <c r="C447" s="98" t="s">
        <v>174</v>
      </c>
      <c r="D447" s="14">
        <v>317.07315106441979</v>
      </c>
      <c r="E447" s="10" t="s">
        <v>429</v>
      </c>
      <c r="F447" s="10" t="s">
        <v>230</v>
      </c>
      <c r="G447" s="10" t="s">
        <v>540</v>
      </c>
    </row>
    <row r="448" spans="1:7" x14ac:dyDescent="0.35">
      <c r="A448" s="10" t="s">
        <v>516</v>
      </c>
      <c r="B448" s="10" t="s">
        <v>538</v>
      </c>
      <c r="C448" s="98" t="s">
        <v>343</v>
      </c>
      <c r="D448" s="16">
        <v>62.887976772990257</v>
      </c>
      <c r="E448" s="10" t="s">
        <v>429</v>
      </c>
      <c r="F448" s="175" t="s">
        <v>518</v>
      </c>
      <c r="G448" s="10" t="s">
        <v>539</v>
      </c>
    </row>
    <row r="449" spans="1:7" x14ac:dyDescent="0.35">
      <c r="A449" s="10" t="s">
        <v>516</v>
      </c>
      <c r="B449" s="10" t="s">
        <v>538</v>
      </c>
      <c r="C449" s="98" t="s">
        <v>183</v>
      </c>
      <c r="D449" s="20">
        <v>115.5607086076522</v>
      </c>
      <c r="E449" s="10" t="s">
        <v>429</v>
      </c>
      <c r="F449" s="175" t="s">
        <v>518</v>
      </c>
      <c r="G449" s="10" t="s">
        <v>539</v>
      </c>
    </row>
    <row r="450" spans="1:7" x14ac:dyDescent="0.35">
      <c r="A450" s="10" t="s">
        <v>516</v>
      </c>
      <c r="B450" s="10" t="s">
        <v>538</v>
      </c>
      <c r="C450" s="98" t="s">
        <v>183</v>
      </c>
      <c r="D450" s="20">
        <v>654.97377625205797</v>
      </c>
      <c r="E450" s="10" t="s">
        <v>429</v>
      </c>
      <c r="F450" s="10" t="s">
        <v>230</v>
      </c>
      <c r="G450" s="10" t="s">
        <v>540</v>
      </c>
    </row>
    <row r="451" spans="1:7" x14ac:dyDescent="0.35">
      <c r="A451" s="10" t="s">
        <v>516</v>
      </c>
      <c r="B451" s="10" t="s">
        <v>538</v>
      </c>
      <c r="C451" s="98" t="s">
        <v>185</v>
      </c>
      <c r="D451" s="20">
        <v>746.93571721580497</v>
      </c>
      <c r="E451" s="10" t="s">
        <v>429</v>
      </c>
      <c r="F451" s="175" t="s">
        <v>518</v>
      </c>
      <c r="G451" s="10" t="s">
        <v>539</v>
      </c>
    </row>
    <row r="452" spans="1:7" x14ac:dyDescent="0.35">
      <c r="A452" s="10" t="s">
        <v>516</v>
      </c>
      <c r="B452" s="10" t="s">
        <v>538</v>
      </c>
      <c r="C452" s="98" t="s">
        <v>185</v>
      </c>
      <c r="D452" s="20">
        <v>306.28280664744801</v>
      </c>
      <c r="E452" s="10" t="s">
        <v>429</v>
      </c>
      <c r="F452" s="10" t="s">
        <v>230</v>
      </c>
      <c r="G452" s="10" t="s">
        <v>540</v>
      </c>
    </row>
    <row r="453" spans="1:7" x14ac:dyDescent="0.35">
      <c r="A453" s="10" t="s">
        <v>516</v>
      </c>
      <c r="B453" s="10" t="s">
        <v>538</v>
      </c>
      <c r="C453" s="98" t="s">
        <v>188</v>
      </c>
      <c r="D453" s="21">
        <v>1771.4311184369101</v>
      </c>
      <c r="E453" s="10" t="s">
        <v>429</v>
      </c>
      <c r="F453" s="175" t="s">
        <v>518</v>
      </c>
      <c r="G453" s="10" t="s">
        <v>539</v>
      </c>
    </row>
    <row r="454" spans="1:7" x14ac:dyDescent="0.35">
      <c r="A454" s="10" t="s">
        <v>516</v>
      </c>
      <c r="B454" s="10" t="s">
        <v>538</v>
      </c>
      <c r="C454" s="98" t="s">
        <v>188</v>
      </c>
      <c r="D454" s="21">
        <v>339.26702925864407</v>
      </c>
      <c r="E454" s="10" t="s">
        <v>429</v>
      </c>
      <c r="F454" s="10" t="s">
        <v>230</v>
      </c>
      <c r="G454" s="10" t="s">
        <v>540</v>
      </c>
    </row>
    <row r="455" spans="1:7" x14ac:dyDescent="0.35">
      <c r="A455" s="10" t="s">
        <v>516</v>
      </c>
      <c r="B455" s="10" t="s">
        <v>541</v>
      </c>
      <c r="C455" s="98" t="s">
        <v>172</v>
      </c>
      <c r="D455" s="16">
        <v>394</v>
      </c>
      <c r="E455" s="10" t="s">
        <v>429</v>
      </c>
      <c r="F455" s="10" t="s">
        <v>522</v>
      </c>
      <c r="G455" s="10"/>
    </row>
    <row r="456" spans="1:7" x14ac:dyDescent="0.35">
      <c r="A456" s="10" t="s">
        <v>516</v>
      </c>
      <c r="B456" s="10" t="s">
        <v>541</v>
      </c>
      <c r="C456" s="98" t="s">
        <v>183</v>
      </c>
      <c r="D456" s="16">
        <v>152</v>
      </c>
      <c r="E456" s="10" t="s">
        <v>429</v>
      </c>
      <c r="F456" s="10" t="s">
        <v>522</v>
      </c>
      <c r="G456" s="10"/>
    </row>
    <row r="457" spans="1:7" x14ac:dyDescent="0.35">
      <c r="A457" s="10" t="s">
        <v>516</v>
      </c>
      <c r="B457" s="10" t="s">
        <v>541</v>
      </c>
      <c r="C457" s="98" t="s">
        <v>185</v>
      </c>
      <c r="D457" s="16">
        <v>370</v>
      </c>
      <c r="E457" s="10" t="s">
        <v>429</v>
      </c>
      <c r="F457" s="10" t="s">
        <v>522</v>
      </c>
      <c r="G457" s="10"/>
    </row>
    <row r="458" spans="1:7" x14ac:dyDescent="0.35">
      <c r="A458" s="10" t="s">
        <v>516</v>
      </c>
      <c r="B458" s="10" t="s">
        <v>541</v>
      </c>
      <c r="C458" s="98" t="s">
        <v>188</v>
      </c>
      <c r="D458" s="16">
        <v>390</v>
      </c>
      <c r="E458" s="10" t="s">
        <v>429</v>
      </c>
      <c r="F458" s="10" t="s">
        <v>522</v>
      </c>
      <c r="G458" s="10"/>
    </row>
    <row r="459" spans="1:7" x14ac:dyDescent="0.35">
      <c r="A459" s="10" t="s">
        <v>516</v>
      </c>
      <c r="B459" s="10" t="s">
        <v>542</v>
      </c>
      <c r="C459" s="98" t="s">
        <v>172</v>
      </c>
      <c r="D459" s="16">
        <v>301.5706207743001</v>
      </c>
      <c r="E459" s="10" t="s">
        <v>429</v>
      </c>
      <c r="F459" s="10" t="s">
        <v>230</v>
      </c>
      <c r="G459" s="10" t="s">
        <v>543</v>
      </c>
    </row>
    <row r="460" spans="1:7" x14ac:dyDescent="0.35">
      <c r="A460" s="10" t="s">
        <v>516</v>
      </c>
      <c r="B460" s="10" t="s">
        <v>542</v>
      </c>
      <c r="C460" s="98" t="s">
        <v>174</v>
      </c>
      <c r="D460" s="16">
        <v>317.07315106441979</v>
      </c>
      <c r="E460" s="10" t="s">
        <v>429</v>
      </c>
      <c r="F460" s="10" t="s">
        <v>230</v>
      </c>
      <c r="G460" s="10" t="s">
        <v>543</v>
      </c>
    </row>
    <row r="461" spans="1:7" x14ac:dyDescent="0.35">
      <c r="A461" s="10" t="s">
        <v>516</v>
      </c>
      <c r="B461" s="10" t="s">
        <v>542</v>
      </c>
      <c r="C461" s="98" t="s">
        <v>183</v>
      </c>
      <c r="D461" s="16">
        <v>631.41349398681803</v>
      </c>
      <c r="E461" s="10" t="s">
        <v>429</v>
      </c>
      <c r="F461" s="10" t="s">
        <v>230</v>
      </c>
      <c r="G461" s="10" t="s">
        <v>543</v>
      </c>
    </row>
    <row r="462" spans="1:7" x14ac:dyDescent="0.35">
      <c r="A462" s="10" t="s">
        <v>516</v>
      </c>
      <c r="B462" s="10" t="s">
        <v>542</v>
      </c>
      <c r="C462" s="98" t="s">
        <v>185</v>
      </c>
      <c r="D462" s="16">
        <v>282.72252438220801</v>
      </c>
      <c r="E462" s="10" t="s">
        <v>429</v>
      </c>
      <c r="F462" s="10" t="s">
        <v>230</v>
      </c>
      <c r="G462" s="10" t="s">
        <v>543</v>
      </c>
    </row>
    <row r="463" spans="1:7" x14ac:dyDescent="0.35">
      <c r="A463" s="10" t="s">
        <v>516</v>
      </c>
      <c r="B463" s="10" t="s">
        <v>542</v>
      </c>
      <c r="C463" s="98" t="s">
        <v>188</v>
      </c>
      <c r="D463" s="16">
        <v>400.52372000823402</v>
      </c>
      <c r="E463" s="10" t="s">
        <v>429</v>
      </c>
      <c r="F463" s="10" t="s">
        <v>230</v>
      </c>
      <c r="G463" s="10" t="s">
        <v>543</v>
      </c>
    </row>
    <row r="464" spans="1:7" x14ac:dyDescent="0.35">
      <c r="A464" s="10" t="s">
        <v>516</v>
      </c>
      <c r="B464" s="10" t="s">
        <v>544</v>
      </c>
      <c r="C464" s="98" t="s">
        <v>168</v>
      </c>
      <c r="D464" s="16">
        <v>62.252903741535938</v>
      </c>
      <c r="E464" s="10" t="s">
        <v>429</v>
      </c>
      <c r="F464" s="175" t="s">
        <v>518</v>
      </c>
      <c r="G464" s="10" t="s">
        <v>545</v>
      </c>
    </row>
    <row r="465" spans="1:7" x14ac:dyDescent="0.35">
      <c r="A465" s="10" t="s">
        <v>516</v>
      </c>
      <c r="B465" s="10" t="s">
        <v>544</v>
      </c>
      <c r="C465" s="98" t="s">
        <v>172</v>
      </c>
      <c r="D465" s="14">
        <v>212.0418932866599</v>
      </c>
      <c r="E465" s="10" t="s">
        <v>429</v>
      </c>
      <c r="F465" s="10" t="s">
        <v>230</v>
      </c>
      <c r="G465" s="10" t="s">
        <v>546</v>
      </c>
    </row>
    <row r="466" spans="1:7" x14ac:dyDescent="0.35">
      <c r="A466" s="10" t="s">
        <v>516</v>
      </c>
      <c r="B466" s="10" t="s">
        <v>544</v>
      </c>
      <c r="C466" s="98" t="s">
        <v>172</v>
      </c>
      <c r="D466" s="14">
        <v>230</v>
      </c>
      <c r="E466" s="10" t="s">
        <v>429</v>
      </c>
      <c r="F466" s="10" t="s">
        <v>522</v>
      </c>
      <c r="G466" s="10"/>
    </row>
    <row r="467" spans="1:7" x14ac:dyDescent="0.35">
      <c r="A467" s="10" t="s">
        <v>516</v>
      </c>
      <c r="B467" s="10" t="s">
        <v>544</v>
      </c>
      <c r="C467" s="98" t="s">
        <v>172</v>
      </c>
      <c r="D467" s="21">
        <v>2125.9766361881357</v>
      </c>
      <c r="E467" s="10" t="s">
        <v>429</v>
      </c>
      <c r="F467" s="175" t="s">
        <v>518</v>
      </c>
      <c r="G467" s="10" t="s">
        <v>545</v>
      </c>
    </row>
    <row r="468" spans="1:7" x14ac:dyDescent="0.35">
      <c r="A468" s="10" t="s">
        <v>516</v>
      </c>
      <c r="B468" s="10" t="s">
        <v>544</v>
      </c>
      <c r="C468" s="98" t="s">
        <v>174</v>
      </c>
      <c r="D468" s="20">
        <v>317.07315106441979</v>
      </c>
      <c r="E468" s="10" t="s">
        <v>429</v>
      </c>
      <c r="F468" s="10" t="s">
        <v>230</v>
      </c>
      <c r="G468" s="10" t="s">
        <v>546</v>
      </c>
    </row>
    <row r="469" spans="1:7" x14ac:dyDescent="0.35">
      <c r="A469" s="10" t="s">
        <v>516</v>
      </c>
      <c r="B469" s="10" t="s">
        <v>544</v>
      </c>
      <c r="C469" s="98" t="s">
        <v>174</v>
      </c>
      <c r="D469" s="20">
        <v>627.8745815297226</v>
      </c>
      <c r="E469" s="10" t="s">
        <v>429</v>
      </c>
      <c r="F469" s="175" t="s">
        <v>518</v>
      </c>
      <c r="G469" s="10" t="s">
        <v>545</v>
      </c>
    </row>
    <row r="470" spans="1:7" x14ac:dyDescent="0.35">
      <c r="A470" s="10" t="s">
        <v>516</v>
      </c>
      <c r="B470" s="10" t="s">
        <v>544</v>
      </c>
      <c r="C470" s="98" t="s">
        <v>343</v>
      </c>
      <c r="D470" s="16">
        <v>63.546147701953551</v>
      </c>
      <c r="E470" s="10" t="s">
        <v>429</v>
      </c>
      <c r="F470" s="175" t="s">
        <v>518</v>
      </c>
      <c r="G470" s="10" t="s">
        <v>545</v>
      </c>
    </row>
    <row r="471" spans="1:7" x14ac:dyDescent="0.35">
      <c r="A471" s="10" t="s">
        <v>516</v>
      </c>
      <c r="B471" s="10" t="s">
        <v>544</v>
      </c>
      <c r="C471" s="98" t="s">
        <v>183</v>
      </c>
      <c r="D471" s="20">
        <v>654.97377625205797</v>
      </c>
      <c r="E471" s="10" t="s">
        <v>429</v>
      </c>
      <c r="F471" s="10" t="s">
        <v>230</v>
      </c>
      <c r="G471" s="10" t="s">
        <v>546</v>
      </c>
    </row>
    <row r="472" spans="1:7" x14ac:dyDescent="0.35">
      <c r="A472" s="10" t="s">
        <v>516</v>
      </c>
      <c r="B472" s="10" t="s">
        <v>544</v>
      </c>
      <c r="C472" s="98" t="s">
        <v>183</v>
      </c>
      <c r="D472" s="20">
        <v>150</v>
      </c>
      <c r="E472" s="10" t="s">
        <v>429</v>
      </c>
      <c r="F472" s="10" t="s">
        <v>522</v>
      </c>
      <c r="G472" s="10"/>
    </row>
    <row r="473" spans="1:7" x14ac:dyDescent="0.35">
      <c r="A473" s="10" t="s">
        <v>516</v>
      </c>
      <c r="B473" s="10" t="s">
        <v>544</v>
      </c>
      <c r="C473" s="98" t="s">
        <v>183</v>
      </c>
      <c r="D473" s="20">
        <v>402.01087758942839</v>
      </c>
      <c r="E473" s="10" t="s">
        <v>429</v>
      </c>
      <c r="F473" s="175" t="s">
        <v>518</v>
      </c>
      <c r="G473" s="10" t="s">
        <v>545</v>
      </c>
    </row>
    <row r="474" spans="1:7" x14ac:dyDescent="0.35">
      <c r="A474" s="10" t="s">
        <v>516</v>
      </c>
      <c r="B474" s="10" t="s">
        <v>544</v>
      </c>
      <c r="C474" s="98" t="s">
        <v>185</v>
      </c>
      <c r="D474" s="20">
        <v>193.19379689456505</v>
      </c>
      <c r="E474" s="10" t="s">
        <v>429</v>
      </c>
      <c r="F474" s="10" t="s">
        <v>230</v>
      </c>
      <c r="G474" s="10" t="s">
        <v>546</v>
      </c>
    </row>
    <row r="475" spans="1:7" x14ac:dyDescent="0.35">
      <c r="A475" s="10" t="s">
        <v>516</v>
      </c>
      <c r="B475" s="10" t="s">
        <v>544</v>
      </c>
      <c r="C475" s="98" t="s">
        <v>185</v>
      </c>
      <c r="D475" s="20">
        <v>360</v>
      </c>
      <c r="E475" s="10" t="s">
        <v>429</v>
      </c>
      <c r="F475" s="10" t="s">
        <v>522</v>
      </c>
      <c r="G475" s="10"/>
    </row>
    <row r="476" spans="1:7" x14ac:dyDescent="0.35">
      <c r="A476" s="10" t="s">
        <v>516</v>
      </c>
      <c r="B476" s="10" t="s">
        <v>544</v>
      </c>
      <c r="C476" s="98" t="s">
        <v>185</v>
      </c>
      <c r="D476" s="20">
        <v>785.54067459473549</v>
      </c>
      <c r="E476" s="10" t="s">
        <v>429</v>
      </c>
      <c r="F476" s="175" t="s">
        <v>518</v>
      </c>
      <c r="G476" s="10" t="s">
        <v>545</v>
      </c>
    </row>
    <row r="477" spans="1:7" x14ac:dyDescent="0.35">
      <c r="A477" s="10" t="s">
        <v>516</v>
      </c>
      <c r="B477" s="10" t="s">
        <v>544</v>
      </c>
      <c r="C477" s="98" t="s">
        <v>188</v>
      </c>
      <c r="D477" s="14">
        <v>513.61251406094698</v>
      </c>
      <c r="E477" s="10" t="s">
        <v>429</v>
      </c>
      <c r="F477" s="10" t="s">
        <v>230</v>
      </c>
      <c r="G477" s="10" t="s">
        <v>546</v>
      </c>
    </row>
    <row r="478" spans="1:7" x14ac:dyDescent="0.35">
      <c r="A478" s="10" t="s">
        <v>516</v>
      </c>
      <c r="B478" s="10" t="s">
        <v>544</v>
      </c>
      <c r="C478" s="98" t="s">
        <v>188</v>
      </c>
      <c r="D478" s="14">
        <v>494</v>
      </c>
      <c r="E478" s="10" t="s">
        <v>429</v>
      </c>
      <c r="F478" s="10" t="s">
        <v>522</v>
      </c>
      <c r="G478" s="10"/>
    </row>
    <row r="479" spans="1:7" x14ac:dyDescent="0.35">
      <c r="A479" s="10" t="s">
        <v>516</v>
      </c>
      <c r="B479" s="10" t="s">
        <v>544</v>
      </c>
      <c r="C479" s="98" t="s">
        <v>188</v>
      </c>
      <c r="D479" s="21">
        <v>1820.831209744819</v>
      </c>
      <c r="E479" s="10" t="s">
        <v>429</v>
      </c>
      <c r="F479" s="175" t="s">
        <v>518</v>
      </c>
      <c r="G479" s="10" t="s">
        <v>545</v>
      </c>
    </row>
    <row r="480" spans="1:7" x14ac:dyDescent="0.35">
      <c r="A480" s="10" t="s">
        <v>516</v>
      </c>
      <c r="B480" s="10" t="s">
        <v>547</v>
      </c>
      <c r="C480" s="98" t="s">
        <v>172</v>
      </c>
      <c r="D480" s="14">
        <v>214</v>
      </c>
      <c r="E480" s="10" t="s">
        <v>429</v>
      </c>
      <c r="F480" s="10" t="s">
        <v>522</v>
      </c>
      <c r="G480" s="10"/>
    </row>
    <row r="481" spans="1:7" x14ac:dyDescent="0.35">
      <c r="A481" s="10" t="s">
        <v>516</v>
      </c>
      <c r="B481" s="10" t="s">
        <v>547</v>
      </c>
      <c r="C481" s="98" t="s">
        <v>172</v>
      </c>
      <c r="D481" s="14">
        <v>179.0575628253699</v>
      </c>
      <c r="E481" s="10" t="s">
        <v>429</v>
      </c>
      <c r="F481" s="10" t="s">
        <v>230</v>
      </c>
      <c r="G481" s="10" t="s">
        <v>548</v>
      </c>
    </row>
    <row r="482" spans="1:7" x14ac:dyDescent="0.35">
      <c r="A482" s="10" t="s">
        <v>516</v>
      </c>
      <c r="B482" s="10" t="s">
        <v>547</v>
      </c>
      <c r="C482" s="98" t="s">
        <v>174</v>
      </c>
      <c r="D482" s="16">
        <v>317.07315106441979</v>
      </c>
      <c r="E482" s="10" t="s">
        <v>429</v>
      </c>
      <c r="F482" s="10" t="s">
        <v>230</v>
      </c>
      <c r="G482" s="10" t="s">
        <v>548</v>
      </c>
    </row>
    <row r="483" spans="1:7" x14ac:dyDescent="0.35">
      <c r="A483" s="10" t="s">
        <v>516</v>
      </c>
      <c r="B483" s="10" t="s">
        <v>547</v>
      </c>
      <c r="C483" s="98" t="s">
        <v>183</v>
      </c>
      <c r="D483" s="20">
        <v>136.80000000000001</v>
      </c>
      <c r="E483" s="10" t="s">
        <v>429</v>
      </c>
      <c r="F483" s="10" t="s">
        <v>522</v>
      </c>
      <c r="G483" s="10"/>
    </row>
    <row r="484" spans="1:7" x14ac:dyDescent="0.35">
      <c r="A484" s="10" t="s">
        <v>516</v>
      </c>
      <c r="B484" s="10" t="s">
        <v>547</v>
      </c>
      <c r="C484" s="98" t="s">
        <v>183</v>
      </c>
      <c r="D484" s="20">
        <v>560.732862891266</v>
      </c>
      <c r="E484" s="10" t="s">
        <v>429</v>
      </c>
      <c r="F484" s="10" t="s">
        <v>230</v>
      </c>
      <c r="G484" s="10" t="s">
        <v>548</v>
      </c>
    </row>
    <row r="485" spans="1:7" x14ac:dyDescent="0.35">
      <c r="A485" s="10" t="s">
        <v>516</v>
      </c>
      <c r="B485" s="10" t="s">
        <v>547</v>
      </c>
      <c r="C485" s="98" t="s">
        <v>185</v>
      </c>
      <c r="D485" s="14">
        <v>200</v>
      </c>
      <c r="E485" s="10" t="s">
        <v>429</v>
      </c>
      <c r="F485" s="10" t="s">
        <v>522</v>
      </c>
      <c r="G485" s="10"/>
    </row>
    <row r="486" spans="1:7" x14ac:dyDescent="0.35">
      <c r="A486" s="10" t="s">
        <v>516</v>
      </c>
      <c r="B486" s="10" t="s">
        <v>547</v>
      </c>
      <c r="C486" s="98" t="s">
        <v>185</v>
      </c>
      <c r="D486" s="14">
        <v>169.63351462932496</v>
      </c>
      <c r="E486" s="10" t="s">
        <v>429</v>
      </c>
      <c r="F486" s="10" t="s">
        <v>230</v>
      </c>
      <c r="G486" s="10" t="s">
        <v>548</v>
      </c>
    </row>
    <row r="487" spans="1:7" x14ac:dyDescent="0.35">
      <c r="A487" s="10" t="s">
        <v>516</v>
      </c>
      <c r="B487" s="10" t="s">
        <v>547</v>
      </c>
      <c r="C487" s="98" t="s">
        <v>188</v>
      </c>
      <c r="D487" s="14">
        <v>620</v>
      </c>
      <c r="E487" s="10" t="s">
        <v>429</v>
      </c>
      <c r="F487" s="10" t="s">
        <v>522</v>
      </c>
      <c r="G487" s="10"/>
    </row>
    <row r="488" spans="1:7" x14ac:dyDescent="0.35">
      <c r="A488" s="10" t="s">
        <v>516</v>
      </c>
      <c r="B488" s="10" t="s">
        <v>547</v>
      </c>
      <c r="C488" s="98" t="s">
        <v>188</v>
      </c>
      <c r="D488" s="14">
        <v>527.74885598022911</v>
      </c>
      <c r="E488" s="10" t="s">
        <v>429</v>
      </c>
      <c r="F488" s="10" t="s">
        <v>230</v>
      </c>
      <c r="G488" s="10" t="s">
        <v>548</v>
      </c>
    </row>
    <row r="489" spans="1:7" x14ac:dyDescent="0.35">
      <c r="A489" s="10" t="s">
        <v>516</v>
      </c>
      <c r="B489" s="10" t="s">
        <v>549</v>
      </c>
      <c r="C489" s="98" t="s">
        <v>168</v>
      </c>
      <c r="D489" s="16">
        <v>52.526904548917855</v>
      </c>
      <c r="E489" s="10" t="s">
        <v>429</v>
      </c>
      <c r="F489" s="175" t="s">
        <v>518</v>
      </c>
      <c r="G489" s="10" t="s">
        <v>550</v>
      </c>
    </row>
    <row r="490" spans="1:7" x14ac:dyDescent="0.35">
      <c r="A490" s="10" t="s">
        <v>516</v>
      </c>
      <c r="B490" s="10" t="s">
        <v>549</v>
      </c>
      <c r="C490" s="98" t="s">
        <v>172</v>
      </c>
      <c r="D490" s="16">
        <v>1933.0192462568859</v>
      </c>
      <c r="E490" s="10" t="s">
        <v>429</v>
      </c>
      <c r="F490" s="175" t="s">
        <v>518</v>
      </c>
      <c r="G490" s="10" t="s">
        <v>550</v>
      </c>
    </row>
    <row r="491" spans="1:7" x14ac:dyDescent="0.35">
      <c r="A491" s="10" t="s">
        <v>516</v>
      </c>
      <c r="B491" s="10" t="s">
        <v>549</v>
      </c>
      <c r="C491" s="98" t="s">
        <v>174</v>
      </c>
      <c r="D491" s="16">
        <v>644.49554301337582</v>
      </c>
      <c r="E491" s="10" t="s">
        <v>429</v>
      </c>
      <c r="F491" s="175" t="s">
        <v>518</v>
      </c>
      <c r="G491" s="10" t="s">
        <v>550</v>
      </c>
    </row>
    <row r="492" spans="1:7" x14ac:dyDescent="0.35">
      <c r="A492" s="10" t="s">
        <v>516</v>
      </c>
      <c r="B492" s="10" t="s">
        <v>549</v>
      </c>
      <c r="C492" s="98" t="s">
        <v>343</v>
      </c>
      <c r="D492" s="16">
        <v>67.190699367767124</v>
      </c>
      <c r="E492" s="10" t="s">
        <v>429</v>
      </c>
      <c r="F492" s="175" t="s">
        <v>518</v>
      </c>
      <c r="G492" s="10" t="s">
        <v>550</v>
      </c>
    </row>
    <row r="493" spans="1:7" x14ac:dyDescent="0.35">
      <c r="A493" s="10" t="s">
        <v>516</v>
      </c>
      <c r="B493" s="10" t="s">
        <v>549</v>
      </c>
      <c r="C493" s="98" t="s">
        <v>183</v>
      </c>
      <c r="D493" s="16">
        <v>242.59202976302146</v>
      </c>
      <c r="E493" s="10" t="s">
        <v>429</v>
      </c>
      <c r="F493" s="175" t="s">
        <v>518</v>
      </c>
      <c r="G493" s="10" t="s">
        <v>550</v>
      </c>
    </row>
    <row r="494" spans="1:7" x14ac:dyDescent="0.35">
      <c r="A494" s="10" t="s">
        <v>516</v>
      </c>
      <c r="B494" s="10" t="s">
        <v>549</v>
      </c>
      <c r="C494" s="98" t="s">
        <v>185</v>
      </c>
      <c r="D494" s="16">
        <v>681.03481020698666</v>
      </c>
      <c r="E494" s="10" t="s">
        <v>429</v>
      </c>
      <c r="F494" s="175" t="s">
        <v>518</v>
      </c>
      <c r="G494" s="10" t="s">
        <v>550</v>
      </c>
    </row>
    <row r="495" spans="1:7" x14ac:dyDescent="0.35">
      <c r="A495" s="10" t="s">
        <v>516</v>
      </c>
      <c r="B495" s="10" t="s">
        <v>549</v>
      </c>
      <c r="C495" s="98" t="s">
        <v>188</v>
      </c>
      <c r="D495" s="16">
        <v>2150.2929289080002</v>
      </c>
      <c r="E495" s="10" t="s">
        <v>429</v>
      </c>
      <c r="F495" s="175" t="s">
        <v>518</v>
      </c>
      <c r="G495" s="10" t="s">
        <v>550</v>
      </c>
    </row>
    <row r="496" spans="1:7" x14ac:dyDescent="0.35">
      <c r="A496" s="10" t="s">
        <v>516</v>
      </c>
      <c r="B496" s="10" t="s">
        <v>551</v>
      </c>
      <c r="C496" s="98" t="s">
        <v>168</v>
      </c>
      <c r="D496" s="16">
        <v>85.708918423537071</v>
      </c>
      <c r="E496" s="10" t="s">
        <v>429</v>
      </c>
      <c r="F496" s="175" t="s">
        <v>518</v>
      </c>
      <c r="G496" s="10" t="s">
        <v>552</v>
      </c>
    </row>
    <row r="497" spans="1:7" x14ac:dyDescent="0.35">
      <c r="A497" s="10" t="s">
        <v>516</v>
      </c>
      <c r="B497" s="10" t="s">
        <v>551</v>
      </c>
      <c r="C497" s="98" t="s">
        <v>172</v>
      </c>
      <c r="D497" s="21">
        <v>2657.450350391126</v>
      </c>
      <c r="E497" s="10" t="s">
        <v>429</v>
      </c>
      <c r="F497" s="175" t="s">
        <v>518</v>
      </c>
      <c r="G497" s="10" t="s">
        <v>552</v>
      </c>
    </row>
    <row r="498" spans="1:7" x14ac:dyDescent="0.35">
      <c r="A498" s="10" t="s">
        <v>516</v>
      </c>
      <c r="B498" s="10" t="s">
        <v>551</v>
      </c>
      <c r="C498" s="98" t="s">
        <v>172</v>
      </c>
      <c r="D498" s="14">
        <v>84.816757314669871</v>
      </c>
      <c r="E498" s="10" t="s">
        <v>429</v>
      </c>
      <c r="F498" s="10" t="s">
        <v>230</v>
      </c>
      <c r="G498" s="10" t="s">
        <v>553</v>
      </c>
    </row>
    <row r="499" spans="1:7" x14ac:dyDescent="0.35">
      <c r="A499" s="10" t="s">
        <v>516</v>
      </c>
      <c r="B499" s="10" t="s">
        <v>551</v>
      </c>
      <c r="C499" s="98" t="s">
        <v>174</v>
      </c>
      <c r="D499" s="20">
        <v>638.51863664567634</v>
      </c>
      <c r="E499" s="10" t="s">
        <v>429</v>
      </c>
      <c r="F499" s="175" t="s">
        <v>518</v>
      </c>
      <c r="G499" s="10" t="s">
        <v>552</v>
      </c>
    </row>
    <row r="500" spans="1:7" x14ac:dyDescent="0.35">
      <c r="A500" s="10" t="s">
        <v>516</v>
      </c>
      <c r="B500" s="10" t="s">
        <v>551</v>
      </c>
      <c r="C500" s="98" t="s">
        <v>174</v>
      </c>
      <c r="D500" s="20">
        <v>317.07315106441979</v>
      </c>
      <c r="E500" s="10" t="s">
        <v>429</v>
      </c>
      <c r="F500" s="10" t="s">
        <v>230</v>
      </c>
      <c r="G500" s="10" t="s">
        <v>553</v>
      </c>
    </row>
    <row r="501" spans="1:7" x14ac:dyDescent="0.35">
      <c r="A501" s="10" t="s">
        <v>516</v>
      </c>
      <c r="B501" s="10" t="s">
        <v>551</v>
      </c>
      <c r="C501" s="98" t="s">
        <v>343</v>
      </c>
      <c r="D501" s="16">
        <v>73.713441175076923</v>
      </c>
      <c r="E501" s="10" t="s">
        <v>429</v>
      </c>
      <c r="F501" s="175" t="s">
        <v>518</v>
      </c>
      <c r="G501" s="10" t="s">
        <v>552</v>
      </c>
    </row>
    <row r="502" spans="1:7" x14ac:dyDescent="0.35">
      <c r="A502" s="10" t="s">
        <v>516</v>
      </c>
      <c r="B502" s="10" t="s">
        <v>551</v>
      </c>
      <c r="C502" s="98" t="s">
        <v>183</v>
      </c>
      <c r="D502" s="20">
        <v>705.80953974930071</v>
      </c>
      <c r="E502" s="10" t="s">
        <v>429</v>
      </c>
      <c r="F502" s="175" t="s">
        <v>518</v>
      </c>
      <c r="G502" s="10" t="s">
        <v>552</v>
      </c>
    </row>
    <row r="503" spans="1:7" x14ac:dyDescent="0.35">
      <c r="A503" s="10" t="s">
        <v>516</v>
      </c>
      <c r="B503" s="10" t="s">
        <v>551</v>
      </c>
      <c r="C503" s="98" t="s">
        <v>183</v>
      </c>
      <c r="D503" s="20">
        <v>518.32448423393498</v>
      </c>
      <c r="E503" s="10" t="s">
        <v>429</v>
      </c>
      <c r="F503" s="10" t="s">
        <v>230</v>
      </c>
      <c r="G503" s="10" t="s">
        <v>553</v>
      </c>
    </row>
    <row r="504" spans="1:7" x14ac:dyDescent="0.35">
      <c r="A504" s="10" t="s">
        <v>516</v>
      </c>
      <c r="B504" s="10" t="s">
        <v>551</v>
      </c>
      <c r="C504" s="98" t="s">
        <v>185</v>
      </c>
      <c r="D504" s="21">
        <v>1049.8943202113705</v>
      </c>
      <c r="E504" s="10" t="s">
        <v>429</v>
      </c>
      <c r="F504" s="175" t="s">
        <v>518</v>
      </c>
      <c r="G504" s="10" t="s">
        <v>552</v>
      </c>
    </row>
    <row r="505" spans="1:7" x14ac:dyDescent="0.35">
      <c r="A505" s="10" t="s">
        <v>516</v>
      </c>
      <c r="B505" s="10" t="s">
        <v>551</v>
      </c>
      <c r="C505" s="98" t="s">
        <v>185</v>
      </c>
      <c r="D505" s="14">
        <v>80.10478714168201</v>
      </c>
      <c r="E505" s="10" t="s">
        <v>429</v>
      </c>
      <c r="F505" s="10" t="s">
        <v>230</v>
      </c>
      <c r="G505" s="10" t="s">
        <v>553</v>
      </c>
    </row>
    <row r="506" spans="1:7" x14ac:dyDescent="0.35">
      <c r="A506" s="10" t="s">
        <v>516</v>
      </c>
      <c r="B506" s="10" t="s">
        <v>551</v>
      </c>
      <c r="C506" s="98" t="s">
        <v>188</v>
      </c>
      <c r="D506" s="20">
        <v>1821.197085558824</v>
      </c>
      <c r="E506" s="10" t="s">
        <v>429</v>
      </c>
      <c r="F506" s="175" t="s">
        <v>518</v>
      </c>
      <c r="G506" s="10" t="s">
        <v>552</v>
      </c>
    </row>
    <row r="507" spans="1:7" x14ac:dyDescent="0.35">
      <c r="A507" s="10" t="s">
        <v>516</v>
      </c>
      <c r="B507" s="10" t="s">
        <v>551</v>
      </c>
      <c r="C507" s="98" t="s">
        <v>188</v>
      </c>
      <c r="D507" s="20">
        <v>654.97388410213307</v>
      </c>
      <c r="E507" s="10" t="s">
        <v>429</v>
      </c>
      <c r="F507" s="10" t="s">
        <v>230</v>
      </c>
      <c r="G507" s="10" t="s">
        <v>553</v>
      </c>
    </row>
    <row r="508" spans="1:7" x14ac:dyDescent="0.35">
      <c r="A508" s="10" t="s">
        <v>516</v>
      </c>
      <c r="B508" s="10" t="s">
        <v>554</v>
      </c>
      <c r="C508" s="98" t="s">
        <v>172</v>
      </c>
      <c r="D508" s="14">
        <v>94</v>
      </c>
      <c r="E508" s="10" t="s">
        <v>429</v>
      </c>
      <c r="F508" s="10" t="s">
        <v>522</v>
      </c>
      <c r="G508" s="10"/>
    </row>
    <row r="509" spans="1:7" x14ac:dyDescent="0.35">
      <c r="A509" s="10" t="s">
        <v>516</v>
      </c>
      <c r="B509" s="10" t="s">
        <v>554</v>
      </c>
      <c r="C509" s="98" t="s">
        <v>183</v>
      </c>
      <c r="D509" s="20">
        <v>124.60000000000001</v>
      </c>
      <c r="E509" s="10" t="s">
        <v>429</v>
      </c>
      <c r="F509" s="10" t="s">
        <v>522</v>
      </c>
      <c r="G509" s="10"/>
    </row>
    <row r="510" spans="1:7" x14ac:dyDescent="0.35">
      <c r="A510" s="10" t="s">
        <v>516</v>
      </c>
      <c r="B510" s="10" t="s">
        <v>554</v>
      </c>
      <c r="C510" s="98" t="s">
        <v>185</v>
      </c>
      <c r="D510" s="14">
        <v>90</v>
      </c>
      <c r="E510" s="10" t="s">
        <v>429</v>
      </c>
      <c r="F510" s="10" t="s">
        <v>522</v>
      </c>
      <c r="G510" s="10"/>
    </row>
    <row r="511" spans="1:7" x14ac:dyDescent="0.35">
      <c r="A511" s="10" t="s">
        <v>516</v>
      </c>
      <c r="B511" s="10" t="s">
        <v>554</v>
      </c>
      <c r="C511" s="98" t="s">
        <v>188</v>
      </c>
      <c r="D511" s="20">
        <v>750</v>
      </c>
      <c r="E511" s="10" t="s">
        <v>429</v>
      </c>
      <c r="F511" s="10" t="s">
        <v>522</v>
      </c>
      <c r="G511" s="10"/>
    </row>
    <row r="512" spans="1:7" x14ac:dyDescent="0.35">
      <c r="A512" s="10" t="s">
        <v>555</v>
      </c>
      <c r="B512" s="10" t="s">
        <v>245</v>
      </c>
      <c r="C512" s="98" t="s">
        <v>168</v>
      </c>
      <c r="D512" s="196">
        <v>127302</v>
      </c>
      <c r="E512" s="12" t="s">
        <v>418</v>
      </c>
      <c r="F512" s="10" t="s">
        <v>556</v>
      </c>
      <c r="G512" s="10"/>
    </row>
    <row r="513" spans="1:7" x14ac:dyDescent="0.35">
      <c r="A513" s="10" t="s">
        <v>555</v>
      </c>
      <c r="B513" s="10" t="s">
        <v>245</v>
      </c>
      <c r="C513" s="98" t="s">
        <v>171</v>
      </c>
      <c r="D513" s="196">
        <v>11850</v>
      </c>
      <c r="E513" s="12" t="s">
        <v>418</v>
      </c>
      <c r="F513" s="10" t="s">
        <v>419</v>
      </c>
      <c r="G513" s="10"/>
    </row>
    <row r="514" spans="1:7" x14ac:dyDescent="0.35">
      <c r="A514" s="10" t="s">
        <v>555</v>
      </c>
      <c r="B514" s="10" t="s">
        <v>245</v>
      </c>
      <c r="C514" s="98" t="s">
        <v>181</v>
      </c>
      <c r="D514" s="196">
        <v>902171.34</v>
      </c>
      <c r="E514" s="12" t="s">
        <v>418</v>
      </c>
      <c r="F514" s="10" t="s">
        <v>556</v>
      </c>
      <c r="G514" s="10"/>
    </row>
    <row r="515" spans="1:7" x14ac:dyDescent="0.35">
      <c r="A515" s="10" t="s">
        <v>555</v>
      </c>
      <c r="B515" s="10" t="s">
        <v>245</v>
      </c>
      <c r="C515" s="98" t="s">
        <v>182</v>
      </c>
      <c r="D515" s="16">
        <v>310</v>
      </c>
      <c r="E515" s="12" t="s">
        <v>418</v>
      </c>
      <c r="F515" s="10" t="s">
        <v>419</v>
      </c>
      <c r="G515" s="10"/>
    </row>
    <row r="516" spans="1:7" x14ac:dyDescent="0.35">
      <c r="A516" s="10" t="s">
        <v>555</v>
      </c>
      <c r="B516" s="10" t="s">
        <v>245</v>
      </c>
      <c r="C516" s="98" t="s">
        <v>202</v>
      </c>
      <c r="D516" s="16">
        <v>100</v>
      </c>
      <c r="E516" s="12" t="s">
        <v>418</v>
      </c>
      <c r="F516" s="10" t="s">
        <v>419</v>
      </c>
      <c r="G516" s="10"/>
    </row>
    <row r="517" spans="1:7" x14ac:dyDescent="0.35">
      <c r="A517" s="10" t="s">
        <v>555</v>
      </c>
      <c r="B517" s="10" t="s">
        <v>242</v>
      </c>
      <c r="C517" s="98" t="s">
        <v>168</v>
      </c>
      <c r="D517" s="196">
        <v>71300</v>
      </c>
      <c r="E517" s="12" t="s">
        <v>418</v>
      </c>
      <c r="F517" s="10" t="s">
        <v>556</v>
      </c>
      <c r="G517" s="10"/>
    </row>
    <row r="518" spans="1:7" x14ac:dyDescent="0.35">
      <c r="A518" s="10" t="s">
        <v>555</v>
      </c>
      <c r="B518" s="10" t="s">
        <v>242</v>
      </c>
      <c r="C518" s="98" t="s">
        <v>171</v>
      </c>
      <c r="D518" s="196">
        <v>0</v>
      </c>
      <c r="E518" s="12" t="s">
        <v>418</v>
      </c>
      <c r="F518" s="10" t="s">
        <v>419</v>
      </c>
      <c r="G518" s="10"/>
    </row>
    <row r="519" spans="1:7" x14ac:dyDescent="0.35">
      <c r="A519" s="10" t="s">
        <v>555</v>
      </c>
      <c r="B519" s="10" t="s">
        <v>242</v>
      </c>
      <c r="C519" s="98" t="s">
        <v>181</v>
      </c>
      <c r="D519" s="196">
        <v>902171.34</v>
      </c>
      <c r="E519" s="12" t="s">
        <v>418</v>
      </c>
      <c r="F519" s="10" t="s">
        <v>556</v>
      </c>
      <c r="G519" s="10"/>
    </row>
    <row r="520" spans="1:7" x14ac:dyDescent="0.35">
      <c r="A520" s="10" t="s">
        <v>555</v>
      </c>
      <c r="B520" s="10" t="s">
        <v>242</v>
      </c>
      <c r="C520" s="98" t="s">
        <v>182</v>
      </c>
      <c r="D520" s="16">
        <v>300</v>
      </c>
      <c r="E520" s="12" t="s">
        <v>418</v>
      </c>
      <c r="F520" s="10" t="s">
        <v>419</v>
      </c>
      <c r="G520" s="10"/>
    </row>
    <row r="521" spans="1:7" x14ac:dyDescent="0.35">
      <c r="A521" s="10" t="s">
        <v>555</v>
      </c>
      <c r="B521" s="10" t="s">
        <v>242</v>
      </c>
      <c r="C521" s="98" t="s">
        <v>202</v>
      </c>
      <c r="D521" s="16">
        <v>100</v>
      </c>
      <c r="E521" s="12" t="s">
        <v>418</v>
      </c>
      <c r="F521" s="10" t="s">
        <v>419</v>
      </c>
      <c r="G521" s="10"/>
    </row>
    <row r="522" spans="1:7" x14ac:dyDescent="0.35">
      <c r="A522" s="10" t="s">
        <v>555</v>
      </c>
      <c r="B522" s="10" t="s">
        <v>246</v>
      </c>
      <c r="C522" s="98" t="s">
        <v>168</v>
      </c>
      <c r="D522" s="196">
        <v>110658</v>
      </c>
      <c r="E522" s="12" t="s">
        <v>418</v>
      </c>
      <c r="F522" s="10" t="s">
        <v>556</v>
      </c>
      <c r="G522" s="10"/>
    </row>
    <row r="523" spans="1:7" x14ac:dyDescent="0.35">
      <c r="A523" s="10" t="s">
        <v>555</v>
      </c>
      <c r="B523" s="10" t="s">
        <v>246</v>
      </c>
      <c r="C523" s="98" t="s">
        <v>171</v>
      </c>
      <c r="D523" s="196">
        <v>12789</v>
      </c>
      <c r="E523" s="12" t="s">
        <v>418</v>
      </c>
      <c r="F523" s="10" t="s">
        <v>419</v>
      </c>
      <c r="G523" s="10"/>
    </row>
    <row r="524" spans="1:7" x14ac:dyDescent="0.35">
      <c r="A524" s="10" t="s">
        <v>555</v>
      </c>
      <c r="B524" s="10" t="s">
        <v>246</v>
      </c>
      <c r="C524" s="98" t="s">
        <v>181</v>
      </c>
      <c r="D524" s="196">
        <v>902171.34</v>
      </c>
      <c r="E524" s="12" t="s">
        <v>418</v>
      </c>
      <c r="F524" s="10" t="s">
        <v>556</v>
      </c>
      <c r="G524" s="10"/>
    </row>
    <row r="525" spans="1:7" x14ac:dyDescent="0.35">
      <c r="A525" s="10" t="s">
        <v>555</v>
      </c>
      <c r="B525" s="10" t="s">
        <v>246</v>
      </c>
      <c r="C525" s="98" t="s">
        <v>182</v>
      </c>
      <c r="D525" s="16">
        <v>320</v>
      </c>
      <c r="E525" s="12" t="s">
        <v>418</v>
      </c>
      <c r="F525" s="10" t="s">
        <v>419</v>
      </c>
      <c r="G525" s="10"/>
    </row>
    <row r="526" spans="1:7" x14ac:dyDescent="0.35">
      <c r="A526" s="10" t="s">
        <v>555</v>
      </c>
      <c r="B526" s="10" t="s">
        <v>246</v>
      </c>
      <c r="C526" s="98" t="s">
        <v>202</v>
      </c>
      <c r="D526" s="16">
        <v>100</v>
      </c>
      <c r="E526" s="12" t="s">
        <v>418</v>
      </c>
      <c r="F526" s="10" t="s">
        <v>419</v>
      </c>
      <c r="G526" s="10"/>
    </row>
    <row r="527" spans="1:7" x14ac:dyDescent="0.35">
      <c r="A527" s="10" t="s">
        <v>557</v>
      </c>
      <c r="B527" s="10" t="s">
        <v>228</v>
      </c>
      <c r="C527" s="111" t="s">
        <v>168</v>
      </c>
      <c r="D527" s="197">
        <v>0</v>
      </c>
      <c r="E527" s="10" t="s">
        <v>418</v>
      </c>
      <c r="F527" s="10" t="s">
        <v>256</v>
      </c>
      <c r="G527" s="10"/>
    </row>
    <row r="528" spans="1:7" x14ac:dyDescent="0.35">
      <c r="A528" s="10" t="s">
        <v>557</v>
      </c>
      <c r="B528" s="10" t="s">
        <v>228</v>
      </c>
      <c r="C528" s="98" t="s">
        <v>174</v>
      </c>
      <c r="D528" s="16">
        <v>33673.5</v>
      </c>
      <c r="E528" s="10" t="s">
        <v>418</v>
      </c>
      <c r="F528" s="10" t="s">
        <v>257</v>
      </c>
      <c r="G528" s="10"/>
    </row>
    <row r="529" spans="1:7" x14ac:dyDescent="0.35">
      <c r="A529" s="10" t="s">
        <v>557</v>
      </c>
      <c r="B529" s="10" t="s">
        <v>228</v>
      </c>
      <c r="C529" s="98" t="s">
        <v>174</v>
      </c>
      <c r="D529" s="16">
        <v>0.48104999999999998</v>
      </c>
      <c r="E529" s="10" t="s">
        <v>558</v>
      </c>
      <c r="F529" s="10" t="s">
        <v>257</v>
      </c>
      <c r="G529" s="10" t="s">
        <v>559</v>
      </c>
    </row>
    <row r="530" spans="1:7" x14ac:dyDescent="0.35">
      <c r="A530" s="10" t="s">
        <v>557</v>
      </c>
      <c r="B530" s="10" t="s">
        <v>228</v>
      </c>
      <c r="C530" s="98" t="s">
        <v>175</v>
      </c>
      <c r="D530" s="14">
        <v>0</v>
      </c>
      <c r="E530" s="10" t="s">
        <v>558</v>
      </c>
      <c r="F530" s="10" t="s">
        <v>521</v>
      </c>
      <c r="G530" s="10" t="s">
        <v>560</v>
      </c>
    </row>
    <row r="531" spans="1:7" x14ac:dyDescent="0.35">
      <c r="A531" s="10" t="s">
        <v>557</v>
      </c>
      <c r="B531" s="10" t="s">
        <v>228</v>
      </c>
      <c r="C531" s="98" t="s">
        <v>175</v>
      </c>
      <c r="D531" s="14">
        <v>0</v>
      </c>
      <c r="E531" s="10" t="s">
        <v>418</v>
      </c>
      <c r="F531" s="10" t="s">
        <v>258</v>
      </c>
      <c r="G531" s="10"/>
    </row>
    <row r="532" spans="1:7" x14ac:dyDescent="0.35">
      <c r="A532" s="10" t="s">
        <v>557</v>
      </c>
      <c r="B532" s="10" t="s">
        <v>228</v>
      </c>
      <c r="C532" s="98" t="s">
        <v>187</v>
      </c>
      <c r="D532" s="14">
        <v>0</v>
      </c>
      <c r="E532" s="10" t="s">
        <v>558</v>
      </c>
      <c r="F532" s="10" t="s">
        <v>521</v>
      </c>
      <c r="G532" s="10" t="s">
        <v>560</v>
      </c>
    </row>
    <row r="533" spans="1:7" x14ac:dyDescent="0.35">
      <c r="A533" s="10" t="s">
        <v>557</v>
      </c>
      <c r="B533" s="10" t="s">
        <v>228</v>
      </c>
      <c r="C533" s="98" t="s">
        <v>187</v>
      </c>
      <c r="D533" s="14">
        <v>0</v>
      </c>
      <c r="E533" s="10" t="s">
        <v>418</v>
      </c>
      <c r="F533" s="10" t="s">
        <v>258</v>
      </c>
      <c r="G533" s="10"/>
    </row>
    <row r="534" spans="1:7" x14ac:dyDescent="0.35">
      <c r="A534" s="10" t="s">
        <v>557</v>
      </c>
      <c r="B534" s="10" t="s">
        <v>228</v>
      </c>
      <c r="C534" s="98" t="s">
        <v>191</v>
      </c>
      <c r="D534" s="16">
        <v>0</v>
      </c>
      <c r="E534" s="10" t="s">
        <v>418</v>
      </c>
      <c r="F534" s="10" t="s">
        <v>258</v>
      </c>
      <c r="G534" s="10"/>
    </row>
    <row r="535" spans="1:7" x14ac:dyDescent="0.35">
      <c r="A535" s="10" t="s">
        <v>557</v>
      </c>
      <c r="B535" s="10" t="s">
        <v>229</v>
      </c>
      <c r="C535" s="111" t="s">
        <v>168</v>
      </c>
      <c r="D535" s="197">
        <v>0</v>
      </c>
      <c r="E535" s="10" t="s">
        <v>418</v>
      </c>
      <c r="F535" s="10" t="s">
        <v>256</v>
      </c>
      <c r="G535" s="10"/>
    </row>
    <row r="536" spans="1:7" x14ac:dyDescent="0.35">
      <c r="A536" s="10" t="s">
        <v>557</v>
      </c>
      <c r="B536" s="10" t="s">
        <v>229</v>
      </c>
      <c r="C536" s="98" t="s">
        <v>174</v>
      </c>
      <c r="D536" s="16">
        <v>13884.5</v>
      </c>
      <c r="E536" s="10" t="s">
        <v>418</v>
      </c>
      <c r="F536" s="10" t="s">
        <v>257</v>
      </c>
      <c r="G536" s="10"/>
    </row>
    <row r="537" spans="1:7" x14ac:dyDescent="0.35">
      <c r="A537" s="10" t="s">
        <v>557</v>
      </c>
      <c r="B537" s="10" t="s">
        <v>229</v>
      </c>
      <c r="C537" s="98" t="s">
        <v>174</v>
      </c>
      <c r="D537" s="16">
        <v>0.19835</v>
      </c>
      <c r="E537" s="10" t="s">
        <v>558</v>
      </c>
      <c r="F537" s="10" t="s">
        <v>257</v>
      </c>
      <c r="G537" s="10" t="s">
        <v>559</v>
      </c>
    </row>
    <row r="538" spans="1:7" x14ac:dyDescent="0.35">
      <c r="A538" s="10" t="s">
        <v>557</v>
      </c>
      <c r="B538" s="10" t="s">
        <v>229</v>
      </c>
      <c r="C538" s="98" t="s">
        <v>175</v>
      </c>
      <c r="D538" s="20">
        <v>2E-3</v>
      </c>
      <c r="E538" s="10" t="s">
        <v>558</v>
      </c>
      <c r="F538" s="10" t="s">
        <v>521</v>
      </c>
      <c r="G538" s="10" t="s">
        <v>559</v>
      </c>
    </row>
    <row r="539" spans="1:7" x14ac:dyDescent="0.35">
      <c r="A539" s="10" t="s">
        <v>557</v>
      </c>
      <c r="B539" s="10" t="s">
        <v>229</v>
      </c>
      <c r="C539" s="98" t="s">
        <v>175</v>
      </c>
      <c r="D539" s="20">
        <v>5.1600000000000001E-5</v>
      </c>
      <c r="E539" s="10" t="s">
        <v>558</v>
      </c>
      <c r="F539" s="10" t="s">
        <v>257</v>
      </c>
      <c r="G539" s="10" t="s">
        <v>559</v>
      </c>
    </row>
    <row r="540" spans="1:7" x14ac:dyDescent="0.35">
      <c r="A540" s="10" t="s">
        <v>557</v>
      </c>
      <c r="B540" s="10" t="s">
        <v>229</v>
      </c>
      <c r="C540" s="98" t="s">
        <v>175</v>
      </c>
      <c r="D540" s="198">
        <v>83</v>
      </c>
      <c r="E540" s="10" t="s">
        <v>418</v>
      </c>
      <c r="F540" s="10" t="s">
        <v>258</v>
      </c>
      <c r="G540" s="10"/>
    </row>
    <row r="541" spans="1:7" x14ac:dyDescent="0.35">
      <c r="A541" s="10" t="s">
        <v>557</v>
      </c>
      <c r="B541" s="10" t="s">
        <v>229</v>
      </c>
      <c r="C541" s="98" t="s">
        <v>187</v>
      </c>
      <c r="D541" s="20">
        <v>0.01</v>
      </c>
      <c r="E541" s="10" t="s">
        <v>558</v>
      </c>
      <c r="F541" s="10" t="s">
        <v>521</v>
      </c>
      <c r="G541" s="10" t="s">
        <v>559</v>
      </c>
    </row>
    <row r="542" spans="1:7" x14ac:dyDescent="0.35">
      <c r="A542" s="10" t="s">
        <v>557</v>
      </c>
      <c r="B542" s="10" t="s">
        <v>229</v>
      </c>
      <c r="C542" s="98" t="s">
        <v>187</v>
      </c>
      <c r="D542" s="14">
        <v>3.8E-3</v>
      </c>
      <c r="E542" s="10" t="s">
        <v>558</v>
      </c>
      <c r="F542" s="10" t="s">
        <v>257</v>
      </c>
      <c r="G542" s="10" t="s">
        <v>559</v>
      </c>
    </row>
    <row r="543" spans="1:7" x14ac:dyDescent="0.35">
      <c r="A543" s="10" t="s">
        <v>557</v>
      </c>
      <c r="B543" s="10" t="s">
        <v>229</v>
      </c>
      <c r="C543" s="98" t="s">
        <v>187</v>
      </c>
      <c r="D543" s="183">
        <v>695</v>
      </c>
      <c r="E543" s="10" t="s">
        <v>418</v>
      </c>
      <c r="F543" s="10" t="s">
        <v>258</v>
      </c>
      <c r="G543" s="10"/>
    </row>
    <row r="544" spans="1:7" x14ac:dyDescent="0.35">
      <c r="A544" s="10" t="s">
        <v>557</v>
      </c>
      <c r="B544" s="10" t="s">
        <v>229</v>
      </c>
      <c r="C544" s="98" t="s">
        <v>191</v>
      </c>
      <c r="D544" s="16">
        <v>1</v>
      </c>
      <c r="E544" s="10" t="s">
        <v>418</v>
      </c>
      <c r="F544" s="10" t="s">
        <v>258</v>
      </c>
      <c r="G544" s="10"/>
    </row>
    <row r="545" spans="1:7" x14ac:dyDescent="0.35">
      <c r="A545" s="10" t="s">
        <v>14</v>
      </c>
      <c r="B545" s="10" t="s">
        <v>9</v>
      </c>
      <c r="C545" s="98" t="s">
        <v>168</v>
      </c>
      <c r="D545" s="219">
        <v>700</v>
      </c>
      <c r="E545" s="12" t="s">
        <v>492</v>
      </c>
      <c r="F545" s="10" t="s">
        <v>30</v>
      </c>
      <c r="G545" s="10" t="s">
        <v>561</v>
      </c>
    </row>
    <row r="546" spans="1:7" x14ac:dyDescent="0.35">
      <c r="A546" s="10" t="s">
        <v>14</v>
      </c>
      <c r="B546" s="10" t="s">
        <v>10</v>
      </c>
      <c r="C546" s="98" t="s">
        <v>168</v>
      </c>
      <c r="D546" s="224">
        <v>500</v>
      </c>
      <c r="E546" s="12" t="s">
        <v>492</v>
      </c>
      <c r="F546" s="10" t="s">
        <v>30</v>
      </c>
      <c r="G546" s="10" t="s">
        <v>562</v>
      </c>
    </row>
    <row r="547" spans="1:7" x14ac:dyDescent="0.35">
      <c r="A547" s="10" t="s">
        <v>14</v>
      </c>
      <c r="B547" s="10" t="s">
        <v>16</v>
      </c>
      <c r="C547" s="98" t="s">
        <v>168</v>
      </c>
      <c r="D547" s="224">
        <v>3651</v>
      </c>
      <c r="E547" s="12" t="s">
        <v>492</v>
      </c>
      <c r="F547" s="38" t="s">
        <v>592</v>
      </c>
      <c r="G547" s="10"/>
    </row>
    <row r="548" spans="1:7" x14ac:dyDescent="0.35">
      <c r="A548" s="10" t="s">
        <v>14</v>
      </c>
      <c r="B548" s="10" t="s">
        <v>17</v>
      </c>
      <c r="C548" s="98" t="s">
        <v>168</v>
      </c>
      <c r="D548" s="224">
        <v>3856</v>
      </c>
      <c r="E548" s="12" t="s">
        <v>492</v>
      </c>
      <c r="F548" s="38" t="s">
        <v>592</v>
      </c>
      <c r="G548" s="10"/>
    </row>
    <row r="549" spans="1:7" x14ac:dyDescent="0.35">
      <c r="A549" s="10" t="s">
        <v>14</v>
      </c>
      <c r="B549" s="10" t="s">
        <v>15</v>
      </c>
      <c r="C549" s="98" t="s">
        <v>168</v>
      </c>
      <c r="D549" s="219">
        <v>1311.8571428571429</v>
      </c>
      <c r="E549" s="12" t="s">
        <v>492</v>
      </c>
      <c r="F549" s="10" t="s">
        <v>470</v>
      </c>
      <c r="G549" s="10"/>
    </row>
    <row r="550" spans="1:7" x14ac:dyDescent="0.35">
      <c r="A550" s="10" t="s">
        <v>14</v>
      </c>
      <c r="B550" s="10" t="s">
        <v>220</v>
      </c>
      <c r="C550" s="98" t="s">
        <v>168</v>
      </c>
      <c r="D550" s="219">
        <v>1400</v>
      </c>
      <c r="E550" s="12" t="s">
        <v>492</v>
      </c>
      <c r="F550" s="10" t="s">
        <v>30</v>
      </c>
      <c r="G550" s="10" t="s">
        <v>218</v>
      </c>
    </row>
    <row r="551" spans="1:7" x14ac:dyDescent="0.35">
      <c r="A551" s="10" t="s">
        <v>14</v>
      </c>
      <c r="B551" s="10" t="s">
        <v>11</v>
      </c>
      <c r="C551" s="98" t="s">
        <v>168</v>
      </c>
      <c r="D551" s="224">
        <v>1600</v>
      </c>
      <c r="E551" s="12" t="s">
        <v>492</v>
      </c>
      <c r="F551" s="10" t="s">
        <v>30</v>
      </c>
      <c r="G551" s="10" t="s">
        <v>219</v>
      </c>
    </row>
    <row r="552" spans="1:7" x14ac:dyDescent="0.35">
      <c r="A552" s="10" t="s">
        <v>14</v>
      </c>
      <c r="B552" s="10" t="s">
        <v>13</v>
      </c>
      <c r="C552" s="98" t="s">
        <v>168</v>
      </c>
      <c r="D552" s="224">
        <v>446.9</v>
      </c>
      <c r="E552" s="12" t="s">
        <v>492</v>
      </c>
      <c r="F552" s="10" t="s">
        <v>26</v>
      </c>
      <c r="G552" s="10"/>
    </row>
    <row r="553" spans="1:7" x14ac:dyDescent="0.35">
      <c r="A553" s="10" t="s">
        <v>14</v>
      </c>
      <c r="B553" s="10" t="s">
        <v>13</v>
      </c>
      <c r="C553" s="98" t="s">
        <v>168</v>
      </c>
      <c r="D553" s="224">
        <v>2063</v>
      </c>
      <c r="E553" s="12" t="s">
        <v>492</v>
      </c>
      <c r="F553" s="10" t="s">
        <v>23</v>
      </c>
      <c r="G553" s="10" t="s">
        <v>509</v>
      </c>
    </row>
    <row r="554" spans="1:7" x14ac:dyDescent="0.35">
      <c r="A554" s="10" t="s">
        <v>14</v>
      </c>
      <c r="B554" s="10" t="s">
        <v>12</v>
      </c>
      <c r="C554" s="98" t="s">
        <v>168</v>
      </c>
      <c r="D554" s="218">
        <v>371.70000000000005</v>
      </c>
      <c r="E554" s="12" t="s">
        <v>492</v>
      </c>
      <c r="F554" s="10" t="s">
        <v>26</v>
      </c>
      <c r="G554" s="10"/>
    </row>
    <row r="555" spans="1:7" x14ac:dyDescent="0.35">
      <c r="A555" s="10" t="s">
        <v>14</v>
      </c>
      <c r="B555" s="10" t="s">
        <v>12</v>
      </c>
      <c r="C555" s="98" t="s">
        <v>168</v>
      </c>
      <c r="D555" s="219">
        <v>1372</v>
      </c>
      <c r="E555" s="12" t="s">
        <v>492</v>
      </c>
      <c r="F555" s="10" t="s">
        <v>23</v>
      </c>
      <c r="G555" s="10"/>
    </row>
    <row r="556" spans="1:7" x14ac:dyDescent="0.35">
      <c r="A556" s="10" t="s">
        <v>14</v>
      </c>
      <c r="B556" s="10" t="s">
        <v>626</v>
      </c>
      <c r="C556" s="98" t="s">
        <v>168</v>
      </c>
      <c r="D556" s="218">
        <v>13200</v>
      </c>
      <c r="E556" s="12" t="s">
        <v>492</v>
      </c>
      <c r="F556" s="10" t="s">
        <v>597</v>
      </c>
      <c r="G556" s="10"/>
    </row>
    <row r="557" spans="1:7" x14ac:dyDescent="0.35">
      <c r="A557" s="10" t="s">
        <v>14</v>
      </c>
      <c r="B557" s="10" t="s">
        <v>563</v>
      </c>
      <c r="C557" s="98" t="s">
        <v>168</v>
      </c>
      <c r="D557" s="219">
        <v>4965</v>
      </c>
      <c r="E557" s="12" t="s">
        <v>492</v>
      </c>
      <c r="F557" s="38" t="s">
        <v>592</v>
      </c>
      <c r="G557" s="10"/>
    </row>
    <row r="558" spans="1:7" x14ac:dyDescent="0.35">
      <c r="A558" s="10" t="s">
        <v>14</v>
      </c>
      <c r="B558" s="10" t="s">
        <v>9</v>
      </c>
      <c r="C558" s="98" t="s">
        <v>169</v>
      </c>
      <c r="D558" s="219">
        <v>0</v>
      </c>
      <c r="E558" s="12" t="s">
        <v>492</v>
      </c>
      <c r="F558" s="10" t="s">
        <v>30</v>
      </c>
      <c r="G558" s="10" t="s">
        <v>561</v>
      </c>
    </row>
    <row r="559" spans="1:7" x14ac:dyDescent="0.35">
      <c r="A559" s="10" t="s">
        <v>14</v>
      </c>
      <c r="B559" s="10" t="s">
        <v>10</v>
      </c>
      <c r="C559" s="98" t="s">
        <v>169</v>
      </c>
      <c r="D559" s="219">
        <v>6</v>
      </c>
      <c r="E559" s="12" t="s">
        <v>492</v>
      </c>
      <c r="F559" s="10" t="s">
        <v>30</v>
      </c>
      <c r="G559" s="10" t="s">
        <v>562</v>
      </c>
    </row>
    <row r="560" spans="1:7" x14ac:dyDescent="0.35">
      <c r="A560" s="10" t="s">
        <v>14</v>
      </c>
      <c r="B560" s="10" t="s">
        <v>15</v>
      </c>
      <c r="C560" s="98" t="s">
        <v>169</v>
      </c>
      <c r="D560" s="219">
        <v>6</v>
      </c>
      <c r="E560" s="12" t="s">
        <v>492</v>
      </c>
      <c r="F560" s="10" t="s">
        <v>470</v>
      </c>
      <c r="G560" s="10"/>
    </row>
    <row r="561" spans="1:7" x14ac:dyDescent="0.35">
      <c r="A561" s="10" t="s">
        <v>14</v>
      </c>
      <c r="B561" s="10" t="s">
        <v>220</v>
      </c>
      <c r="C561" s="98" t="s">
        <v>169</v>
      </c>
      <c r="D561" s="219">
        <v>0</v>
      </c>
      <c r="E561" s="12" t="s">
        <v>492</v>
      </c>
      <c r="F561" s="10" t="s">
        <v>30</v>
      </c>
      <c r="G561" s="10" t="s">
        <v>218</v>
      </c>
    </row>
    <row r="562" spans="1:7" x14ac:dyDescent="0.35">
      <c r="A562" s="10" t="s">
        <v>14</v>
      </c>
      <c r="B562" s="10" t="s">
        <v>11</v>
      </c>
      <c r="C562" s="98" t="s">
        <v>169</v>
      </c>
      <c r="D562" s="219">
        <v>1</v>
      </c>
      <c r="E562" s="12" t="s">
        <v>492</v>
      </c>
      <c r="F562" s="10" t="s">
        <v>30</v>
      </c>
      <c r="G562" s="10" t="s">
        <v>219</v>
      </c>
    </row>
    <row r="563" spans="1:7" x14ac:dyDescent="0.35">
      <c r="A563" s="10" t="s">
        <v>14</v>
      </c>
      <c r="B563" s="10" t="s">
        <v>13</v>
      </c>
      <c r="C563" s="98" t="s">
        <v>169</v>
      </c>
      <c r="D563" s="219">
        <v>7</v>
      </c>
      <c r="E563" s="12" t="s">
        <v>492</v>
      </c>
      <c r="F563" s="10" t="s">
        <v>23</v>
      </c>
      <c r="G563" s="10"/>
    </row>
    <row r="564" spans="1:7" x14ac:dyDescent="0.35">
      <c r="A564" s="10" t="s">
        <v>14</v>
      </c>
      <c r="B564" s="10" t="s">
        <v>12</v>
      </c>
      <c r="C564" s="98" t="s">
        <v>169</v>
      </c>
      <c r="D564" s="219">
        <v>1</v>
      </c>
      <c r="E564" s="12" t="s">
        <v>492</v>
      </c>
      <c r="F564" s="10" t="s">
        <v>23</v>
      </c>
      <c r="G564" s="10"/>
    </row>
    <row r="565" spans="1:7" x14ac:dyDescent="0.35">
      <c r="A565" s="10" t="s">
        <v>14</v>
      </c>
      <c r="B565" s="10" t="s">
        <v>9</v>
      </c>
      <c r="C565" s="98" t="s">
        <v>171</v>
      </c>
      <c r="D565" s="219">
        <v>525</v>
      </c>
      <c r="E565" s="12" t="s">
        <v>492</v>
      </c>
      <c r="F565" s="10" t="s">
        <v>30</v>
      </c>
      <c r="G565" s="10" t="s">
        <v>561</v>
      </c>
    </row>
    <row r="566" spans="1:7" x14ac:dyDescent="0.35">
      <c r="A566" s="10" t="s">
        <v>14</v>
      </c>
      <c r="B566" s="10" t="s">
        <v>10</v>
      </c>
      <c r="C566" s="98" t="s">
        <v>171</v>
      </c>
      <c r="D566" s="219">
        <v>525</v>
      </c>
      <c r="E566" s="12" t="s">
        <v>492</v>
      </c>
      <c r="F566" s="10" t="s">
        <v>30</v>
      </c>
      <c r="G566" s="10" t="s">
        <v>562</v>
      </c>
    </row>
    <row r="567" spans="1:7" x14ac:dyDescent="0.35">
      <c r="A567" s="10" t="s">
        <v>14</v>
      </c>
      <c r="B567" s="10" t="s">
        <v>15</v>
      </c>
      <c r="C567" s="98" t="s">
        <v>171</v>
      </c>
      <c r="D567" s="219">
        <v>382</v>
      </c>
      <c r="E567" s="12" t="s">
        <v>492</v>
      </c>
      <c r="F567" s="10" t="s">
        <v>470</v>
      </c>
      <c r="G567" s="10"/>
    </row>
    <row r="568" spans="1:7" x14ac:dyDescent="0.35">
      <c r="A568" s="10" t="s">
        <v>14</v>
      </c>
      <c r="B568" s="10" t="s">
        <v>220</v>
      </c>
      <c r="C568" s="98" t="s">
        <v>171</v>
      </c>
      <c r="D568" s="219">
        <v>470</v>
      </c>
      <c r="E568" s="12" t="s">
        <v>492</v>
      </c>
      <c r="F568" s="10" t="s">
        <v>30</v>
      </c>
      <c r="G568" s="10" t="s">
        <v>218</v>
      </c>
    </row>
    <row r="569" spans="1:7" x14ac:dyDescent="0.35">
      <c r="A569" s="10" t="s">
        <v>14</v>
      </c>
      <c r="B569" s="10" t="s">
        <v>11</v>
      </c>
      <c r="C569" s="98" t="s">
        <v>171</v>
      </c>
      <c r="D569" s="219">
        <v>580</v>
      </c>
      <c r="E569" s="12" t="s">
        <v>492</v>
      </c>
      <c r="F569" s="10" t="s">
        <v>30</v>
      </c>
      <c r="G569" s="10" t="s">
        <v>219</v>
      </c>
    </row>
    <row r="570" spans="1:7" x14ac:dyDescent="0.35">
      <c r="A570" s="10" t="s">
        <v>14</v>
      </c>
      <c r="B570" s="10" t="s">
        <v>13</v>
      </c>
      <c r="C570" s="98" t="s">
        <v>171</v>
      </c>
      <c r="D570" s="219">
        <v>525</v>
      </c>
      <c r="E570" s="12" t="s">
        <v>492</v>
      </c>
      <c r="F570" s="10" t="s">
        <v>25</v>
      </c>
      <c r="G570" s="10"/>
    </row>
    <row r="571" spans="1:7" x14ac:dyDescent="0.35">
      <c r="A571" s="10" t="s">
        <v>14</v>
      </c>
      <c r="B571" s="10" t="s">
        <v>13</v>
      </c>
      <c r="C571" s="98" t="s">
        <v>171</v>
      </c>
      <c r="D571" s="219">
        <v>372</v>
      </c>
      <c r="E571" s="12" t="s">
        <v>492</v>
      </c>
      <c r="F571" s="10" t="s">
        <v>23</v>
      </c>
      <c r="G571" s="10"/>
    </row>
    <row r="572" spans="1:7" x14ac:dyDescent="0.35">
      <c r="A572" s="10" t="s">
        <v>14</v>
      </c>
      <c r="B572" s="10" t="s">
        <v>12</v>
      </c>
      <c r="C572" s="98" t="s">
        <v>171</v>
      </c>
      <c r="D572" s="219">
        <v>470</v>
      </c>
      <c r="E572" s="12" t="s">
        <v>492</v>
      </c>
      <c r="F572" s="10" t="s">
        <v>25</v>
      </c>
      <c r="G572" s="10"/>
    </row>
    <row r="573" spans="1:7" x14ac:dyDescent="0.35">
      <c r="A573" s="10" t="s">
        <v>14</v>
      </c>
      <c r="B573" s="10" t="s">
        <v>12</v>
      </c>
      <c r="C573" s="98" t="s">
        <v>171</v>
      </c>
      <c r="D573" s="219">
        <v>683</v>
      </c>
      <c r="E573" s="12" t="s">
        <v>492</v>
      </c>
      <c r="F573" s="10" t="s">
        <v>23</v>
      </c>
      <c r="G573" s="10"/>
    </row>
    <row r="574" spans="1:7" x14ac:dyDescent="0.35">
      <c r="A574" s="10" t="s">
        <v>14</v>
      </c>
      <c r="B574" s="10" t="s">
        <v>9</v>
      </c>
      <c r="C574" s="98" t="s">
        <v>173</v>
      </c>
      <c r="D574" s="219">
        <v>369000</v>
      </c>
      <c r="E574" s="12" t="s">
        <v>492</v>
      </c>
      <c r="F574" s="10" t="s">
        <v>30</v>
      </c>
      <c r="G574" s="10" t="s">
        <v>561</v>
      </c>
    </row>
    <row r="575" spans="1:7" x14ac:dyDescent="0.35">
      <c r="A575" s="10" t="s">
        <v>14</v>
      </c>
      <c r="B575" s="10" t="s">
        <v>10</v>
      </c>
      <c r="C575" s="98" t="s">
        <v>173</v>
      </c>
      <c r="D575" s="219">
        <v>243000</v>
      </c>
      <c r="E575" s="12" t="s">
        <v>492</v>
      </c>
      <c r="F575" s="10" t="s">
        <v>30</v>
      </c>
      <c r="G575" s="10" t="s">
        <v>562</v>
      </c>
    </row>
    <row r="576" spans="1:7" x14ac:dyDescent="0.35">
      <c r="A576" s="10" t="s">
        <v>14</v>
      </c>
      <c r="B576" s="10" t="s">
        <v>16</v>
      </c>
      <c r="C576" s="98" t="s">
        <v>173</v>
      </c>
      <c r="D576" s="219">
        <v>818261</v>
      </c>
      <c r="E576" s="12" t="s">
        <v>492</v>
      </c>
      <c r="F576" s="38" t="s">
        <v>592</v>
      </c>
      <c r="G576" s="10"/>
    </row>
    <row r="577" spans="1:7" x14ac:dyDescent="0.35">
      <c r="A577" s="10" t="s">
        <v>14</v>
      </c>
      <c r="B577" s="10" t="s">
        <v>17</v>
      </c>
      <c r="C577" s="98" t="s">
        <v>173</v>
      </c>
      <c r="D577" s="219">
        <v>380000</v>
      </c>
      <c r="E577" s="12" t="s">
        <v>492</v>
      </c>
      <c r="F577" s="38" t="s">
        <v>592</v>
      </c>
      <c r="G577" s="10"/>
    </row>
    <row r="578" spans="1:7" x14ac:dyDescent="0.35">
      <c r="A578" s="10" t="s">
        <v>14</v>
      </c>
      <c r="B578" s="10" t="s">
        <v>220</v>
      </c>
      <c r="C578" s="98" t="s">
        <v>173</v>
      </c>
      <c r="D578" s="219">
        <v>355000</v>
      </c>
      <c r="E578" s="12" t="s">
        <v>492</v>
      </c>
      <c r="F578" s="10" t="s">
        <v>30</v>
      </c>
      <c r="G578" s="10" t="s">
        <v>218</v>
      </c>
    </row>
    <row r="579" spans="1:7" x14ac:dyDescent="0.35">
      <c r="A579" s="10" t="s">
        <v>14</v>
      </c>
      <c r="B579" s="10" t="s">
        <v>11</v>
      </c>
      <c r="C579" s="98" t="s">
        <v>173</v>
      </c>
      <c r="D579" s="219">
        <v>413000</v>
      </c>
      <c r="E579" s="12" t="s">
        <v>492</v>
      </c>
      <c r="F579" s="10" t="s">
        <v>30</v>
      </c>
      <c r="G579" s="10" t="s">
        <v>219</v>
      </c>
    </row>
    <row r="580" spans="1:7" x14ac:dyDescent="0.35">
      <c r="A580" s="10" t="s">
        <v>14</v>
      </c>
      <c r="B580" s="10" t="s">
        <v>626</v>
      </c>
      <c r="C580" s="98" t="s">
        <v>173</v>
      </c>
      <c r="D580" s="219">
        <v>365440</v>
      </c>
      <c r="E580" s="12" t="s">
        <v>492</v>
      </c>
      <c r="F580" s="10" t="s">
        <v>597</v>
      </c>
      <c r="G580" s="10"/>
    </row>
    <row r="581" spans="1:7" x14ac:dyDescent="0.35">
      <c r="A581" s="10" t="s">
        <v>14</v>
      </c>
      <c r="B581" s="10" t="s">
        <v>563</v>
      </c>
      <c r="C581" s="98" t="s">
        <v>173</v>
      </c>
      <c r="D581" s="219">
        <v>487879</v>
      </c>
      <c r="E581" s="12" t="s">
        <v>492</v>
      </c>
      <c r="F581" s="38" t="s">
        <v>592</v>
      </c>
      <c r="G581" s="10"/>
    </row>
    <row r="582" spans="1:7" x14ac:dyDescent="0.35">
      <c r="A582" s="10" t="s">
        <v>14</v>
      </c>
      <c r="B582" s="10" t="s">
        <v>491</v>
      </c>
      <c r="C582" s="98" t="s">
        <v>174</v>
      </c>
      <c r="D582" s="219">
        <v>2000</v>
      </c>
      <c r="E582" s="12" t="s">
        <v>492</v>
      </c>
      <c r="F582" s="10" t="s">
        <v>589</v>
      </c>
      <c r="G582" s="10"/>
    </row>
    <row r="583" spans="1:7" x14ac:dyDescent="0.35">
      <c r="A583" s="10" t="s">
        <v>14</v>
      </c>
      <c r="B583" s="10" t="s">
        <v>9</v>
      </c>
      <c r="C583" s="98" t="s">
        <v>174</v>
      </c>
      <c r="D583" s="219">
        <v>5000</v>
      </c>
      <c r="E583" s="12" t="s">
        <v>492</v>
      </c>
      <c r="F583" s="10" t="s">
        <v>30</v>
      </c>
      <c r="G583" s="10" t="s">
        <v>561</v>
      </c>
    </row>
    <row r="584" spans="1:7" x14ac:dyDescent="0.35">
      <c r="A584" s="10" t="s">
        <v>14</v>
      </c>
      <c r="B584" s="10" t="s">
        <v>10</v>
      </c>
      <c r="C584" s="98" t="s">
        <v>174</v>
      </c>
      <c r="D584" s="219">
        <v>3000</v>
      </c>
      <c r="E584" s="12" t="s">
        <v>492</v>
      </c>
      <c r="F584" s="10" t="s">
        <v>30</v>
      </c>
      <c r="G584" s="10" t="s">
        <v>562</v>
      </c>
    </row>
    <row r="585" spans="1:7" x14ac:dyDescent="0.35">
      <c r="A585" s="10" t="s">
        <v>14</v>
      </c>
      <c r="B585" s="10" t="s">
        <v>15</v>
      </c>
      <c r="C585" s="98" t="s">
        <v>174</v>
      </c>
      <c r="D585" s="219">
        <v>5794.8846153846152</v>
      </c>
      <c r="E585" s="12" t="s">
        <v>492</v>
      </c>
      <c r="F585" s="10" t="s">
        <v>470</v>
      </c>
      <c r="G585" s="10"/>
    </row>
    <row r="586" spans="1:7" x14ac:dyDescent="0.35">
      <c r="A586" s="10" t="s">
        <v>14</v>
      </c>
      <c r="B586" s="10" t="s">
        <v>220</v>
      </c>
      <c r="C586" s="98" t="s">
        <v>174</v>
      </c>
      <c r="D586" s="219">
        <v>1400</v>
      </c>
      <c r="E586" s="12" t="s">
        <v>492</v>
      </c>
      <c r="F586" s="10" t="s">
        <v>30</v>
      </c>
      <c r="G586" s="10" t="s">
        <v>218</v>
      </c>
    </row>
    <row r="587" spans="1:7" x14ac:dyDescent="0.35">
      <c r="A587" s="10" t="s">
        <v>14</v>
      </c>
      <c r="B587" s="10" t="s">
        <v>11</v>
      </c>
      <c r="C587" s="98" t="s">
        <v>174</v>
      </c>
      <c r="D587" s="219">
        <v>950</v>
      </c>
      <c r="E587" s="12" t="s">
        <v>492</v>
      </c>
      <c r="F587" s="10" t="s">
        <v>30</v>
      </c>
      <c r="G587" s="10" t="s">
        <v>219</v>
      </c>
    </row>
    <row r="588" spans="1:7" x14ac:dyDescent="0.35">
      <c r="A588" s="10" t="s">
        <v>14</v>
      </c>
      <c r="B588" s="10" t="s">
        <v>564</v>
      </c>
      <c r="C588" s="98" t="s">
        <v>174</v>
      </c>
      <c r="D588" s="219">
        <v>4082</v>
      </c>
      <c r="E588" s="12" t="s">
        <v>492</v>
      </c>
      <c r="F588" s="10" t="s">
        <v>31</v>
      </c>
      <c r="G588" s="10"/>
    </row>
    <row r="589" spans="1:7" x14ac:dyDescent="0.35">
      <c r="A589" s="10" t="s">
        <v>14</v>
      </c>
      <c r="B589" s="10" t="s">
        <v>13</v>
      </c>
      <c r="C589" s="98" t="s">
        <v>174</v>
      </c>
      <c r="D589" s="220">
        <v>8000</v>
      </c>
      <c r="E589" s="12" t="s">
        <v>492</v>
      </c>
      <c r="F589" s="10" t="s">
        <v>25</v>
      </c>
      <c r="G589" s="10"/>
    </row>
    <row r="590" spans="1:7" x14ac:dyDescent="0.35">
      <c r="A590" s="10" t="s">
        <v>14</v>
      </c>
      <c r="B590" s="10" t="s">
        <v>13</v>
      </c>
      <c r="C590" s="98" t="s">
        <v>174</v>
      </c>
      <c r="D590" s="219">
        <v>2681.4</v>
      </c>
      <c r="E590" s="12" t="s">
        <v>492</v>
      </c>
      <c r="F590" s="10" t="s">
        <v>26</v>
      </c>
      <c r="G590" s="10"/>
    </row>
    <row r="591" spans="1:7" x14ac:dyDescent="0.35">
      <c r="A591" s="10" t="s">
        <v>14</v>
      </c>
      <c r="B591" s="10" t="s">
        <v>13</v>
      </c>
      <c r="C591" s="98" t="s">
        <v>174</v>
      </c>
      <c r="D591" s="220">
        <v>9371</v>
      </c>
      <c r="E591" s="12" t="s">
        <v>492</v>
      </c>
      <c r="F591" s="10" t="s">
        <v>23</v>
      </c>
      <c r="G591" s="10"/>
    </row>
    <row r="592" spans="1:7" x14ac:dyDescent="0.35">
      <c r="A592" s="10" t="s">
        <v>14</v>
      </c>
      <c r="B592" s="10" t="s">
        <v>12</v>
      </c>
      <c r="C592" s="98" t="s">
        <v>174</v>
      </c>
      <c r="D592" s="219">
        <v>2900</v>
      </c>
      <c r="E592" s="12" t="s">
        <v>492</v>
      </c>
      <c r="F592" s="10" t="s">
        <v>25</v>
      </c>
      <c r="G592" s="10"/>
    </row>
    <row r="593" spans="1:7" x14ac:dyDescent="0.35">
      <c r="A593" s="10" t="s">
        <v>14</v>
      </c>
      <c r="B593" s="10" t="s">
        <v>12</v>
      </c>
      <c r="C593" s="98" t="s">
        <v>174</v>
      </c>
      <c r="D593" s="219">
        <v>3840.9000000000005</v>
      </c>
      <c r="E593" s="12" t="s">
        <v>492</v>
      </c>
      <c r="F593" s="10" t="s">
        <v>26</v>
      </c>
      <c r="G593" s="10"/>
    </row>
    <row r="594" spans="1:7" x14ac:dyDescent="0.35">
      <c r="A594" s="10" t="s">
        <v>14</v>
      </c>
      <c r="B594" s="10" t="s">
        <v>12</v>
      </c>
      <c r="C594" s="98" t="s">
        <v>174</v>
      </c>
      <c r="D594" s="219">
        <v>2497</v>
      </c>
      <c r="E594" s="12" t="s">
        <v>492</v>
      </c>
      <c r="F594" s="10" t="s">
        <v>23</v>
      </c>
      <c r="G594" s="10"/>
    </row>
    <row r="595" spans="1:7" x14ac:dyDescent="0.35">
      <c r="A595" s="10" t="s">
        <v>14</v>
      </c>
      <c r="B595" s="10" t="s">
        <v>626</v>
      </c>
      <c r="C595" s="98" t="s">
        <v>174</v>
      </c>
      <c r="D595" s="219">
        <v>3320</v>
      </c>
      <c r="E595" s="12" t="s">
        <v>492</v>
      </c>
      <c r="F595" s="10" t="s">
        <v>597</v>
      </c>
      <c r="G595" s="10"/>
    </row>
    <row r="596" spans="1:7" x14ac:dyDescent="0.35">
      <c r="A596" s="10" t="s">
        <v>14</v>
      </c>
      <c r="B596" s="10" t="s">
        <v>229</v>
      </c>
      <c r="C596" s="98" t="s">
        <v>174</v>
      </c>
      <c r="D596" s="219">
        <v>4700</v>
      </c>
      <c r="E596" s="12" t="s">
        <v>492</v>
      </c>
      <c r="F596" s="10" t="s">
        <v>31</v>
      </c>
      <c r="G596" s="10"/>
    </row>
    <row r="597" spans="1:7" x14ac:dyDescent="0.35">
      <c r="A597" s="10" t="s">
        <v>14</v>
      </c>
      <c r="B597" s="10" t="s">
        <v>491</v>
      </c>
      <c r="C597" s="98" t="s">
        <v>175</v>
      </c>
      <c r="D597" s="218">
        <v>33</v>
      </c>
      <c r="E597" s="12" t="s">
        <v>492</v>
      </c>
      <c r="F597" s="10" t="s">
        <v>589</v>
      </c>
      <c r="G597" s="10"/>
    </row>
    <row r="598" spans="1:7" x14ac:dyDescent="0.35">
      <c r="A598" s="10" t="s">
        <v>14</v>
      </c>
      <c r="B598" s="10" t="s">
        <v>9</v>
      </c>
      <c r="C598" s="98" t="s">
        <v>175</v>
      </c>
      <c r="D598" s="219">
        <v>6</v>
      </c>
      <c r="E598" s="12" t="s">
        <v>492</v>
      </c>
      <c r="F598" s="10" t="s">
        <v>30</v>
      </c>
      <c r="G598" s="10" t="s">
        <v>561</v>
      </c>
    </row>
    <row r="599" spans="1:7" x14ac:dyDescent="0.35">
      <c r="A599" s="10" t="s">
        <v>14</v>
      </c>
      <c r="B599" s="10" t="s">
        <v>10</v>
      </c>
      <c r="C599" s="98" t="s">
        <v>175</v>
      </c>
      <c r="D599" s="219">
        <v>17</v>
      </c>
      <c r="E599" s="12" t="s">
        <v>492</v>
      </c>
      <c r="F599" s="10" t="s">
        <v>30</v>
      </c>
      <c r="G599" s="10" t="s">
        <v>562</v>
      </c>
    </row>
    <row r="600" spans="1:7" x14ac:dyDescent="0.35">
      <c r="A600" s="10" t="s">
        <v>14</v>
      </c>
      <c r="B600" s="10" t="s">
        <v>220</v>
      </c>
      <c r="C600" s="98" t="s">
        <v>175</v>
      </c>
      <c r="D600" s="219">
        <v>2</v>
      </c>
      <c r="E600" s="12" t="s">
        <v>492</v>
      </c>
      <c r="F600" s="10" t="s">
        <v>30</v>
      </c>
      <c r="G600" s="10" t="s">
        <v>218</v>
      </c>
    </row>
    <row r="601" spans="1:7" x14ac:dyDescent="0.35">
      <c r="A601" s="10" t="s">
        <v>14</v>
      </c>
      <c r="B601" s="10" t="s">
        <v>11</v>
      </c>
      <c r="C601" s="98" t="s">
        <v>175</v>
      </c>
      <c r="D601" s="219">
        <v>6</v>
      </c>
      <c r="E601" s="12" t="s">
        <v>492</v>
      </c>
      <c r="F601" s="10" t="s">
        <v>30</v>
      </c>
      <c r="G601" s="10" t="s">
        <v>219</v>
      </c>
    </row>
    <row r="602" spans="1:7" x14ac:dyDescent="0.35">
      <c r="A602" s="10" t="s">
        <v>14</v>
      </c>
      <c r="B602" s="10" t="s">
        <v>13</v>
      </c>
      <c r="C602" s="98" t="s">
        <v>175</v>
      </c>
      <c r="D602" s="219">
        <v>16</v>
      </c>
      <c r="E602" s="12" t="s">
        <v>492</v>
      </c>
      <c r="F602" s="10" t="s">
        <v>23</v>
      </c>
      <c r="G602" s="10"/>
    </row>
    <row r="603" spans="1:7" x14ac:dyDescent="0.35">
      <c r="A603" s="10" t="s">
        <v>14</v>
      </c>
      <c r="B603" s="10" t="s">
        <v>18</v>
      </c>
      <c r="C603" s="98" t="s">
        <v>175</v>
      </c>
      <c r="D603" s="219">
        <v>12</v>
      </c>
      <c r="E603" s="12" t="s">
        <v>492</v>
      </c>
      <c r="F603" s="10" t="s">
        <v>565</v>
      </c>
      <c r="G603" s="10"/>
    </row>
    <row r="604" spans="1:7" x14ac:dyDescent="0.35">
      <c r="A604" s="10" t="s">
        <v>14</v>
      </c>
      <c r="B604" s="10" t="s">
        <v>229</v>
      </c>
      <c r="C604" s="98" t="s">
        <v>175</v>
      </c>
      <c r="D604" s="219">
        <v>13</v>
      </c>
      <c r="E604" s="12" t="s">
        <v>492</v>
      </c>
      <c r="F604" s="10" t="s">
        <v>31</v>
      </c>
      <c r="G604" s="10"/>
    </row>
    <row r="605" spans="1:7" x14ac:dyDescent="0.35">
      <c r="A605" s="10" t="s">
        <v>14</v>
      </c>
      <c r="B605" s="10" t="s">
        <v>9</v>
      </c>
      <c r="C605" s="98" t="s">
        <v>217</v>
      </c>
      <c r="D605" s="219">
        <v>8100</v>
      </c>
      <c r="E605" s="12" t="s">
        <v>492</v>
      </c>
      <c r="F605" s="10" t="s">
        <v>30</v>
      </c>
      <c r="G605" s="10" t="s">
        <v>561</v>
      </c>
    </row>
    <row r="606" spans="1:7" x14ac:dyDescent="0.35">
      <c r="A606" s="10" t="s">
        <v>14</v>
      </c>
      <c r="B606" s="10" t="s">
        <v>10</v>
      </c>
      <c r="C606" s="98" t="s">
        <v>217</v>
      </c>
      <c r="D606" s="219">
        <v>8100</v>
      </c>
      <c r="E606" s="12" t="s">
        <v>492</v>
      </c>
      <c r="F606" s="10" t="s">
        <v>30</v>
      </c>
      <c r="G606" s="10" t="s">
        <v>562</v>
      </c>
    </row>
    <row r="607" spans="1:7" x14ac:dyDescent="0.35">
      <c r="A607" s="10" t="s">
        <v>14</v>
      </c>
      <c r="B607" s="10" t="s">
        <v>16</v>
      </c>
      <c r="C607" s="98" t="s">
        <v>217</v>
      </c>
      <c r="D607" s="219">
        <v>7549</v>
      </c>
      <c r="E607" s="12" t="s">
        <v>492</v>
      </c>
      <c r="F607" s="38" t="s">
        <v>592</v>
      </c>
      <c r="G607" s="10"/>
    </row>
    <row r="608" spans="1:7" x14ac:dyDescent="0.35">
      <c r="A608" s="10" t="s">
        <v>14</v>
      </c>
      <c r="B608" s="10" t="s">
        <v>17</v>
      </c>
      <c r="C608" s="98" t="s">
        <v>217</v>
      </c>
      <c r="D608" s="219">
        <v>4013</v>
      </c>
      <c r="E608" s="12" t="s">
        <v>492</v>
      </c>
      <c r="F608" s="38" t="s">
        <v>592</v>
      </c>
      <c r="G608" s="10"/>
    </row>
    <row r="609" spans="1:7" x14ac:dyDescent="0.35">
      <c r="A609" s="10" t="s">
        <v>14</v>
      </c>
      <c r="B609" s="10" t="s">
        <v>220</v>
      </c>
      <c r="C609" s="98" t="s">
        <v>217</v>
      </c>
      <c r="D609" s="219">
        <v>7700</v>
      </c>
      <c r="E609" s="12" t="s">
        <v>492</v>
      </c>
      <c r="F609" s="10" t="s">
        <v>30</v>
      </c>
      <c r="G609" s="10" t="s">
        <v>218</v>
      </c>
    </row>
    <row r="610" spans="1:7" x14ac:dyDescent="0.35">
      <c r="A610" s="10" t="s">
        <v>14</v>
      </c>
      <c r="B610" s="10" t="s">
        <v>11</v>
      </c>
      <c r="C610" s="98" t="s">
        <v>217</v>
      </c>
      <c r="D610" s="219">
        <v>8400</v>
      </c>
      <c r="E610" s="12" t="s">
        <v>492</v>
      </c>
      <c r="F610" s="10" t="s">
        <v>30</v>
      </c>
      <c r="G610" s="10" t="s">
        <v>219</v>
      </c>
    </row>
    <row r="611" spans="1:7" x14ac:dyDescent="0.35">
      <c r="A611" s="10" t="s">
        <v>14</v>
      </c>
      <c r="B611" s="10" t="s">
        <v>626</v>
      </c>
      <c r="C611" s="98" t="s">
        <v>217</v>
      </c>
      <c r="D611" s="219">
        <v>9580</v>
      </c>
      <c r="E611" s="12" t="s">
        <v>492</v>
      </c>
      <c r="F611" s="10" t="s">
        <v>597</v>
      </c>
      <c r="G611" s="10"/>
    </row>
    <row r="612" spans="1:7" x14ac:dyDescent="0.35">
      <c r="A612" s="10" t="s">
        <v>14</v>
      </c>
      <c r="B612" s="10" t="s">
        <v>563</v>
      </c>
      <c r="C612" s="98" t="s">
        <v>217</v>
      </c>
      <c r="D612" s="219">
        <v>10255</v>
      </c>
      <c r="E612" s="12" t="s">
        <v>492</v>
      </c>
      <c r="F612" s="38" t="s">
        <v>592</v>
      </c>
      <c r="G612" s="10"/>
    </row>
    <row r="613" spans="1:7" x14ac:dyDescent="0.35">
      <c r="A613" s="10" t="s">
        <v>14</v>
      </c>
      <c r="B613" s="10" t="s">
        <v>491</v>
      </c>
      <c r="C613" s="98" t="s">
        <v>181</v>
      </c>
      <c r="D613" s="220">
        <v>140000</v>
      </c>
      <c r="E613" s="12" t="s">
        <v>492</v>
      </c>
      <c r="F613" s="10" t="s">
        <v>589</v>
      </c>
      <c r="G613" s="10"/>
    </row>
    <row r="614" spans="1:7" x14ac:dyDescent="0.35">
      <c r="A614" s="10" t="s">
        <v>14</v>
      </c>
      <c r="B614" s="10" t="s">
        <v>9</v>
      </c>
      <c r="C614" s="98" t="s">
        <v>181</v>
      </c>
      <c r="D614" s="224">
        <v>20100</v>
      </c>
      <c r="E614" s="12" t="s">
        <v>492</v>
      </c>
      <c r="F614" s="10" t="s">
        <v>30</v>
      </c>
      <c r="G614" s="10" t="s">
        <v>561</v>
      </c>
    </row>
    <row r="615" spans="1:7" x14ac:dyDescent="0.35">
      <c r="A615" s="10" t="s">
        <v>14</v>
      </c>
      <c r="B615" s="10" t="s">
        <v>9</v>
      </c>
      <c r="C615" s="98" t="s">
        <v>181</v>
      </c>
      <c r="D615" s="224">
        <v>129175.2</v>
      </c>
      <c r="E615" s="12" t="s">
        <v>492</v>
      </c>
      <c r="F615" s="10" t="s">
        <v>30</v>
      </c>
      <c r="G615" s="10" t="s">
        <v>566</v>
      </c>
    </row>
    <row r="616" spans="1:7" x14ac:dyDescent="0.35">
      <c r="A616" s="10" t="s">
        <v>14</v>
      </c>
      <c r="B616" s="10" t="s">
        <v>10</v>
      </c>
      <c r="C616" s="98" t="s">
        <v>181</v>
      </c>
      <c r="D616" s="224">
        <v>20100</v>
      </c>
      <c r="E616" s="12" t="s">
        <v>492</v>
      </c>
      <c r="F616" s="10" t="s">
        <v>30</v>
      </c>
      <c r="G616" s="10" t="s">
        <v>562</v>
      </c>
    </row>
    <row r="617" spans="1:7" x14ac:dyDescent="0.35">
      <c r="A617" s="10" t="s">
        <v>14</v>
      </c>
      <c r="B617" s="10" t="s">
        <v>10</v>
      </c>
      <c r="C617" s="98" t="s">
        <v>181</v>
      </c>
      <c r="D617" s="224">
        <v>116942.7</v>
      </c>
      <c r="E617" s="12" t="s">
        <v>492</v>
      </c>
      <c r="F617" s="10" t="s">
        <v>30</v>
      </c>
      <c r="G617" s="10" t="s">
        <v>567</v>
      </c>
    </row>
    <row r="618" spans="1:7" x14ac:dyDescent="0.35">
      <c r="A618" s="10" t="s">
        <v>14</v>
      </c>
      <c r="B618" s="10" t="s">
        <v>16</v>
      </c>
      <c r="C618" s="98" t="s">
        <v>181</v>
      </c>
      <c r="D618" s="224">
        <v>138973</v>
      </c>
      <c r="E618" s="12" t="s">
        <v>492</v>
      </c>
      <c r="F618" s="38" t="s">
        <v>592</v>
      </c>
      <c r="G618" s="10"/>
    </row>
    <row r="619" spans="1:7" x14ac:dyDescent="0.35">
      <c r="A619" s="10" t="s">
        <v>14</v>
      </c>
      <c r="B619" s="10" t="s">
        <v>17</v>
      </c>
      <c r="C619" s="98" t="s">
        <v>181</v>
      </c>
      <c r="D619" s="224">
        <v>91897</v>
      </c>
      <c r="E619" s="12" t="s">
        <v>492</v>
      </c>
      <c r="F619" s="38" t="s">
        <v>592</v>
      </c>
      <c r="G619" s="10"/>
    </row>
    <row r="620" spans="1:7" x14ac:dyDescent="0.35">
      <c r="A620" s="10" t="s">
        <v>14</v>
      </c>
      <c r="B620" s="10" t="s">
        <v>15</v>
      </c>
      <c r="C620" s="98" t="s">
        <v>181</v>
      </c>
      <c r="D620" s="224">
        <v>104480.22900000001</v>
      </c>
      <c r="E620" s="12" t="s">
        <v>492</v>
      </c>
      <c r="F620" s="10" t="s">
        <v>470</v>
      </c>
      <c r="G620" s="10" t="s">
        <v>496</v>
      </c>
    </row>
    <row r="621" spans="1:7" x14ac:dyDescent="0.35">
      <c r="A621" s="10" t="s">
        <v>14</v>
      </c>
      <c r="B621" s="10" t="s">
        <v>220</v>
      </c>
      <c r="C621" s="98" t="s">
        <v>181</v>
      </c>
      <c r="D621" s="224">
        <v>18000</v>
      </c>
      <c r="E621" s="12" t="s">
        <v>492</v>
      </c>
      <c r="F621" s="10" t="s">
        <v>30</v>
      </c>
      <c r="G621" s="10" t="s">
        <v>218</v>
      </c>
    </row>
    <row r="622" spans="1:7" x14ac:dyDescent="0.35">
      <c r="A622" s="10" t="s">
        <v>14</v>
      </c>
      <c r="B622" s="10" t="s">
        <v>220</v>
      </c>
      <c r="C622" s="98" t="s">
        <v>181</v>
      </c>
      <c r="D622" s="219">
        <v>110581.8</v>
      </c>
      <c r="E622" s="12" t="s">
        <v>492</v>
      </c>
      <c r="F622" s="10" t="s">
        <v>30</v>
      </c>
      <c r="G622" s="10" t="s">
        <v>568</v>
      </c>
    </row>
    <row r="623" spans="1:7" x14ac:dyDescent="0.35">
      <c r="A623" s="10" t="s">
        <v>14</v>
      </c>
      <c r="B623" s="10" t="s">
        <v>11</v>
      </c>
      <c r="C623" s="98" t="s">
        <v>181</v>
      </c>
      <c r="D623" s="224">
        <v>20800</v>
      </c>
      <c r="E623" s="12" t="s">
        <v>492</v>
      </c>
      <c r="F623" s="10" t="s">
        <v>30</v>
      </c>
      <c r="G623" s="10" t="s">
        <v>219</v>
      </c>
    </row>
    <row r="624" spans="1:7" x14ac:dyDescent="0.35">
      <c r="A624" s="10" t="s">
        <v>14</v>
      </c>
      <c r="B624" s="10" t="s">
        <v>11</v>
      </c>
      <c r="C624" s="98" t="s">
        <v>181</v>
      </c>
      <c r="D624" s="224">
        <v>104710.2</v>
      </c>
      <c r="E624" s="12" t="s">
        <v>492</v>
      </c>
      <c r="F624" s="10" t="s">
        <v>30</v>
      </c>
      <c r="G624" s="10" t="s">
        <v>569</v>
      </c>
    </row>
    <row r="625" spans="1:7" x14ac:dyDescent="0.35">
      <c r="A625" s="10" t="s">
        <v>14</v>
      </c>
      <c r="B625" s="10" t="s">
        <v>13</v>
      </c>
      <c r="C625" s="98" t="s">
        <v>181</v>
      </c>
      <c r="D625" s="221">
        <v>434274.98561999993</v>
      </c>
      <c r="E625" s="12" t="s">
        <v>492</v>
      </c>
      <c r="F625" s="10" t="s">
        <v>26</v>
      </c>
      <c r="G625" s="10" t="s">
        <v>496</v>
      </c>
    </row>
    <row r="626" spans="1:7" x14ac:dyDescent="0.35">
      <c r="A626" s="10" t="s">
        <v>14</v>
      </c>
      <c r="B626" s="10" t="s">
        <v>13</v>
      </c>
      <c r="C626" s="98" t="s">
        <v>181</v>
      </c>
      <c r="D626" s="221">
        <v>326363.09999999998</v>
      </c>
      <c r="E626" s="12" t="s">
        <v>492</v>
      </c>
      <c r="F626" s="10" t="s">
        <v>23</v>
      </c>
      <c r="G626" s="10" t="s">
        <v>496</v>
      </c>
    </row>
    <row r="627" spans="1:7" x14ac:dyDescent="0.35">
      <c r="A627" s="10" t="s">
        <v>14</v>
      </c>
      <c r="B627" s="10" t="s">
        <v>12</v>
      </c>
      <c r="C627" s="98" t="s">
        <v>181</v>
      </c>
      <c r="D627" s="222">
        <v>118459.82358000001</v>
      </c>
      <c r="E627" s="12" t="s">
        <v>492</v>
      </c>
      <c r="F627" s="10" t="s">
        <v>26</v>
      </c>
      <c r="G627" s="10" t="s">
        <v>496</v>
      </c>
    </row>
    <row r="628" spans="1:7" x14ac:dyDescent="0.35">
      <c r="A628" s="10" t="s">
        <v>14</v>
      </c>
      <c r="B628" s="10" t="s">
        <v>12</v>
      </c>
      <c r="C628" s="98" t="s">
        <v>181</v>
      </c>
      <c r="D628" s="222">
        <v>117417.321</v>
      </c>
      <c r="E628" s="12" t="s">
        <v>492</v>
      </c>
      <c r="F628" s="10" t="s">
        <v>23</v>
      </c>
      <c r="G628" s="10" t="s">
        <v>496</v>
      </c>
    </row>
    <row r="629" spans="1:7" x14ac:dyDescent="0.35">
      <c r="A629" s="10" t="s">
        <v>14</v>
      </c>
      <c r="B629" s="10" t="s">
        <v>626</v>
      </c>
      <c r="C629" s="98" t="s">
        <v>181</v>
      </c>
      <c r="D629" s="219">
        <v>122780</v>
      </c>
      <c r="E629" s="12" t="s">
        <v>492</v>
      </c>
      <c r="F629" s="10" t="s">
        <v>597</v>
      </c>
      <c r="G629" s="10"/>
    </row>
    <row r="630" spans="1:7" x14ac:dyDescent="0.35">
      <c r="A630" s="10" t="s">
        <v>14</v>
      </c>
      <c r="B630" s="10" t="s">
        <v>13</v>
      </c>
      <c r="C630" s="98" t="s">
        <v>182</v>
      </c>
      <c r="D630" s="219" t="s">
        <v>20</v>
      </c>
      <c r="E630" s="12" t="s">
        <v>492</v>
      </c>
      <c r="F630" s="10" t="s">
        <v>470</v>
      </c>
      <c r="G630" s="10"/>
    </row>
    <row r="631" spans="1:7" x14ac:dyDescent="0.35">
      <c r="A631" s="10" t="s">
        <v>14</v>
      </c>
      <c r="B631" s="10" t="s">
        <v>9</v>
      </c>
      <c r="C631" s="98" t="s">
        <v>185</v>
      </c>
      <c r="D631" s="219">
        <v>790</v>
      </c>
      <c r="E631" s="12" t="s">
        <v>492</v>
      </c>
      <c r="F631" s="10" t="s">
        <v>30</v>
      </c>
      <c r="G631" s="10" t="s">
        <v>561</v>
      </c>
    </row>
    <row r="632" spans="1:7" x14ac:dyDescent="0.35">
      <c r="A632" s="10" t="s">
        <v>14</v>
      </c>
      <c r="B632" s="10" t="s">
        <v>10</v>
      </c>
      <c r="C632" s="98" t="s">
        <v>185</v>
      </c>
      <c r="D632" s="219">
        <v>790</v>
      </c>
      <c r="E632" s="12" t="s">
        <v>492</v>
      </c>
      <c r="F632" s="10" t="s">
        <v>30</v>
      </c>
      <c r="G632" s="10" t="s">
        <v>562</v>
      </c>
    </row>
    <row r="633" spans="1:7" x14ac:dyDescent="0.35">
      <c r="A633" s="10" t="s">
        <v>14</v>
      </c>
      <c r="B633" s="10" t="s">
        <v>220</v>
      </c>
      <c r="C633" s="98" t="s">
        <v>185</v>
      </c>
      <c r="D633" s="219">
        <v>780</v>
      </c>
      <c r="E633" s="12" t="s">
        <v>492</v>
      </c>
      <c r="F633" s="10" t="s">
        <v>30</v>
      </c>
      <c r="G633" s="10" t="s">
        <v>218</v>
      </c>
    </row>
    <row r="634" spans="1:7" x14ac:dyDescent="0.35">
      <c r="A634" s="10" t="s">
        <v>14</v>
      </c>
      <c r="B634" s="10" t="s">
        <v>11</v>
      </c>
      <c r="C634" s="98" t="s">
        <v>185</v>
      </c>
      <c r="D634" s="219">
        <v>800</v>
      </c>
      <c r="E634" s="12" t="s">
        <v>492</v>
      </c>
      <c r="F634" s="10" t="s">
        <v>30</v>
      </c>
      <c r="G634" s="10" t="s">
        <v>219</v>
      </c>
    </row>
    <row r="635" spans="1:7" x14ac:dyDescent="0.35">
      <c r="A635" s="10" t="s">
        <v>14</v>
      </c>
      <c r="B635" s="10" t="s">
        <v>13</v>
      </c>
      <c r="C635" s="98" t="s">
        <v>185</v>
      </c>
      <c r="D635" s="219">
        <v>790</v>
      </c>
      <c r="E635" s="12" t="s">
        <v>492</v>
      </c>
      <c r="F635" s="10" t="s">
        <v>25</v>
      </c>
      <c r="G635" s="10"/>
    </row>
    <row r="636" spans="1:7" x14ac:dyDescent="0.35">
      <c r="A636" s="10" t="s">
        <v>14</v>
      </c>
      <c r="B636" s="10" t="s">
        <v>13</v>
      </c>
      <c r="C636" s="98" t="s">
        <v>185</v>
      </c>
      <c r="D636" s="220">
        <v>57</v>
      </c>
      <c r="E636" s="12" t="s">
        <v>492</v>
      </c>
      <c r="F636" s="10" t="s">
        <v>23</v>
      </c>
      <c r="G636" s="10"/>
    </row>
    <row r="637" spans="1:7" x14ac:dyDescent="0.35">
      <c r="A637" s="10" t="s">
        <v>14</v>
      </c>
      <c r="B637" s="10" t="s">
        <v>12</v>
      </c>
      <c r="C637" s="98" t="s">
        <v>185</v>
      </c>
      <c r="D637" s="219">
        <v>780</v>
      </c>
      <c r="E637" s="12" t="s">
        <v>492</v>
      </c>
      <c r="F637" s="10" t="s">
        <v>25</v>
      </c>
      <c r="G637" s="10"/>
    </row>
    <row r="638" spans="1:7" x14ac:dyDescent="0.35">
      <c r="A638" s="10" t="s">
        <v>14</v>
      </c>
      <c r="B638" s="10" t="s">
        <v>12</v>
      </c>
      <c r="C638" s="98" t="s">
        <v>185</v>
      </c>
      <c r="D638" s="220">
        <v>57</v>
      </c>
      <c r="E638" s="12" t="s">
        <v>492</v>
      </c>
      <c r="F638" s="10" t="s">
        <v>23</v>
      </c>
      <c r="G638" s="10"/>
    </row>
    <row r="639" spans="1:7" x14ac:dyDescent="0.35">
      <c r="A639" s="10" t="s">
        <v>14</v>
      </c>
      <c r="B639" s="10" t="s">
        <v>9</v>
      </c>
      <c r="C639" s="98" t="s">
        <v>186</v>
      </c>
      <c r="D639" s="219">
        <v>109</v>
      </c>
      <c r="E639" s="12" t="s">
        <v>492</v>
      </c>
      <c r="F639" s="10" t="s">
        <v>30</v>
      </c>
      <c r="G639" s="10" t="s">
        <v>561</v>
      </c>
    </row>
    <row r="640" spans="1:7" x14ac:dyDescent="0.35">
      <c r="A640" s="10" t="s">
        <v>14</v>
      </c>
      <c r="B640" s="10" t="s">
        <v>10</v>
      </c>
      <c r="C640" s="98" t="s">
        <v>186</v>
      </c>
      <c r="D640" s="219">
        <v>109</v>
      </c>
      <c r="E640" s="12" t="s">
        <v>492</v>
      </c>
      <c r="F640" s="10" t="s">
        <v>30</v>
      </c>
      <c r="G640" s="10" t="s">
        <v>562</v>
      </c>
    </row>
    <row r="641" spans="1:7" x14ac:dyDescent="0.35">
      <c r="A641" s="10" t="s">
        <v>14</v>
      </c>
      <c r="B641" s="10" t="s">
        <v>220</v>
      </c>
      <c r="C641" s="98" t="s">
        <v>186</v>
      </c>
      <c r="D641" s="219">
        <v>99</v>
      </c>
      <c r="E641" s="12" t="s">
        <v>492</v>
      </c>
      <c r="F641" s="10" t="s">
        <v>30</v>
      </c>
      <c r="G641" s="10" t="s">
        <v>218</v>
      </c>
    </row>
    <row r="642" spans="1:7" x14ac:dyDescent="0.35">
      <c r="A642" s="10" t="s">
        <v>14</v>
      </c>
      <c r="B642" s="10" t="s">
        <v>11</v>
      </c>
      <c r="C642" s="98" t="s">
        <v>186</v>
      </c>
      <c r="D642" s="219">
        <v>119</v>
      </c>
      <c r="E642" s="12" t="s">
        <v>492</v>
      </c>
      <c r="F642" s="10" t="s">
        <v>30</v>
      </c>
      <c r="G642" s="10" t="s">
        <v>219</v>
      </c>
    </row>
    <row r="643" spans="1:7" x14ac:dyDescent="0.35">
      <c r="A643" s="10" t="s">
        <v>14</v>
      </c>
      <c r="B643" s="10" t="s">
        <v>13</v>
      </c>
      <c r="C643" s="98" t="s">
        <v>186</v>
      </c>
      <c r="D643" s="219">
        <v>109</v>
      </c>
      <c r="E643" s="12" t="s">
        <v>492</v>
      </c>
      <c r="F643" s="10" t="s">
        <v>25</v>
      </c>
      <c r="G643" s="10"/>
    </row>
    <row r="644" spans="1:7" x14ac:dyDescent="0.35">
      <c r="A644" s="10" t="s">
        <v>14</v>
      </c>
      <c r="B644" s="10" t="s">
        <v>13</v>
      </c>
      <c r="C644" s="98" t="s">
        <v>186</v>
      </c>
      <c r="D644" s="220">
        <v>335</v>
      </c>
      <c r="E644" s="12" t="s">
        <v>492</v>
      </c>
      <c r="F644" s="10" t="s">
        <v>23</v>
      </c>
      <c r="G644" s="10"/>
    </row>
    <row r="645" spans="1:7" x14ac:dyDescent="0.35">
      <c r="A645" s="10" t="s">
        <v>14</v>
      </c>
      <c r="B645" s="10" t="s">
        <v>12</v>
      </c>
      <c r="C645" s="98" t="s">
        <v>186</v>
      </c>
      <c r="D645" s="219">
        <v>99</v>
      </c>
      <c r="E645" s="12" t="s">
        <v>492</v>
      </c>
      <c r="F645" s="10" t="s">
        <v>25</v>
      </c>
      <c r="G645" s="10"/>
    </row>
    <row r="646" spans="1:7" x14ac:dyDescent="0.35">
      <c r="A646" s="10" t="s">
        <v>14</v>
      </c>
      <c r="B646" s="10" t="s">
        <v>12</v>
      </c>
      <c r="C646" s="98" t="s">
        <v>186</v>
      </c>
      <c r="D646" s="220">
        <v>335</v>
      </c>
      <c r="E646" s="12" t="s">
        <v>492</v>
      </c>
      <c r="F646" s="10" t="s">
        <v>23</v>
      </c>
      <c r="G646" s="10"/>
    </row>
    <row r="647" spans="1:7" x14ac:dyDescent="0.35">
      <c r="A647" s="10" t="s">
        <v>14</v>
      </c>
      <c r="B647" s="10" t="s">
        <v>491</v>
      </c>
      <c r="C647" s="98" t="s">
        <v>187</v>
      </c>
      <c r="D647" s="219">
        <v>186</v>
      </c>
      <c r="E647" s="12" t="s">
        <v>492</v>
      </c>
      <c r="F647" s="10" t="s">
        <v>589</v>
      </c>
      <c r="G647" s="10"/>
    </row>
    <row r="648" spans="1:7" x14ac:dyDescent="0.35">
      <c r="A648" s="10" t="s">
        <v>14</v>
      </c>
      <c r="B648" s="10" t="s">
        <v>9</v>
      </c>
      <c r="C648" s="98" t="s">
        <v>187</v>
      </c>
      <c r="D648" s="225">
        <v>28</v>
      </c>
      <c r="E648" s="12" t="s">
        <v>492</v>
      </c>
      <c r="F648" s="10" t="s">
        <v>30</v>
      </c>
      <c r="G648" s="10" t="s">
        <v>561</v>
      </c>
    </row>
    <row r="649" spans="1:7" x14ac:dyDescent="0.35">
      <c r="A649" s="10" t="s">
        <v>14</v>
      </c>
      <c r="B649" s="10" t="s">
        <v>10</v>
      </c>
      <c r="C649" s="98" t="s">
        <v>187</v>
      </c>
      <c r="D649" s="219">
        <v>180</v>
      </c>
      <c r="E649" s="12" t="s">
        <v>492</v>
      </c>
      <c r="F649" s="10" t="s">
        <v>30</v>
      </c>
      <c r="G649" s="10" t="s">
        <v>562</v>
      </c>
    </row>
    <row r="650" spans="1:7" x14ac:dyDescent="0.35">
      <c r="A650" s="10" t="s">
        <v>14</v>
      </c>
      <c r="B650" s="10" t="s">
        <v>15</v>
      </c>
      <c r="C650" s="98" t="s">
        <v>187</v>
      </c>
      <c r="D650" s="219">
        <v>169.16666666666666</v>
      </c>
      <c r="E650" s="12" t="s">
        <v>492</v>
      </c>
      <c r="F650" s="10" t="s">
        <v>470</v>
      </c>
      <c r="G650" s="10"/>
    </row>
    <row r="651" spans="1:7" x14ac:dyDescent="0.35">
      <c r="A651" s="10" t="s">
        <v>14</v>
      </c>
      <c r="B651" s="10" t="s">
        <v>220</v>
      </c>
      <c r="C651" s="98" t="s">
        <v>187</v>
      </c>
      <c r="D651" s="225">
        <v>12</v>
      </c>
      <c r="E651" s="12" t="s">
        <v>492</v>
      </c>
      <c r="F651" s="10" t="s">
        <v>30</v>
      </c>
      <c r="G651" s="10" t="s">
        <v>218</v>
      </c>
    </row>
    <row r="652" spans="1:7" x14ac:dyDescent="0.35">
      <c r="A652" s="10" t="s">
        <v>14</v>
      </c>
      <c r="B652" s="10" t="s">
        <v>11</v>
      </c>
      <c r="C652" s="98" t="s">
        <v>187</v>
      </c>
      <c r="D652" s="225">
        <v>51</v>
      </c>
      <c r="E652" s="12" t="s">
        <v>492</v>
      </c>
      <c r="F652" s="10" t="s">
        <v>30</v>
      </c>
      <c r="G652" s="10" t="s">
        <v>219</v>
      </c>
    </row>
    <row r="653" spans="1:7" x14ac:dyDescent="0.35">
      <c r="A653" s="10" t="s">
        <v>14</v>
      </c>
      <c r="B653" s="10" t="s">
        <v>13</v>
      </c>
      <c r="C653" s="98" t="s">
        <v>187</v>
      </c>
      <c r="D653" s="219">
        <v>148</v>
      </c>
      <c r="E653" s="12" t="s">
        <v>492</v>
      </c>
      <c r="F653" s="10" t="s">
        <v>23</v>
      </c>
      <c r="G653" s="10"/>
    </row>
    <row r="654" spans="1:7" x14ac:dyDescent="0.35">
      <c r="A654" s="10" t="s">
        <v>14</v>
      </c>
      <c r="B654" s="10" t="s">
        <v>18</v>
      </c>
      <c r="C654" s="98" t="s">
        <v>187</v>
      </c>
      <c r="D654" s="219">
        <v>186</v>
      </c>
      <c r="E654" s="12" t="s">
        <v>492</v>
      </c>
      <c r="F654" s="10" t="s">
        <v>565</v>
      </c>
      <c r="G654" s="10"/>
    </row>
    <row r="655" spans="1:7" x14ac:dyDescent="0.35">
      <c r="A655" s="10" t="s">
        <v>14</v>
      </c>
      <c r="B655" s="10" t="s">
        <v>229</v>
      </c>
      <c r="C655" s="98" t="s">
        <v>187</v>
      </c>
      <c r="D655" s="219">
        <v>200</v>
      </c>
      <c r="E655" s="12" t="s">
        <v>492</v>
      </c>
      <c r="F655" s="10" t="s">
        <v>31</v>
      </c>
      <c r="G655" s="10"/>
    </row>
    <row r="656" spans="1:7" x14ac:dyDescent="0.35">
      <c r="A656" s="10" t="s">
        <v>14</v>
      </c>
      <c r="B656" s="10" t="s">
        <v>9</v>
      </c>
      <c r="C656" s="98" t="s">
        <v>188</v>
      </c>
      <c r="D656" s="219">
        <v>340</v>
      </c>
      <c r="E656" s="12" t="s">
        <v>492</v>
      </c>
      <c r="F656" s="10" t="s">
        <v>30</v>
      </c>
      <c r="G656" s="10" t="s">
        <v>561</v>
      </c>
    </row>
    <row r="657" spans="1:7" x14ac:dyDescent="0.35">
      <c r="A657" s="10" t="s">
        <v>14</v>
      </c>
      <c r="B657" s="10" t="s">
        <v>10</v>
      </c>
      <c r="C657" s="98" t="s">
        <v>188</v>
      </c>
      <c r="D657" s="219">
        <v>240</v>
      </c>
      <c r="E657" s="12" t="s">
        <v>492</v>
      </c>
      <c r="F657" s="10" t="s">
        <v>30</v>
      </c>
      <c r="G657" s="10" t="s">
        <v>562</v>
      </c>
    </row>
    <row r="658" spans="1:7" x14ac:dyDescent="0.35">
      <c r="A658" s="10" t="s">
        <v>14</v>
      </c>
      <c r="B658" s="10" t="s">
        <v>15</v>
      </c>
      <c r="C658" s="98" t="s">
        <v>188</v>
      </c>
      <c r="D658" s="219">
        <v>200</v>
      </c>
      <c r="E658" s="12" t="s">
        <v>492</v>
      </c>
      <c r="F658" s="10" t="s">
        <v>470</v>
      </c>
      <c r="G658" s="10"/>
    </row>
    <row r="659" spans="1:7" x14ac:dyDescent="0.35">
      <c r="A659" s="10" t="s">
        <v>14</v>
      </c>
      <c r="B659" s="10" t="s">
        <v>220</v>
      </c>
      <c r="C659" s="98" t="s">
        <v>188</v>
      </c>
      <c r="D659" s="219">
        <v>430</v>
      </c>
      <c r="E659" s="12" t="s">
        <v>492</v>
      </c>
      <c r="F659" s="10" t="s">
        <v>30</v>
      </c>
      <c r="G659" s="10" t="s">
        <v>218</v>
      </c>
    </row>
    <row r="660" spans="1:7" x14ac:dyDescent="0.35">
      <c r="A660" s="10" t="s">
        <v>14</v>
      </c>
      <c r="B660" s="10" t="s">
        <v>11</v>
      </c>
      <c r="C660" s="98" t="s">
        <v>188</v>
      </c>
      <c r="D660" s="219">
        <v>440</v>
      </c>
      <c r="E660" s="12" t="s">
        <v>492</v>
      </c>
      <c r="F660" s="10" t="s">
        <v>30</v>
      </c>
      <c r="G660" s="10" t="s">
        <v>219</v>
      </c>
    </row>
    <row r="661" spans="1:7" x14ac:dyDescent="0.35">
      <c r="A661" s="10" t="s">
        <v>14</v>
      </c>
      <c r="B661" s="10" t="s">
        <v>564</v>
      </c>
      <c r="C661" s="98" t="s">
        <v>188</v>
      </c>
      <c r="D661" s="219">
        <v>377</v>
      </c>
      <c r="E661" s="12" t="s">
        <v>492</v>
      </c>
      <c r="F661" s="10" t="s">
        <v>31</v>
      </c>
      <c r="G661" s="10"/>
    </row>
    <row r="662" spans="1:7" x14ac:dyDescent="0.35">
      <c r="A662" s="10" t="s">
        <v>14</v>
      </c>
      <c r="B662" s="10" t="s">
        <v>13</v>
      </c>
      <c r="C662" s="98" t="s">
        <v>188</v>
      </c>
      <c r="D662" s="219">
        <v>240</v>
      </c>
      <c r="E662" s="12" t="s">
        <v>492</v>
      </c>
      <c r="F662" s="10" t="s">
        <v>25</v>
      </c>
      <c r="G662" s="10"/>
    </row>
    <row r="663" spans="1:7" x14ac:dyDescent="0.35">
      <c r="A663" s="10" t="s">
        <v>14</v>
      </c>
      <c r="B663" s="10" t="s">
        <v>13</v>
      </c>
      <c r="C663" s="98" t="s">
        <v>188</v>
      </c>
      <c r="D663" s="219">
        <v>427</v>
      </c>
      <c r="E663" s="12" t="s">
        <v>492</v>
      </c>
      <c r="F663" s="10" t="s">
        <v>23</v>
      </c>
      <c r="G663" s="10"/>
    </row>
    <row r="664" spans="1:7" x14ac:dyDescent="0.35">
      <c r="A664" s="10" t="s">
        <v>14</v>
      </c>
      <c r="B664" s="10" t="s">
        <v>12</v>
      </c>
      <c r="C664" s="98" t="s">
        <v>188</v>
      </c>
      <c r="D664" s="219">
        <v>403.5</v>
      </c>
      <c r="E664" s="12" t="s">
        <v>492</v>
      </c>
      <c r="F664" s="10" t="s">
        <v>25</v>
      </c>
      <c r="G664" s="10"/>
    </row>
    <row r="665" spans="1:7" x14ac:dyDescent="0.35">
      <c r="A665" s="10" t="s">
        <v>14</v>
      </c>
      <c r="B665" s="10" t="s">
        <v>12</v>
      </c>
      <c r="C665" s="98" t="s">
        <v>188</v>
      </c>
      <c r="D665" s="219">
        <v>427</v>
      </c>
      <c r="E665" s="12" t="s">
        <v>492</v>
      </c>
      <c r="F665" s="10" t="s">
        <v>23</v>
      </c>
      <c r="G665" s="10"/>
    </row>
    <row r="666" spans="1:7" x14ac:dyDescent="0.35">
      <c r="A666" s="10" t="s">
        <v>14</v>
      </c>
      <c r="B666" s="10" t="s">
        <v>229</v>
      </c>
      <c r="C666" s="98" t="s">
        <v>188</v>
      </c>
      <c r="D666" s="219">
        <v>377</v>
      </c>
      <c r="E666" s="12" t="s">
        <v>492</v>
      </c>
      <c r="F666" s="10" t="s">
        <v>31</v>
      </c>
      <c r="G666" s="10"/>
    </row>
    <row r="667" spans="1:7" x14ac:dyDescent="0.35">
      <c r="A667" s="10" t="s">
        <v>14</v>
      </c>
      <c r="B667" s="10" t="s">
        <v>9</v>
      </c>
      <c r="C667" s="98" t="s">
        <v>190</v>
      </c>
      <c r="D667" s="219">
        <v>4600</v>
      </c>
      <c r="E667" s="12" t="s">
        <v>492</v>
      </c>
      <c r="F667" s="10" t="s">
        <v>30</v>
      </c>
      <c r="G667" s="10" t="s">
        <v>561</v>
      </c>
    </row>
    <row r="668" spans="1:7" x14ac:dyDescent="0.35">
      <c r="A668" s="10" t="s">
        <v>14</v>
      </c>
      <c r="B668" s="10" t="s">
        <v>10</v>
      </c>
      <c r="C668" s="98" t="s">
        <v>190</v>
      </c>
      <c r="D668" s="219">
        <v>4600</v>
      </c>
      <c r="E668" s="12" t="s">
        <v>492</v>
      </c>
      <c r="F668" s="10" t="s">
        <v>30</v>
      </c>
      <c r="G668" s="10" t="s">
        <v>562</v>
      </c>
    </row>
    <row r="669" spans="1:7" x14ac:dyDescent="0.35">
      <c r="A669" s="10" t="s">
        <v>14</v>
      </c>
      <c r="B669" s="10" t="s">
        <v>16</v>
      </c>
      <c r="C669" s="98" t="s">
        <v>190</v>
      </c>
      <c r="D669" s="224">
        <v>0</v>
      </c>
      <c r="E669" s="12" t="s">
        <v>492</v>
      </c>
      <c r="F669" s="38" t="s">
        <v>592</v>
      </c>
      <c r="G669" s="10"/>
    </row>
    <row r="670" spans="1:7" x14ac:dyDescent="0.35">
      <c r="A670" s="10" t="s">
        <v>14</v>
      </c>
      <c r="B670" s="10" t="s">
        <v>17</v>
      </c>
      <c r="C670" s="98" t="s">
        <v>190</v>
      </c>
      <c r="D670" s="224">
        <v>233</v>
      </c>
      <c r="E670" s="12" t="s">
        <v>492</v>
      </c>
      <c r="F670" s="38" t="s">
        <v>592</v>
      </c>
      <c r="G670" s="10"/>
    </row>
    <row r="671" spans="1:7" x14ac:dyDescent="0.35">
      <c r="A671" s="10" t="s">
        <v>14</v>
      </c>
      <c r="B671" s="10" t="s">
        <v>220</v>
      </c>
      <c r="C671" s="98" t="s">
        <v>190</v>
      </c>
      <c r="D671" s="219">
        <v>4600</v>
      </c>
      <c r="E671" s="12" t="s">
        <v>492</v>
      </c>
      <c r="F671" s="10" t="s">
        <v>30</v>
      </c>
      <c r="G671" s="10" t="s">
        <v>218</v>
      </c>
    </row>
    <row r="672" spans="1:7" x14ac:dyDescent="0.35">
      <c r="A672" s="10" t="s">
        <v>14</v>
      </c>
      <c r="B672" s="10" t="s">
        <v>11</v>
      </c>
      <c r="C672" s="98" t="s">
        <v>190</v>
      </c>
      <c r="D672" s="219">
        <v>4600</v>
      </c>
      <c r="E672" s="12" t="s">
        <v>492</v>
      </c>
      <c r="F672" s="10" t="s">
        <v>30</v>
      </c>
      <c r="G672" s="10" t="s">
        <v>219</v>
      </c>
    </row>
    <row r="673" spans="1:7" x14ac:dyDescent="0.35">
      <c r="A673" s="10" t="s">
        <v>14</v>
      </c>
      <c r="B673" s="10" t="s">
        <v>563</v>
      </c>
      <c r="C673" s="98" t="s">
        <v>190</v>
      </c>
      <c r="D673" s="219">
        <v>1818</v>
      </c>
      <c r="E673" s="12" t="s">
        <v>492</v>
      </c>
      <c r="F673" s="38" t="s">
        <v>592</v>
      </c>
      <c r="G673" s="10"/>
    </row>
    <row r="674" spans="1:7" x14ac:dyDescent="0.35">
      <c r="A674" s="10" t="s">
        <v>14</v>
      </c>
      <c r="B674" s="10" t="s">
        <v>9</v>
      </c>
      <c r="C674" s="98" t="s">
        <v>191</v>
      </c>
      <c r="D674" s="219">
        <v>9</v>
      </c>
      <c r="E674" s="12" t="s">
        <v>492</v>
      </c>
      <c r="F674" s="10" t="s">
        <v>30</v>
      </c>
      <c r="G674" s="10" t="s">
        <v>561</v>
      </c>
    </row>
    <row r="675" spans="1:7" x14ac:dyDescent="0.35">
      <c r="A675" s="10" t="s">
        <v>14</v>
      </c>
      <c r="B675" s="10" t="s">
        <v>10</v>
      </c>
      <c r="C675" s="98" t="s">
        <v>191</v>
      </c>
      <c r="D675" s="219">
        <v>35</v>
      </c>
      <c r="E675" s="12" t="s">
        <v>492</v>
      </c>
      <c r="F675" s="10" t="s">
        <v>30</v>
      </c>
      <c r="G675" s="10" t="s">
        <v>562</v>
      </c>
    </row>
    <row r="676" spans="1:7" x14ac:dyDescent="0.35">
      <c r="A676" s="10" t="s">
        <v>14</v>
      </c>
      <c r="B676" s="10" t="s">
        <v>15</v>
      </c>
      <c r="C676" s="98" t="s">
        <v>191</v>
      </c>
      <c r="D676" s="219">
        <v>32.666666666666664</v>
      </c>
      <c r="E676" s="12" t="s">
        <v>492</v>
      </c>
      <c r="F676" s="10" t="s">
        <v>470</v>
      </c>
      <c r="G676" s="10"/>
    </row>
    <row r="677" spans="1:7" x14ac:dyDescent="0.35">
      <c r="A677" s="10" t="s">
        <v>14</v>
      </c>
      <c r="B677" s="10" t="s">
        <v>220</v>
      </c>
      <c r="C677" s="98" t="s">
        <v>191</v>
      </c>
      <c r="D677" s="219">
        <v>0</v>
      </c>
      <c r="E677" s="12" t="s">
        <v>492</v>
      </c>
      <c r="F677" s="10" t="s">
        <v>30</v>
      </c>
      <c r="G677" s="10" t="s">
        <v>218</v>
      </c>
    </row>
    <row r="678" spans="1:7" x14ac:dyDescent="0.35">
      <c r="A678" s="10" t="s">
        <v>14</v>
      </c>
      <c r="B678" s="10" t="s">
        <v>11</v>
      </c>
      <c r="C678" s="98" t="s">
        <v>191</v>
      </c>
      <c r="D678" s="225">
        <v>4</v>
      </c>
      <c r="E678" s="12" t="s">
        <v>492</v>
      </c>
      <c r="F678" s="10" t="s">
        <v>30</v>
      </c>
      <c r="G678" s="10" t="s">
        <v>219</v>
      </c>
    </row>
    <row r="679" spans="1:7" x14ac:dyDescent="0.35">
      <c r="A679" s="10" t="s">
        <v>14</v>
      </c>
      <c r="B679" s="10" t="s">
        <v>13</v>
      </c>
      <c r="C679" s="98" t="s">
        <v>191</v>
      </c>
      <c r="D679" s="219">
        <v>33</v>
      </c>
      <c r="E679" s="12" t="s">
        <v>492</v>
      </c>
      <c r="F679" s="10" t="s">
        <v>23</v>
      </c>
      <c r="G679" s="10"/>
    </row>
    <row r="680" spans="1:7" x14ac:dyDescent="0.35">
      <c r="A680" s="10" t="s">
        <v>14</v>
      </c>
      <c r="B680" s="10" t="s">
        <v>12</v>
      </c>
      <c r="C680" s="98" t="s">
        <v>191</v>
      </c>
      <c r="D680" s="219">
        <v>3</v>
      </c>
      <c r="E680" s="12" t="s">
        <v>492</v>
      </c>
      <c r="F680" s="10" t="s">
        <v>23</v>
      </c>
      <c r="G680" s="10"/>
    </row>
    <row r="681" spans="1:7" x14ac:dyDescent="0.35">
      <c r="A681" s="10" t="s">
        <v>14</v>
      </c>
      <c r="B681" s="10" t="s">
        <v>491</v>
      </c>
      <c r="C681" s="98" t="s">
        <v>471</v>
      </c>
      <c r="D681" s="219">
        <v>219</v>
      </c>
      <c r="E681" s="12" t="s">
        <v>492</v>
      </c>
      <c r="F681" s="10" t="s">
        <v>589</v>
      </c>
      <c r="G681" s="10"/>
    </row>
    <row r="682" spans="1:7" x14ac:dyDescent="0.35">
      <c r="A682" s="10" t="s">
        <v>14</v>
      </c>
      <c r="B682" s="10" t="s">
        <v>9</v>
      </c>
      <c r="C682" s="98" t="s">
        <v>471</v>
      </c>
      <c r="D682" s="219">
        <v>44</v>
      </c>
      <c r="E682" s="12" t="s">
        <v>492</v>
      </c>
      <c r="F682" s="10" t="s">
        <v>30</v>
      </c>
      <c r="G682" s="10" t="s">
        <v>561</v>
      </c>
    </row>
    <row r="683" spans="1:7" x14ac:dyDescent="0.35">
      <c r="A683" s="10" t="s">
        <v>14</v>
      </c>
      <c r="B683" s="10" t="s">
        <v>10</v>
      </c>
      <c r="C683" s="98" t="s">
        <v>471</v>
      </c>
      <c r="D683" s="219">
        <v>239</v>
      </c>
      <c r="E683" s="12" t="s">
        <v>492</v>
      </c>
      <c r="F683" s="10" t="s">
        <v>30</v>
      </c>
      <c r="G683" s="10" t="s">
        <v>562</v>
      </c>
    </row>
    <row r="684" spans="1:7" x14ac:dyDescent="0.35">
      <c r="A684" s="10" t="s">
        <v>14</v>
      </c>
      <c r="B684" s="10" t="s">
        <v>220</v>
      </c>
      <c r="C684" s="98" t="s">
        <v>471</v>
      </c>
      <c r="D684" s="219">
        <v>14</v>
      </c>
      <c r="E684" s="12" t="s">
        <v>492</v>
      </c>
      <c r="F684" s="10" t="s">
        <v>30</v>
      </c>
      <c r="G684" s="10" t="s">
        <v>218</v>
      </c>
    </row>
    <row r="685" spans="1:7" x14ac:dyDescent="0.35">
      <c r="A685" s="10" t="s">
        <v>14</v>
      </c>
      <c r="B685" s="10" t="s">
        <v>11</v>
      </c>
      <c r="C685" s="98" t="s">
        <v>471</v>
      </c>
      <c r="D685" s="225">
        <v>62</v>
      </c>
      <c r="E685" s="12" t="s">
        <v>492</v>
      </c>
      <c r="F685" s="10" t="s">
        <v>30</v>
      </c>
      <c r="G685" s="10" t="s">
        <v>219</v>
      </c>
    </row>
    <row r="686" spans="1:7" x14ac:dyDescent="0.35">
      <c r="A686" s="10" t="s">
        <v>14</v>
      </c>
      <c r="B686" s="10" t="s">
        <v>13</v>
      </c>
      <c r="C686" s="98" t="s">
        <v>471</v>
      </c>
      <c r="D686" s="219">
        <v>99</v>
      </c>
      <c r="E686" s="12" t="s">
        <v>492</v>
      </c>
      <c r="F686" s="10" t="s">
        <v>25</v>
      </c>
      <c r="G686" s="10"/>
    </row>
    <row r="687" spans="1:7" x14ac:dyDescent="0.35">
      <c r="A687" s="10" t="s">
        <v>14</v>
      </c>
      <c r="B687" s="10" t="s">
        <v>13</v>
      </c>
      <c r="C687" s="98" t="s">
        <v>471</v>
      </c>
      <c r="D687" s="219">
        <v>204</v>
      </c>
      <c r="E687" s="12" t="s">
        <v>492</v>
      </c>
      <c r="F687" s="10" t="s">
        <v>23</v>
      </c>
      <c r="G687" s="10"/>
    </row>
    <row r="688" spans="1:7" x14ac:dyDescent="0.35">
      <c r="A688" s="10" t="s">
        <v>14</v>
      </c>
      <c r="B688" s="10" t="s">
        <v>12</v>
      </c>
      <c r="C688" s="98" t="s">
        <v>471</v>
      </c>
      <c r="D688" s="219">
        <v>99</v>
      </c>
      <c r="E688" s="12" t="s">
        <v>492</v>
      </c>
      <c r="F688" s="10" t="s">
        <v>25</v>
      </c>
      <c r="G688" s="10"/>
    </row>
    <row r="689" spans="1:7" x14ac:dyDescent="0.35">
      <c r="A689" s="10" t="s">
        <v>14</v>
      </c>
      <c r="B689" s="10" t="s">
        <v>12</v>
      </c>
      <c r="C689" s="98" t="s">
        <v>471</v>
      </c>
      <c r="D689" s="219">
        <v>4</v>
      </c>
      <c r="E689" s="12" t="s">
        <v>492</v>
      </c>
      <c r="F689" s="10" t="s">
        <v>23</v>
      </c>
      <c r="G689" s="10"/>
    </row>
    <row r="690" spans="1:7" x14ac:dyDescent="0.35">
      <c r="A690" s="10" t="s">
        <v>14</v>
      </c>
      <c r="B690" s="10" t="s">
        <v>9</v>
      </c>
      <c r="C690" s="98" t="s">
        <v>197</v>
      </c>
      <c r="D690" s="219">
        <v>1</v>
      </c>
      <c r="E690" s="12" t="s">
        <v>492</v>
      </c>
      <c r="F690" s="10" t="s">
        <v>30</v>
      </c>
      <c r="G690" s="10" t="s">
        <v>561</v>
      </c>
    </row>
    <row r="691" spans="1:7" x14ac:dyDescent="0.35">
      <c r="A691" s="10" t="s">
        <v>14</v>
      </c>
      <c r="B691" s="10" t="s">
        <v>10</v>
      </c>
      <c r="C691" s="98" t="s">
        <v>197</v>
      </c>
      <c r="D691" s="219">
        <v>7</v>
      </c>
      <c r="E691" s="12" t="s">
        <v>492</v>
      </c>
      <c r="F691" s="10" t="s">
        <v>30</v>
      </c>
      <c r="G691" s="10" t="s">
        <v>562</v>
      </c>
    </row>
    <row r="692" spans="1:7" x14ac:dyDescent="0.35">
      <c r="A692" s="10" t="s">
        <v>14</v>
      </c>
      <c r="B692" s="10" t="s">
        <v>15</v>
      </c>
      <c r="C692" s="98" t="s">
        <v>197</v>
      </c>
      <c r="D692" s="219">
        <v>8.5</v>
      </c>
      <c r="E692" s="12" t="s">
        <v>492</v>
      </c>
      <c r="F692" s="10" t="s">
        <v>470</v>
      </c>
      <c r="G692" s="10"/>
    </row>
    <row r="693" spans="1:7" x14ac:dyDescent="0.35">
      <c r="A693" s="10" t="s">
        <v>14</v>
      </c>
      <c r="B693" s="10" t="s">
        <v>220</v>
      </c>
      <c r="C693" s="98" t="s">
        <v>197</v>
      </c>
      <c r="D693" s="219">
        <v>0</v>
      </c>
      <c r="E693" s="12" t="s">
        <v>492</v>
      </c>
      <c r="F693" s="10" t="s">
        <v>30</v>
      </c>
      <c r="G693" s="10" t="s">
        <v>218</v>
      </c>
    </row>
    <row r="694" spans="1:7" x14ac:dyDescent="0.35">
      <c r="A694" s="10" t="s">
        <v>14</v>
      </c>
      <c r="B694" s="10" t="s">
        <v>11</v>
      </c>
      <c r="C694" s="98" t="s">
        <v>197</v>
      </c>
      <c r="D694" s="225">
        <v>1</v>
      </c>
      <c r="E694" s="12" t="s">
        <v>492</v>
      </c>
      <c r="F694" s="10" t="s">
        <v>30</v>
      </c>
      <c r="G694" s="10" t="s">
        <v>219</v>
      </c>
    </row>
    <row r="695" spans="1:7" x14ac:dyDescent="0.35">
      <c r="A695" s="10" t="s">
        <v>14</v>
      </c>
      <c r="B695" s="10" t="s">
        <v>13</v>
      </c>
      <c r="C695" s="98" t="s">
        <v>197</v>
      </c>
      <c r="D695" s="219">
        <v>7</v>
      </c>
      <c r="E695" s="12" t="s">
        <v>492</v>
      </c>
      <c r="F695" s="10" t="s">
        <v>23</v>
      </c>
      <c r="G695" s="10"/>
    </row>
    <row r="696" spans="1:7" x14ac:dyDescent="0.35">
      <c r="A696" s="10" t="s">
        <v>14</v>
      </c>
      <c r="B696" s="10" t="s">
        <v>12</v>
      </c>
      <c r="C696" s="98" t="s">
        <v>197</v>
      </c>
      <c r="D696" s="219">
        <v>1</v>
      </c>
      <c r="E696" s="12" t="s">
        <v>492</v>
      </c>
      <c r="F696" s="10" t="s">
        <v>23</v>
      </c>
      <c r="G696" s="10"/>
    </row>
    <row r="697" spans="1:7" x14ac:dyDescent="0.35">
      <c r="A697" s="10" t="s">
        <v>14</v>
      </c>
      <c r="B697" s="10" t="s">
        <v>13</v>
      </c>
      <c r="C697" s="98" t="s">
        <v>200</v>
      </c>
      <c r="D697" s="219">
        <v>7000</v>
      </c>
      <c r="E697" s="12" t="s">
        <v>492</v>
      </c>
      <c r="F697" s="10" t="s">
        <v>470</v>
      </c>
      <c r="G697" s="10"/>
    </row>
    <row r="698" spans="1:7" x14ac:dyDescent="0.35">
      <c r="A698" s="10" t="s">
        <v>14</v>
      </c>
      <c r="B698" s="10" t="s">
        <v>13</v>
      </c>
      <c r="C698" s="98" t="s">
        <v>200</v>
      </c>
      <c r="D698" s="219">
        <v>7000</v>
      </c>
      <c r="E698" s="12" t="s">
        <v>492</v>
      </c>
      <c r="F698" s="10" t="s">
        <v>23</v>
      </c>
      <c r="G698" s="10"/>
    </row>
    <row r="699" spans="1:7" x14ac:dyDescent="0.35">
      <c r="A699" s="10" t="s">
        <v>14</v>
      </c>
      <c r="B699" s="10" t="s">
        <v>12</v>
      </c>
      <c r="C699" s="98" t="s">
        <v>200</v>
      </c>
      <c r="D699" s="219">
        <v>90</v>
      </c>
      <c r="E699" s="12" t="s">
        <v>492</v>
      </c>
      <c r="F699" s="10" t="s">
        <v>470</v>
      </c>
      <c r="G699" s="10"/>
    </row>
    <row r="700" spans="1:7" x14ac:dyDescent="0.35">
      <c r="A700" s="10" t="s">
        <v>14</v>
      </c>
      <c r="B700" s="10" t="s">
        <v>12</v>
      </c>
      <c r="C700" s="98" t="s">
        <v>200</v>
      </c>
      <c r="D700" s="219">
        <v>90</v>
      </c>
      <c r="E700" s="12" t="s">
        <v>492</v>
      </c>
      <c r="F700" s="10" t="s">
        <v>23</v>
      </c>
      <c r="G700" s="10"/>
    </row>
    <row r="701" spans="1:7" x14ac:dyDescent="0.35">
      <c r="A701" s="10" t="s">
        <v>14</v>
      </c>
      <c r="B701" s="10" t="s">
        <v>15</v>
      </c>
      <c r="C701" s="98" t="s">
        <v>201</v>
      </c>
      <c r="D701" s="225">
        <v>1.2</v>
      </c>
      <c r="E701" s="12" t="s">
        <v>492</v>
      </c>
      <c r="F701" s="10" t="s">
        <v>470</v>
      </c>
      <c r="G701" s="10"/>
    </row>
    <row r="702" spans="1:7" x14ac:dyDescent="0.35">
      <c r="A702" s="10" t="s">
        <v>14</v>
      </c>
      <c r="B702" s="10" t="s">
        <v>9</v>
      </c>
      <c r="C702" s="98" t="s">
        <v>202</v>
      </c>
      <c r="D702" s="219">
        <v>5500</v>
      </c>
      <c r="E702" s="12" t="s">
        <v>492</v>
      </c>
      <c r="F702" s="10" t="s">
        <v>30</v>
      </c>
      <c r="G702" s="10" t="s">
        <v>561</v>
      </c>
    </row>
    <row r="703" spans="1:7" x14ac:dyDescent="0.35">
      <c r="A703" s="10" t="s">
        <v>14</v>
      </c>
      <c r="B703" s="10" t="s">
        <v>10</v>
      </c>
      <c r="C703" s="98" t="s">
        <v>202</v>
      </c>
      <c r="D703" s="219">
        <v>5500</v>
      </c>
      <c r="E703" s="12" t="s">
        <v>492</v>
      </c>
      <c r="F703" s="10" t="s">
        <v>30</v>
      </c>
      <c r="G703" s="10" t="s">
        <v>562</v>
      </c>
    </row>
    <row r="704" spans="1:7" x14ac:dyDescent="0.35">
      <c r="A704" s="10" t="s">
        <v>14</v>
      </c>
      <c r="B704" s="10" t="s">
        <v>15</v>
      </c>
      <c r="C704" s="98" t="s">
        <v>202</v>
      </c>
      <c r="D704" s="219">
        <v>5500</v>
      </c>
      <c r="E704" s="12" t="s">
        <v>492</v>
      </c>
      <c r="F704" s="10" t="s">
        <v>470</v>
      </c>
      <c r="G704" s="10"/>
    </row>
    <row r="705" spans="1:7" x14ac:dyDescent="0.35">
      <c r="A705" s="10" t="s">
        <v>14</v>
      </c>
      <c r="B705" s="10" t="s">
        <v>220</v>
      </c>
      <c r="C705" s="98" t="s">
        <v>202</v>
      </c>
      <c r="D705" s="219">
        <v>5500</v>
      </c>
      <c r="E705" s="12" t="s">
        <v>492</v>
      </c>
      <c r="F705" s="10" t="s">
        <v>30</v>
      </c>
      <c r="G705" s="10" t="s">
        <v>218</v>
      </c>
    </row>
    <row r="706" spans="1:7" x14ac:dyDescent="0.35">
      <c r="A706" s="10" t="s">
        <v>14</v>
      </c>
      <c r="B706" s="10" t="s">
        <v>11</v>
      </c>
      <c r="C706" s="98" t="s">
        <v>202</v>
      </c>
      <c r="D706" s="219">
        <v>5500</v>
      </c>
      <c r="E706" s="12" t="s">
        <v>492</v>
      </c>
      <c r="F706" s="10" t="s">
        <v>30</v>
      </c>
      <c r="G706" s="10" t="s">
        <v>219</v>
      </c>
    </row>
    <row r="707" spans="1:7" x14ac:dyDescent="0.35">
      <c r="A707" s="10" t="s">
        <v>14</v>
      </c>
      <c r="B707" s="10" t="s">
        <v>13</v>
      </c>
      <c r="C707" s="98" t="s">
        <v>202</v>
      </c>
      <c r="D707" s="219">
        <v>5500</v>
      </c>
      <c r="E707" s="12" t="s">
        <v>492</v>
      </c>
      <c r="F707" s="10" t="s">
        <v>25</v>
      </c>
      <c r="G707" s="10"/>
    </row>
    <row r="708" spans="1:7" x14ac:dyDescent="0.35">
      <c r="A708" s="10" t="s">
        <v>14</v>
      </c>
      <c r="B708" s="10" t="s">
        <v>13</v>
      </c>
      <c r="C708" s="98" t="s">
        <v>202</v>
      </c>
      <c r="D708" s="219">
        <v>5450</v>
      </c>
      <c r="E708" s="12" t="s">
        <v>492</v>
      </c>
      <c r="F708" s="10" t="s">
        <v>23</v>
      </c>
      <c r="G708" s="10"/>
    </row>
    <row r="709" spans="1:7" x14ac:dyDescent="0.35">
      <c r="A709" s="10" t="s">
        <v>14</v>
      </c>
      <c r="B709" s="10" t="s">
        <v>12</v>
      </c>
      <c r="C709" s="98" t="s">
        <v>202</v>
      </c>
      <c r="D709" s="219">
        <v>5500</v>
      </c>
      <c r="E709" s="12" t="s">
        <v>492</v>
      </c>
      <c r="F709" s="10" t="s">
        <v>25</v>
      </c>
      <c r="G709" s="10"/>
    </row>
    <row r="710" spans="1:7" x14ac:dyDescent="0.35">
      <c r="A710" s="10" t="s">
        <v>14</v>
      </c>
      <c r="B710" s="10" t="s">
        <v>12</v>
      </c>
      <c r="C710" s="98" t="s">
        <v>202</v>
      </c>
      <c r="D710" s="219">
        <v>5450</v>
      </c>
      <c r="E710" s="12" t="s">
        <v>492</v>
      </c>
      <c r="F710" s="10" t="s">
        <v>23</v>
      </c>
      <c r="G710" s="10"/>
    </row>
    <row r="711" spans="1:7" x14ac:dyDescent="0.35">
      <c r="A711" s="10" t="s">
        <v>399</v>
      </c>
      <c r="B711" s="10" t="s">
        <v>500</v>
      </c>
      <c r="C711" s="98" t="s">
        <v>171</v>
      </c>
      <c r="D711" s="18">
        <v>2190</v>
      </c>
      <c r="E711" s="12" t="s">
        <v>492</v>
      </c>
      <c r="F711" s="10" t="s">
        <v>25</v>
      </c>
    </row>
    <row r="712" spans="1:7" x14ac:dyDescent="0.35">
      <c r="A712" s="10" t="s">
        <v>399</v>
      </c>
      <c r="B712" s="10" t="s">
        <v>500</v>
      </c>
      <c r="C712" s="98" t="s">
        <v>179</v>
      </c>
      <c r="D712" s="13">
        <v>0.48</v>
      </c>
      <c r="E712" s="12" t="s">
        <v>492</v>
      </c>
      <c r="F712" s="10" t="s">
        <v>33</v>
      </c>
    </row>
    <row r="713" spans="1:7" x14ac:dyDescent="0.35">
      <c r="A713" s="10" t="s">
        <v>399</v>
      </c>
      <c r="B713" s="10" t="s">
        <v>500</v>
      </c>
      <c r="C713" s="98" t="s">
        <v>180</v>
      </c>
      <c r="D713" s="13">
        <v>1.6</v>
      </c>
      <c r="E713" s="12" t="s">
        <v>492</v>
      </c>
      <c r="F713" s="10" t="s">
        <v>33</v>
      </c>
    </row>
    <row r="714" spans="1:7" x14ac:dyDescent="0.35">
      <c r="A714" s="10" t="s">
        <v>399</v>
      </c>
      <c r="B714" s="10" t="s">
        <v>500</v>
      </c>
      <c r="C714" s="98" t="s">
        <v>194</v>
      </c>
      <c r="D714" s="13">
        <v>8.3000000000000007</v>
      </c>
      <c r="E714" s="12" t="s">
        <v>492</v>
      </c>
      <c r="F714" s="10" t="s">
        <v>33</v>
      </c>
    </row>
  </sheetData>
  <autoFilter ref="A1:G714" xr:uid="{B85857DA-147B-4693-A73B-69F8E49F4406}">
    <sortState xmlns:xlrd2="http://schemas.microsoft.com/office/spreadsheetml/2017/richdata2" ref="A2:G24">
      <sortCondition ref="C1:C714"/>
    </sortState>
  </autoFilter>
  <conditionalFormatting sqref="C150">
    <cfRule type="cellIs" dxfId="0" priority="2" operator="greaterThan">
      <formula>0</formula>
    </cfRule>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BB9344-BDE6-469C-ADF6-9D32760C9BA4}">
  <sheetPr>
    <tabColor theme="7" tint="0.59999389629810485"/>
  </sheetPr>
  <dimension ref="A1:F20"/>
  <sheetViews>
    <sheetView workbookViewId="0">
      <selection sqref="A1:XFD1048576"/>
    </sheetView>
  </sheetViews>
  <sheetFormatPr baseColWidth="10" defaultRowHeight="14.5" x14ac:dyDescent="0.35"/>
  <cols>
    <col min="1" max="1" width="13.26953125" bestFit="1" customWidth="1"/>
    <col min="2" max="2" width="16.54296875" bestFit="1" customWidth="1"/>
    <col min="3" max="3" width="6.81640625" bestFit="1" customWidth="1"/>
    <col min="4" max="4" width="8.7265625" bestFit="1" customWidth="1"/>
    <col min="5" max="5" width="6.6328125" bestFit="1" customWidth="1"/>
    <col min="6" max="6" width="43.36328125" bestFit="1" customWidth="1"/>
  </cols>
  <sheetData>
    <row r="1" spans="1:6" x14ac:dyDescent="0.35">
      <c r="A1" s="98" t="s">
        <v>472</v>
      </c>
      <c r="B1" s="98" t="s">
        <v>473</v>
      </c>
      <c r="C1" s="98" t="s">
        <v>474</v>
      </c>
      <c r="D1" s="98" t="s">
        <v>302</v>
      </c>
      <c r="E1" s="98" t="s">
        <v>68</v>
      </c>
      <c r="F1" s="98" t="s">
        <v>4</v>
      </c>
    </row>
    <row r="2" spans="1:6" x14ac:dyDescent="0.35">
      <c r="A2" s="10" t="s">
        <v>245</v>
      </c>
      <c r="B2" s="10">
        <v>28</v>
      </c>
      <c r="C2" s="10">
        <v>2018</v>
      </c>
      <c r="D2" s="10" t="s">
        <v>306</v>
      </c>
      <c r="E2" s="10" t="s">
        <v>260</v>
      </c>
      <c r="F2" s="10" t="s">
        <v>617</v>
      </c>
    </row>
    <row r="3" spans="1:6" x14ac:dyDescent="0.35">
      <c r="A3" s="10" t="s">
        <v>245</v>
      </c>
      <c r="B3" s="10">
        <v>41.2</v>
      </c>
      <c r="C3" s="10">
        <v>2018</v>
      </c>
      <c r="D3" s="10" t="s">
        <v>76</v>
      </c>
      <c r="E3" s="10" t="s">
        <v>260</v>
      </c>
      <c r="F3" s="10" t="s">
        <v>476</v>
      </c>
    </row>
    <row r="4" spans="1:6" x14ac:dyDescent="0.35">
      <c r="A4" s="10" t="s">
        <v>245</v>
      </c>
      <c r="B4" s="10">
        <v>69.48</v>
      </c>
      <c r="C4" s="10">
        <v>2019</v>
      </c>
      <c r="D4" s="10" t="s">
        <v>76</v>
      </c>
      <c r="E4" s="10" t="s">
        <v>260</v>
      </c>
      <c r="F4" s="10" t="s">
        <v>476</v>
      </c>
    </row>
    <row r="5" spans="1:6" x14ac:dyDescent="0.35">
      <c r="A5" s="10" t="s">
        <v>245</v>
      </c>
      <c r="B5" s="10">
        <v>57.76</v>
      </c>
      <c r="C5" s="10">
        <v>2020</v>
      </c>
      <c r="D5" s="10" t="s">
        <v>76</v>
      </c>
      <c r="E5" s="10" t="s">
        <v>260</v>
      </c>
      <c r="F5" s="10" t="s">
        <v>476</v>
      </c>
    </row>
    <row r="6" spans="1:6" x14ac:dyDescent="0.35">
      <c r="A6" s="10" t="s">
        <v>245</v>
      </c>
      <c r="B6" s="10">
        <v>64.05</v>
      </c>
      <c r="C6" s="10">
        <v>2021</v>
      </c>
      <c r="D6" s="10" t="s">
        <v>76</v>
      </c>
      <c r="E6" s="10" t="s">
        <v>260</v>
      </c>
      <c r="F6" s="10" t="s">
        <v>476</v>
      </c>
    </row>
    <row r="7" spans="1:6" x14ac:dyDescent="0.35">
      <c r="A7" s="10" t="s">
        <v>245</v>
      </c>
      <c r="B7" s="10">
        <v>73.790000000000006</v>
      </c>
      <c r="C7" s="10">
        <v>2022</v>
      </c>
      <c r="D7" s="10" t="s">
        <v>76</v>
      </c>
      <c r="E7" s="10" t="s">
        <v>260</v>
      </c>
      <c r="F7" s="10" t="s">
        <v>476</v>
      </c>
    </row>
    <row r="8" spans="1:6" x14ac:dyDescent="0.35">
      <c r="A8" s="10" t="s">
        <v>245</v>
      </c>
      <c r="B8" s="10">
        <v>79.23</v>
      </c>
      <c r="C8" s="10">
        <v>2023</v>
      </c>
      <c r="D8" s="10" t="s">
        <v>76</v>
      </c>
      <c r="E8" s="10" t="s">
        <v>260</v>
      </c>
      <c r="F8" s="10" t="s">
        <v>476</v>
      </c>
    </row>
    <row r="9" spans="1:6" x14ac:dyDescent="0.35">
      <c r="A9" s="10" t="s">
        <v>245</v>
      </c>
      <c r="B9" s="10">
        <v>62.5</v>
      </c>
      <c r="C9" s="10">
        <v>2023</v>
      </c>
      <c r="D9" s="10" t="s">
        <v>306</v>
      </c>
      <c r="E9" s="10" t="s">
        <v>260</v>
      </c>
      <c r="F9" s="38" t="s">
        <v>480</v>
      </c>
    </row>
    <row r="10" spans="1:6" x14ac:dyDescent="0.35">
      <c r="A10" s="10" t="s">
        <v>245</v>
      </c>
      <c r="B10" s="10">
        <v>70.8</v>
      </c>
      <c r="C10" s="10">
        <v>2025</v>
      </c>
      <c r="D10" s="10" t="s">
        <v>76</v>
      </c>
      <c r="E10" s="10" t="s">
        <v>260</v>
      </c>
      <c r="F10" s="10" t="s">
        <v>477</v>
      </c>
    </row>
    <row r="11" spans="1:6" x14ac:dyDescent="0.35">
      <c r="A11" s="10" t="s">
        <v>481</v>
      </c>
      <c r="B11" s="10">
        <v>24.2</v>
      </c>
      <c r="C11" s="10">
        <v>2015</v>
      </c>
      <c r="D11" s="10" t="s">
        <v>482</v>
      </c>
      <c r="E11" s="10" t="s">
        <v>260</v>
      </c>
      <c r="F11" s="38" t="s">
        <v>484</v>
      </c>
    </row>
    <row r="12" spans="1:6" x14ac:dyDescent="0.35">
      <c r="A12" s="10" t="s">
        <v>481</v>
      </c>
      <c r="B12" s="10">
        <v>30.1</v>
      </c>
      <c r="C12" s="10">
        <v>2015</v>
      </c>
      <c r="D12" s="10" t="s">
        <v>76</v>
      </c>
      <c r="E12" s="10" t="s">
        <v>260</v>
      </c>
      <c r="F12" s="38" t="s">
        <v>484</v>
      </c>
    </row>
    <row r="13" spans="1:6" x14ac:dyDescent="0.35">
      <c r="A13" s="10" t="s">
        <v>481</v>
      </c>
      <c r="B13" s="10">
        <v>41.2</v>
      </c>
      <c r="C13" s="10">
        <v>2015</v>
      </c>
      <c r="D13" s="10" t="s">
        <v>483</v>
      </c>
      <c r="E13" s="10" t="s">
        <v>260</v>
      </c>
      <c r="F13" s="38" t="s">
        <v>484</v>
      </c>
    </row>
    <row r="14" spans="1:6" x14ac:dyDescent="0.35">
      <c r="A14" s="10" t="s">
        <v>481</v>
      </c>
      <c r="B14" s="10">
        <v>43.9</v>
      </c>
      <c r="C14" s="10">
        <v>2020</v>
      </c>
      <c r="D14" s="10" t="s">
        <v>482</v>
      </c>
      <c r="E14" s="10" t="s">
        <v>260</v>
      </c>
      <c r="F14" s="38" t="s">
        <v>484</v>
      </c>
    </row>
    <row r="15" spans="1:6" x14ac:dyDescent="0.35">
      <c r="A15" s="10" t="s">
        <v>481</v>
      </c>
      <c r="B15" s="10">
        <v>54.6</v>
      </c>
      <c r="C15" s="10">
        <v>2020</v>
      </c>
      <c r="D15" s="10" t="s">
        <v>76</v>
      </c>
      <c r="E15" s="10" t="s">
        <v>260</v>
      </c>
      <c r="F15" s="38" t="s">
        <v>484</v>
      </c>
    </row>
    <row r="16" spans="1:6" x14ac:dyDescent="0.35">
      <c r="A16" s="10" t="s">
        <v>481</v>
      </c>
      <c r="B16" s="10">
        <v>70.5</v>
      </c>
      <c r="C16" s="10">
        <v>2020</v>
      </c>
      <c r="D16" s="10" t="s">
        <v>483</v>
      </c>
      <c r="E16" s="10" t="s">
        <v>260</v>
      </c>
      <c r="F16" s="38" t="s">
        <v>484</v>
      </c>
    </row>
    <row r="17" spans="1:6" x14ac:dyDescent="0.35">
      <c r="A17" s="10" t="s">
        <v>441</v>
      </c>
      <c r="B17" s="10">
        <v>1.4</v>
      </c>
      <c r="C17" s="10">
        <v>2018</v>
      </c>
      <c r="D17" s="10" t="s">
        <v>306</v>
      </c>
      <c r="E17" s="10" t="s">
        <v>260</v>
      </c>
      <c r="F17" s="10" t="s">
        <v>617</v>
      </c>
    </row>
    <row r="18" spans="1:6" x14ac:dyDescent="0.35">
      <c r="A18" s="10" t="s">
        <v>441</v>
      </c>
      <c r="B18" s="10">
        <v>1.3</v>
      </c>
      <c r="C18" s="10">
        <v>2023</v>
      </c>
      <c r="D18" s="10" t="s">
        <v>306</v>
      </c>
      <c r="E18" s="10" t="s">
        <v>260</v>
      </c>
      <c r="F18" s="38" t="s">
        <v>480</v>
      </c>
    </row>
    <row r="19" spans="1:6" x14ac:dyDescent="0.35">
      <c r="A19" s="10" t="s">
        <v>246</v>
      </c>
      <c r="B19" s="10">
        <v>7</v>
      </c>
      <c r="C19" s="10">
        <v>2018</v>
      </c>
      <c r="D19" s="10" t="s">
        <v>306</v>
      </c>
      <c r="E19" s="10" t="s">
        <v>260</v>
      </c>
      <c r="F19" s="10" t="s">
        <v>617</v>
      </c>
    </row>
    <row r="20" spans="1:6" x14ac:dyDescent="0.35">
      <c r="A20" s="10" t="s">
        <v>246</v>
      </c>
      <c r="B20" s="10">
        <v>21.8</v>
      </c>
      <c r="C20" s="10">
        <v>2023</v>
      </c>
      <c r="D20" s="10" t="s">
        <v>306</v>
      </c>
      <c r="E20" s="10" t="s">
        <v>260</v>
      </c>
      <c r="F20" s="38" t="s">
        <v>480</v>
      </c>
    </row>
  </sheetData>
  <autoFilter ref="A1:F1" xr:uid="{7BBB9344-BDE6-469C-ADF6-9D32760C9BA4}">
    <sortState xmlns:xlrd2="http://schemas.microsoft.com/office/spreadsheetml/2017/richdata2" ref="A2:F20">
      <sortCondition ref="A1"/>
    </sortState>
  </autoFilter>
  <phoneticPr fontId="4" type="noConversion"/>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12CCEC-3890-454A-8D55-DB73AE859073}">
  <sheetPr>
    <tabColor theme="2" tint="-9.9978637043366805E-2"/>
  </sheetPr>
  <dimension ref="A1:E154"/>
  <sheetViews>
    <sheetView topLeftCell="C21" zoomScale="85" zoomScaleNormal="85" workbookViewId="0">
      <selection activeCell="D60" sqref="D60"/>
    </sheetView>
  </sheetViews>
  <sheetFormatPr baseColWidth="10" defaultRowHeight="14.5" x14ac:dyDescent="0.35"/>
  <cols>
    <col min="1" max="1" width="21.1796875" style="2" bestFit="1" customWidth="1"/>
    <col min="2" max="2" width="23.36328125" style="2" bestFit="1" customWidth="1"/>
    <col min="3" max="3" width="45.1796875" style="33" customWidth="1"/>
    <col min="4" max="4" width="255.6328125" style="203" bestFit="1" customWidth="1"/>
    <col min="5" max="5" width="65.08984375" customWidth="1"/>
    <col min="6" max="6" width="35.6328125" customWidth="1"/>
    <col min="7" max="7" width="23.81640625" bestFit="1" customWidth="1"/>
    <col min="8" max="8" width="13.36328125" bestFit="1" customWidth="1"/>
  </cols>
  <sheetData>
    <row r="1" spans="1:5" ht="15" thickBot="1" x14ac:dyDescent="0.4">
      <c r="A1" s="47" t="s">
        <v>375</v>
      </c>
      <c r="B1" s="47" t="s">
        <v>63</v>
      </c>
      <c r="C1" s="251" t="s">
        <v>4</v>
      </c>
      <c r="D1" s="251"/>
      <c r="E1" s="82" t="s">
        <v>335</v>
      </c>
    </row>
    <row r="2" spans="1:5" ht="15" thickBot="1" x14ac:dyDescent="0.4">
      <c r="A2" s="263" t="s">
        <v>363</v>
      </c>
      <c r="B2" s="263"/>
      <c r="C2" s="141" t="s">
        <v>342</v>
      </c>
      <c r="D2" s="209" t="s">
        <v>371</v>
      </c>
      <c r="E2" s="10" t="s">
        <v>372</v>
      </c>
    </row>
    <row r="3" spans="1:5" x14ac:dyDescent="0.35">
      <c r="A3" s="255" t="s">
        <v>366</v>
      </c>
      <c r="B3" s="255"/>
      <c r="C3" s="141" t="s">
        <v>348</v>
      </c>
      <c r="D3" s="210" t="s">
        <v>570</v>
      </c>
      <c r="E3" s="10" t="s">
        <v>19</v>
      </c>
    </row>
    <row r="4" spans="1:5" x14ac:dyDescent="0.35">
      <c r="A4" s="255"/>
      <c r="B4" s="255"/>
      <c r="C4" s="142" t="s">
        <v>342</v>
      </c>
      <c r="D4" s="211" t="s">
        <v>373</v>
      </c>
      <c r="E4" s="10" t="s">
        <v>19</v>
      </c>
    </row>
    <row r="5" spans="1:5" x14ac:dyDescent="0.35">
      <c r="A5" s="255"/>
      <c r="B5" s="255"/>
      <c r="C5" s="142" t="s">
        <v>349</v>
      </c>
      <c r="D5" s="212" t="s">
        <v>571</v>
      </c>
      <c r="E5" s="10" t="s">
        <v>19</v>
      </c>
    </row>
    <row r="6" spans="1:5" x14ac:dyDescent="0.35">
      <c r="A6" s="255"/>
      <c r="B6" s="255"/>
      <c r="C6" s="142" t="s">
        <v>352</v>
      </c>
      <c r="D6" s="212" t="s">
        <v>572</v>
      </c>
      <c r="E6" s="10" t="s">
        <v>19</v>
      </c>
    </row>
    <row r="7" spans="1:5" ht="15" thickBot="1" x14ac:dyDescent="0.4">
      <c r="A7" s="255"/>
      <c r="B7" s="255"/>
      <c r="C7" s="143" t="s">
        <v>350</v>
      </c>
      <c r="D7" s="213" t="s">
        <v>616</v>
      </c>
      <c r="E7" s="10" t="s">
        <v>19</v>
      </c>
    </row>
    <row r="8" spans="1:5" ht="19" customHeight="1" thickBot="1" x14ac:dyDescent="0.4">
      <c r="A8" s="263" t="s">
        <v>368</v>
      </c>
      <c r="B8" s="263"/>
      <c r="C8" s="144" t="s">
        <v>360</v>
      </c>
      <c r="D8" s="200" t="s">
        <v>374</v>
      </c>
      <c r="E8" s="10" t="s">
        <v>19</v>
      </c>
    </row>
    <row r="9" spans="1:5" x14ac:dyDescent="0.35">
      <c r="A9" s="261" t="s">
        <v>272</v>
      </c>
      <c r="B9" s="145" t="s">
        <v>324</v>
      </c>
      <c r="C9" s="38" t="s">
        <v>230</v>
      </c>
      <c r="D9" s="201" t="s">
        <v>319</v>
      </c>
      <c r="E9" s="123" t="s">
        <v>325</v>
      </c>
    </row>
    <row r="10" spans="1:5" x14ac:dyDescent="0.35">
      <c r="A10" s="261"/>
      <c r="B10" s="145" t="s">
        <v>326</v>
      </c>
      <c r="C10" s="38" t="s">
        <v>227</v>
      </c>
      <c r="D10" s="202" t="s">
        <v>613</v>
      </c>
      <c r="E10" s="123" t="s">
        <v>327</v>
      </c>
    </row>
    <row r="11" spans="1:5" x14ac:dyDescent="0.35">
      <c r="A11" s="261"/>
      <c r="B11" s="260" t="s">
        <v>329</v>
      </c>
      <c r="C11" s="38" t="s">
        <v>330</v>
      </c>
      <c r="D11" s="201" t="s">
        <v>331</v>
      </c>
      <c r="E11" s="254" t="s">
        <v>332</v>
      </c>
    </row>
    <row r="12" spans="1:5" x14ac:dyDescent="0.35">
      <c r="A12" s="261"/>
      <c r="B12" s="260"/>
      <c r="C12" s="38" t="s">
        <v>333</v>
      </c>
      <c r="D12" s="201" t="s">
        <v>573</v>
      </c>
      <c r="E12" s="254"/>
    </row>
    <row r="13" spans="1:5" x14ac:dyDescent="0.35">
      <c r="A13" s="261" t="s">
        <v>276</v>
      </c>
      <c r="B13" s="261"/>
      <c r="C13" s="38" t="s">
        <v>243</v>
      </c>
      <c r="D13" s="211" t="s">
        <v>574</v>
      </c>
      <c r="E13" s="123" t="s">
        <v>328</v>
      </c>
    </row>
    <row r="14" spans="1:5" x14ac:dyDescent="0.35">
      <c r="A14" s="261" t="s">
        <v>278</v>
      </c>
      <c r="B14" s="261"/>
      <c r="C14" s="38" t="s">
        <v>243</v>
      </c>
      <c r="D14" s="211" t="s">
        <v>575</v>
      </c>
      <c r="E14" s="10" t="s">
        <v>19</v>
      </c>
    </row>
    <row r="15" spans="1:5" x14ac:dyDescent="0.35">
      <c r="A15" s="264" t="s">
        <v>334</v>
      </c>
      <c r="B15" s="265"/>
      <c r="C15" s="142" t="s">
        <v>135</v>
      </c>
      <c r="D15" s="212" t="s">
        <v>39</v>
      </c>
      <c r="E15" s="10" t="s">
        <v>19</v>
      </c>
    </row>
    <row r="16" spans="1:5" x14ac:dyDescent="0.35">
      <c r="A16" s="266"/>
      <c r="B16" s="267"/>
      <c r="C16" s="142" t="s">
        <v>136</v>
      </c>
      <c r="D16" s="212" t="s">
        <v>576</v>
      </c>
      <c r="E16" s="10" t="s">
        <v>19</v>
      </c>
    </row>
    <row r="17" spans="1:5" x14ac:dyDescent="0.35">
      <c r="A17" s="259" t="s">
        <v>70</v>
      </c>
      <c r="B17" s="259"/>
      <c r="C17" s="44" t="s">
        <v>64</v>
      </c>
      <c r="D17" s="203" t="s">
        <v>128</v>
      </c>
      <c r="E17" s="10" t="s">
        <v>19</v>
      </c>
    </row>
    <row r="18" spans="1:5" x14ac:dyDescent="0.35">
      <c r="A18" s="259"/>
      <c r="B18" s="259"/>
      <c r="C18" s="45" t="s">
        <v>24</v>
      </c>
      <c r="D18" s="204" t="s">
        <v>127</v>
      </c>
      <c r="E18" s="10" t="s">
        <v>19</v>
      </c>
    </row>
    <row r="19" spans="1:5" x14ac:dyDescent="0.35">
      <c r="A19" s="259"/>
      <c r="B19" s="259"/>
      <c r="C19" s="45" t="s">
        <v>65</v>
      </c>
      <c r="D19" s="214" t="s">
        <v>577</v>
      </c>
      <c r="E19" s="10" t="s">
        <v>19</v>
      </c>
    </row>
    <row r="20" spans="1:5" x14ac:dyDescent="0.35">
      <c r="A20" s="259"/>
      <c r="B20" s="259"/>
      <c r="C20" s="44" t="s">
        <v>66</v>
      </c>
      <c r="D20" s="214" t="s">
        <v>578</v>
      </c>
      <c r="E20" s="10" t="s">
        <v>19</v>
      </c>
    </row>
    <row r="21" spans="1:5" x14ac:dyDescent="0.35">
      <c r="A21" s="259"/>
      <c r="B21" s="259"/>
      <c r="C21" s="45" t="s">
        <v>67</v>
      </c>
      <c r="D21" s="201" t="s">
        <v>126</v>
      </c>
      <c r="E21" s="10" t="s">
        <v>19</v>
      </c>
    </row>
    <row r="22" spans="1:5" x14ac:dyDescent="0.35">
      <c r="A22" s="236" t="s">
        <v>74</v>
      </c>
      <c r="B22" s="236"/>
      <c r="C22" s="38" t="s">
        <v>78</v>
      </c>
      <c r="D22" s="201" t="s">
        <v>579</v>
      </c>
      <c r="E22" s="10" t="s">
        <v>19</v>
      </c>
    </row>
    <row r="23" spans="1:5" x14ac:dyDescent="0.35">
      <c r="A23" s="236" t="s">
        <v>75</v>
      </c>
      <c r="B23" s="236"/>
      <c r="C23" s="10" t="s">
        <v>79</v>
      </c>
      <c r="D23" s="201" t="s">
        <v>77</v>
      </c>
      <c r="E23" s="10" t="s">
        <v>19</v>
      </c>
    </row>
    <row r="24" spans="1:5" x14ac:dyDescent="0.35">
      <c r="A24" s="268" t="s">
        <v>280</v>
      </c>
      <c r="B24" s="256" t="s">
        <v>337</v>
      </c>
      <c r="C24" s="38" t="s">
        <v>314</v>
      </c>
      <c r="D24" s="212" t="s">
        <v>580</v>
      </c>
      <c r="E24" s="122" t="s">
        <v>315</v>
      </c>
    </row>
    <row r="25" spans="1:5" x14ac:dyDescent="0.35">
      <c r="A25" s="269"/>
      <c r="B25" s="257"/>
      <c r="C25" s="38" t="s">
        <v>269</v>
      </c>
      <c r="D25" s="201" t="s">
        <v>316</v>
      </c>
      <c r="E25" s="123" t="s">
        <v>317</v>
      </c>
    </row>
    <row r="26" spans="1:5" x14ac:dyDescent="0.35">
      <c r="A26" s="269"/>
      <c r="B26" s="258" t="s">
        <v>318</v>
      </c>
      <c r="C26" s="175" t="s">
        <v>230</v>
      </c>
      <c r="D26" s="205" t="s">
        <v>319</v>
      </c>
      <c r="E26" s="123" t="s">
        <v>320</v>
      </c>
    </row>
    <row r="27" spans="1:5" x14ac:dyDescent="0.35">
      <c r="A27" s="269"/>
      <c r="B27" s="256"/>
      <c r="C27" s="10" t="s">
        <v>522</v>
      </c>
      <c r="D27" s="215" t="s">
        <v>609</v>
      </c>
      <c r="E27" s="123"/>
    </row>
    <row r="28" spans="1:5" x14ac:dyDescent="0.35">
      <c r="A28" s="269"/>
      <c r="B28" s="256"/>
      <c r="C28" s="175" t="s">
        <v>518</v>
      </c>
      <c r="D28" s="205" t="s">
        <v>610</v>
      </c>
      <c r="E28" s="123"/>
    </row>
    <row r="29" spans="1:5" x14ac:dyDescent="0.35">
      <c r="A29" s="269"/>
      <c r="B29" s="257"/>
      <c r="C29" s="10" t="s">
        <v>521</v>
      </c>
      <c r="D29" s="205" t="s">
        <v>611</v>
      </c>
      <c r="E29" s="122" t="s">
        <v>321</v>
      </c>
    </row>
    <row r="30" spans="1:5" x14ac:dyDescent="0.35">
      <c r="A30" s="269"/>
      <c r="B30" s="258" t="s">
        <v>322</v>
      </c>
      <c r="C30" s="38" t="s">
        <v>581</v>
      </c>
      <c r="D30" s="212" t="s">
        <v>582</v>
      </c>
      <c r="E30" s="123" t="s">
        <v>583</v>
      </c>
    </row>
    <row r="31" spans="1:5" x14ac:dyDescent="0.35">
      <c r="A31" s="269"/>
      <c r="B31" s="256"/>
      <c r="C31" s="38" t="s">
        <v>256</v>
      </c>
      <c r="D31" s="212" t="s">
        <v>584</v>
      </c>
      <c r="E31" s="122" t="s">
        <v>323</v>
      </c>
    </row>
    <row r="32" spans="1:5" x14ac:dyDescent="0.35">
      <c r="A32" s="269"/>
      <c r="B32" s="256"/>
      <c r="C32" s="38" t="s">
        <v>258</v>
      </c>
      <c r="D32" s="212" t="s">
        <v>585</v>
      </c>
      <c r="E32" s="123" t="s">
        <v>19</v>
      </c>
    </row>
    <row r="33" spans="1:5" x14ac:dyDescent="0.35">
      <c r="A33" s="269"/>
      <c r="B33" s="257"/>
      <c r="C33" s="10" t="s">
        <v>521</v>
      </c>
      <c r="D33" s="205" t="s">
        <v>611</v>
      </c>
      <c r="E33" s="123"/>
    </row>
    <row r="34" spans="1:5" x14ac:dyDescent="0.35">
      <c r="A34" s="269"/>
      <c r="B34" s="258" t="s">
        <v>612</v>
      </c>
      <c r="C34" s="38" t="s">
        <v>581</v>
      </c>
      <c r="D34" s="215" t="s">
        <v>582</v>
      </c>
      <c r="E34" s="123" t="s">
        <v>586</v>
      </c>
    </row>
    <row r="35" spans="1:5" x14ac:dyDescent="0.35">
      <c r="A35" s="174"/>
      <c r="B35" s="256"/>
      <c r="C35" s="38" t="s">
        <v>476</v>
      </c>
      <c r="D35" s="216" t="s">
        <v>475</v>
      </c>
      <c r="E35" s="10" t="s">
        <v>19</v>
      </c>
    </row>
    <row r="36" spans="1:5" x14ac:dyDescent="0.35">
      <c r="A36" s="174"/>
      <c r="B36" s="256"/>
      <c r="C36" s="38" t="s">
        <v>478</v>
      </c>
      <c r="D36" s="206" t="s">
        <v>614</v>
      </c>
      <c r="E36" s="10" t="s">
        <v>19</v>
      </c>
    </row>
    <row r="37" spans="1:5" x14ac:dyDescent="0.35">
      <c r="A37" s="174"/>
      <c r="B37" s="256"/>
      <c r="C37" s="38" t="s">
        <v>480</v>
      </c>
      <c r="D37" s="216" t="s">
        <v>479</v>
      </c>
      <c r="E37" s="10" t="s">
        <v>19</v>
      </c>
    </row>
    <row r="38" spans="1:5" x14ac:dyDescent="0.35">
      <c r="A38" s="174"/>
      <c r="B38" s="257"/>
      <c r="C38" s="199" t="s">
        <v>484</v>
      </c>
      <c r="D38" s="203" t="s">
        <v>587</v>
      </c>
      <c r="E38" s="10" t="s">
        <v>19</v>
      </c>
    </row>
    <row r="39" spans="1:5" x14ac:dyDescent="0.35">
      <c r="A39" s="262" t="s">
        <v>336</v>
      </c>
      <c r="B39" s="262"/>
      <c r="C39" s="38" t="s">
        <v>592</v>
      </c>
      <c r="D39" s="206" t="s">
        <v>593</v>
      </c>
      <c r="E39" s="10" t="s">
        <v>19</v>
      </c>
    </row>
    <row r="40" spans="1:5" x14ac:dyDescent="0.35">
      <c r="A40" s="262"/>
      <c r="B40" s="262"/>
      <c r="C40" s="41" t="s">
        <v>24</v>
      </c>
      <c r="D40" s="206" t="s">
        <v>42</v>
      </c>
      <c r="E40" s="10" t="s">
        <v>19</v>
      </c>
    </row>
    <row r="41" spans="1:5" x14ac:dyDescent="0.35">
      <c r="A41" s="262"/>
      <c r="B41" s="262"/>
      <c r="C41" s="38" t="s">
        <v>594</v>
      </c>
      <c r="D41" s="206" t="s">
        <v>0</v>
      </c>
      <c r="E41" s="10" t="s">
        <v>19</v>
      </c>
    </row>
    <row r="42" spans="1:5" x14ac:dyDescent="0.35">
      <c r="A42" s="262"/>
      <c r="B42" s="262"/>
      <c r="C42" s="38" t="s">
        <v>590</v>
      </c>
      <c r="D42" s="206" t="s">
        <v>5</v>
      </c>
      <c r="E42" s="10" t="s">
        <v>19</v>
      </c>
    </row>
    <row r="43" spans="1:5" x14ac:dyDescent="0.35">
      <c r="A43" s="262"/>
      <c r="B43" s="262"/>
      <c r="C43" s="38" t="s">
        <v>607</v>
      </c>
      <c r="D43" s="203" t="s">
        <v>608</v>
      </c>
      <c r="E43" s="10" t="s">
        <v>19</v>
      </c>
    </row>
    <row r="44" spans="1:5" x14ac:dyDescent="0.35">
      <c r="A44" s="262"/>
      <c r="B44" s="262"/>
      <c r="C44" s="38" t="s">
        <v>30</v>
      </c>
      <c r="D44" s="206" t="s">
        <v>39</v>
      </c>
      <c r="E44" s="10" t="s">
        <v>19</v>
      </c>
    </row>
    <row r="45" spans="1:5" x14ac:dyDescent="0.35">
      <c r="A45" s="262"/>
      <c r="B45" s="262"/>
      <c r="C45" s="39" t="s">
        <v>595</v>
      </c>
      <c r="D45" s="206" t="s">
        <v>596</v>
      </c>
      <c r="E45" s="10" t="s">
        <v>19</v>
      </c>
    </row>
    <row r="46" spans="1:5" x14ac:dyDescent="0.35">
      <c r="A46" s="262"/>
      <c r="B46" s="262"/>
      <c r="C46" s="10" t="s">
        <v>597</v>
      </c>
      <c r="D46" s="206" t="s">
        <v>598</v>
      </c>
      <c r="E46" s="10" t="s">
        <v>19</v>
      </c>
    </row>
    <row r="47" spans="1:5" x14ac:dyDescent="0.35">
      <c r="A47" s="262"/>
      <c r="B47" s="262"/>
      <c r="C47" s="38" t="s">
        <v>33</v>
      </c>
      <c r="D47" s="206" t="s">
        <v>32</v>
      </c>
      <c r="E47" s="10" t="s">
        <v>19</v>
      </c>
    </row>
    <row r="48" spans="1:5" x14ac:dyDescent="0.35">
      <c r="A48" s="262"/>
      <c r="B48" s="262"/>
      <c r="C48" s="38" t="s">
        <v>25</v>
      </c>
      <c r="D48" s="206" t="s">
        <v>40</v>
      </c>
      <c r="E48" s="10" t="s">
        <v>19</v>
      </c>
    </row>
    <row r="49" spans="1:5" x14ac:dyDescent="0.35">
      <c r="A49" s="262"/>
      <c r="B49" s="262"/>
      <c r="C49" s="38" t="s">
        <v>599</v>
      </c>
      <c r="D49" s="206" t="s">
        <v>37</v>
      </c>
      <c r="E49" s="10" t="s">
        <v>19</v>
      </c>
    </row>
    <row r="50" spans="1:5" x14ac:dyDescent="0.35">
      <c r="A50" s="262"/>
      <c r="B50" s="262"/>
      <c r="C50" s="38" t="s">
        <v>600</v>
      </c>
      <c r="D50" s="206" t="s">
        <v>601</v>
      </c>
      <c r="E50" s="10" t="s">
        <v>19</v>
      </c>
    </row>
    <row r="51" spans="1:5" x14ac:dyDescent="0.35">
      <c r="A51" s="262"/>
      <c r="B51" s="262"/>
      <c r="C51" s="42" t="s">
        <v>27</v>
      </c>
      <c r="D51" s="206" t="s">
        <v>21</v>
      </c>
      <c r="E51" s="10" t="s">
        <v>19</v>
      </c>
    </row>
    <row r="52" spans="1:5" x14ac:dyDescent="0.35">
      <c r="A52" s="262"/>
      <c r="B52" s="262"/>
      <c r="C52" s="38" t="s">
        <v>470</v>
      </c>
      <c r="D52" s="206" t="s">
        <v>602</v>
      </c>
      <c r="E52" s="10" t="s">
        <v>19</v>
      </c>
    </row>
    <row r="53" spans="1:5" x14ac:dyDescent="0.35">
      <c r="A53" s="262"/>
      <c r="B53" s="262"/>
      <c r="C53" s="38" t="s">
        <v>31</v>
      </c>
      <c r="D53" s="206" t="s">
        <v>582</v>
      </c>
      <c r="E53" s="10" t="s">
        <v>19</v>
      </c>
    </row>
    <row r="54" spans="1:5" x14ac:dyDescent="0.35">
      <c r="A54" s="262"/>
      <c r="B54" s="262"/>
      <c r="C54" s="38" t="s">
        <v>603</v>
      </c>
      <c r="D54" s="206" t="s">
        <v>604</v>
      </c>
      <c r="E54" s="10" t="s">
        <v>19</v>
      </c>
    </row>
    <row r="55" spans="1:5" x14ac:dyDescent="0.35">
      <c r="A55" s="262"/>
      <c r="B55" s="262"/>
      <c r="C55" s="38" t="s">
        <v>36</v>
      </c>
      <c r="D55" s="206" t="s">
        <v>591</v>
      </c>
      <c r="E55" s="10" t="s">
        <v>19</v>
      </c>
    </row>
    <row r="56" spans="1:5" x14ac:dyDescent="0.35">
      <c r="A56" s="262"/>
      <c r="B56" s="262"/>
      <c r="C56" s="38" t="s">
        <v>38</v>
      </c>
      <c r="D56" s="207" t="s">
        <v>41</v>
      </c>
      <c r="E56" s="10" t="s">
        <v>19</v>
      </c>
    </row>
    <row r="57" spans="1:5" x14ac:dyDescent="0.35">
      <c r="A57" s="262"/>
      <c r="B57" s="262"/>
      <c r="C57" s="38" t="s">
        <v>605</v>
      </c>
      <c r="D57" s="206" t="s">
        <v>29</v>
      </c>
      <c r="E57" s="10" t="s">
        <v>19</v>
      </c>
    </row>
    <row r="58" spans="1:5" x14ac:dyDescent="0.35">
      <c r="A58" s="262"/>
      <c r="B58" s="262"/>
      <c r="C58" s="38" t="s">
        <v>589</v>
      </c>
      <c r="D58" s="206" t="s">
        <v>577</v>
      </c>
      <c r="E58" s="10" t="s">
        <v>19</v>
      </c>
    </row>
    <row r="59" spans="1:5" x14ac:dyDescent="0.35">
      <c r="A59" s="262"/>
      <c r="B59" s="262"/>
      <c r="C59" s="10" t="s">
        <v>565</v>
      </c>
      <c r="D59" s="206" t="s">
        <v>615</v>
      </c>
    </row>
    <row r="60" spans="1:5" x14ac:dyDescent="0.35">
      <c r="A60" s="262"/>
      <c r="B60" s="262"/>
      <c r="C60" s="39" t="s">
        <v>26</v>
      </c>
      <c r="D60" s="206" t="s">
        <v>588</v>
      </c>
    </row>
    <row r="61" spans="1:5" x14ac:dyDescent="0.35">
      <c r="A61" s="262"/>
      <c r="B61" s="262"/>
      <c r="C61" s="40" t="s">
        <v>23</v>
      </c>
      <c r="D61" s="206" t="s">
        <v>580</v>
      </c>
    </row>
    <row r="62" spans="1:5" x14ac:dyDescent="0.35">
      <c r="A62" s="262"/>
      <c r="B62" s="262"/>
      <c r="C62" s="38" t="s">
        <v>506</v>
      </c>
      <c r="D62" s="206" t="s">
        <v>606</v>
      </c>
    </row>
    <row r="63" spans="1:5" x14ac:dyDescent="0.35">
      <c r="C63" s="2"/>
      <c r="D63" s="208"/>
    </row>
    <row r="64" spans="1:5" x14ac:dyDescent="0.35">
      <c r="C64" s="2"/>
      <c r="D64" s="208"/>
    </row>
    <row r="65" spans="1:4" x14ac:dyDescent="0.35">
      <c r="A65"/>
      <c r="C65" s="2"/>
      <c r="D65" s="208"/>
    </row>
    <row r="66" spans="1:4" x14ac:dyDescent="0.35">
      <c r="C66" s="2"/>
      <c r="D66" s="208"/>
    </row>
    <row r="67" spans="1:4" x14ac:dyDescent="0.35">
      <c r="C67" s="2"/>
      <c r="D67" s="208"/>
    </row>
    <row r="68" spans="1:4" x14ac:dyDescent="0.35">
      <c r="C68" s="2"/>
      <c r="D68" s="208"/>
    </row>
    <row r="69" spans="1:4" x14ac:dyDescent="0.35">
      <c r="C69" s="2"/>
      <c r="D69" s="208"/>
    </row>
    <row r="70" spans="1:4" x14ac:dyDescent="0.35">
      <c r="C70" s="2"/>
      <c r="D70" s="208"/>
    </row>
    <row r="71" spans="1:4" x14ac:dyDescent="0.35">
      <c r="C71" s="2"/>
      <c r="D71" s="208"/>
    </row>
    <row r="72" spans="1:4" x14ac:dyDescent="0.35">
      <c r="C72" s="2"/>
      <c r="D72" s="208"/>
    </row>
    <row r="73" spans="1:4" x14ac:dyDescent="0.35">
      <c r="C73" s="2"/>
      <c r="D73" s="208"/>
    </row>
    <row r="74" spans="1:4" x14ac:dyDescent="0.35">
      <c r="C74" s="2"/>
      <c r="D74" s="208"/>
    </row>
    <row r="75" spans="1:4" x14ac:dyDescent="0.35">
      <c r="C75" s="2"/>
      <c r="D75" s="208"/>
    </row>
    <row r="76" spans="1:4" x14ac:dyDescent="0.35">
      <c r="C76" s="2"/>
      <c r="D76" s="208"/>
    </row>
    <row r="77" spans="1:4" x14ac:dyDescent="0.35">
      <c r="C77" s="2"/>
      <c r="D77" s="208"/>
    </row>
    <row r="78" spans="1:4" x14ac:dyDescent="0.35">
      <c r="C78" s="2"/>
      <c r="D78" s="208"/>
    </row>
    <row r="79" spans="1:4" x14ac:dyDescent="0.35">
      <c r="C79" s="2"/>
      <c r="D79" s="208"/>
    </row>
    <row r="80" spans="1:4" x14ac:dyDescent="0.35">
      <c r="C80" s="2"/>
      <c r="D80" s="208"/>
    </row>
    <row r="81" spans="3:4" x14ac:dyDescent="0.35">
      <c r="C81" s="2"/>
      <c r="D81" s="208"/>
    </row>
    <row r="82" spans="3:4" x14ac:dyDescent="0.35">
      <c r="C82" s="2"/>
      <c r="D82" s="208"/>
    </row>
    <row r="83" spans="3:4" x14ac:dyDescent="0.35">
      <c r="C83" s="2"/>
      <c r="D83" s="208"/>
    </row>
    <row r="84" spans="3:4" x14ac:dyDescent="0.35">
      <c r="C84" s="2"/>
      <c r="D84" s="208"/>
    </row>
    <row r="85" spans="3:4" x14ac:dyDescent="0.35">
      <c r="C85" s="2"/>
      <c r="D85" s="208"/>
    </row>
    <row r="86" spans="3:4" x14ac:dyDescent="0.35">
      <c r="C86" s="2"/>
      <c r="D86" s="208"/>
    </row>
    <row r="87" spans="3:4" x14ac:dyDescent="0.35">
      <c r="C87" s="2"/>
      <c r="D87" s="208"/>
    </row>
    <row r="143" spans="3:3" x14ac:dyDescent="0.35">
      <c r="C143"/>
    </row>
    <row r="144" spans="3:3" x14ac:dyDescent="0.35">
      <c r="C144"/>
    </row>
    <row r="145" spans="3:3" x14ac:dyDescent="0.35">
      <c r="C145"/>
    </row>
    <row r="146" spans="3:3" x14ac:dyDescent="0.35">
      <c r="C146"/>
    </row>
    <row r="147" spans="3:3" x14ac:dyDescent="0.35">
      <c r="C147"/>
    </row>
    <row r="148" spans="3:3" x14ac:dyDescent="0.35">
      <c r="C148"/>
    </row>
    <row r="149" spans="3:3" x14ac:dyDescent="0.35">
      <c r="C149"/>
    </row>
    <row r="150" spans="3:3" x14ac:dyDescent="0.35">
      <c r="C150"/>
    </row>
    <row r="151" spans="3:3" x14ac:dyDescent="0.35">
      <c r="C151"/>
    </row>
    <row r="152" spans="3:3" x14ac:dyDescent="0.35">
      <c r="C152"/>
    </row>
    <row r="153" spans="3:3" x14ac:dyDescent="0.35">
      <c r="C153"/>
    </row>
    <row r="154" spans="3:3" x14ac:dyDescent="0.35">
      <c r="C154"/>
    </row>
  </sheetData>
  <mergeCells count="19">
    <mergeCell ref="C1:D1"/>
    <mergeCell ref="B11:B12"/>
    <mergeCell ref="A13:B13"/>
    <mergeCell ref="A14:B14"/>
    <mergeCell ref="A39:B62"/>
    <mergeCell ref="B30:B33"/>
    <mergeCell ref="A2:B2"/>
    <mergeCell ref="A8:B8"/>
    <mergeCell ref="A9:A12"/>
    <mergeCell ref="A15:B16"/>
    <mergeCell ref="A23:B23"/>
    <mergeCell ref="A24:A34"/>
    <mergeCell ref="B34:B38"/>
    <mergeCell ref="E11:E12"/>
    <mergeCell ref="A3:B7"/>
    <mergeCell ref="B24:B25"/>
    <mergeCell ref="B26:B29"/>
    <mergeCell ref="A17:B21"/>
    <mergeCell ref="A22:B22"/>
  </mergeCells>
  <hyperlinks>
    <hyperlink ref="D19" r:id="rId1" display="https://doi.org/10.1016/j.apenergy.2017.05.151" xr:uid="{18C3015B-E60F-4C34-906E-66D664152807}"/>
    <hyperlink ref="D20" r:id="rId2" display="https://doi.org/10.1073/pnas.2205429119" xr:uid="{BD336F10-E1D1-4A0E-A417-851CDE418C9C}"/>
    <hyperlink ref="D15" r:id="rId3" display="https://data.europa.eu/doi/10.2760/160859" xr:uid="{01DC43DB-17AF-412C-98A5-E9649D9088A7}"/>
    <hyperlink ref="D16" r:id="rId4" display="https://doi.org/10.1016/j.ijft.2023.100340" xr:uid="{8DC9CEC6-98D5-4DC1-B00A-C61A526E1B35}"/>
    <hyperlink ref="D24" r:id="rId5" display="https://doi.org/10.1016/j.resconrec.2019.05.015" xr:uid="{58173F4C-DFAC-4707-9E99-000CA4638379}"/>
    <hyperlink ref="D30" r:id="rId6" display="https://doi.org/10.1016/j.enpol.2018.04.056" xr:uid="{2F494A7A-0F7D-4760-858F-EA24FA92B39D}"/>
    <hyperlink ref="D34" r:id="rId7" display="https://doi.org/10.1016/j.enpol.2018.04.056" xr:uid="{43397882-B76D-4D3D-AB9B-28C53765114F}"/>
    <hyperlink ref="D31" r:id="rId8" display="https://doi.org/10.1109/IEMDC.2017.8002010" xr:uid="{9CCD2417-92BA-44AA-9850-8394820C4574}"/>
    <hyperlink ref="D14" r:id="rId9" display="https://doi.org/10.5281/zenodo.7252047" xr:uid="{68FE49CE-49BF-4A8B-BD74-E150A518A39A}"/>
    <hyperlink ref="D13" r:id="rId10" display="https://doi.org/10.5281/zenodo.7252047" xr:uid="{1D8EB313-7AA3-472C-B849-1413D81C5EA8}"/>
    <hyperlink ref="D3" r:id="rId11" display="https://doi.org/10.1111/jiec.13321" xr:uid="{834A92AC-8A71-40C0-A140-723BAE9C3B19}"/>
    <hyperlink ref="D4" r:id="rId12" display="https://www.iea.org/data-and-statistics/data-tools/critical-minerals-data-explorer" xr:uid="{7F6EA47D-539F-469B-8EAC-525D9E3C83C9}"/>
    <hyperlink ref="D5" r:id="rId13" display="https://doi.org/10.1016/j.energy.2021.122434" xr:uid="{1AD0BB68-97CE-4E09-A371-2807FA173F07}"/>
    <hyperlink ref="D6" r:id="rId14" display="https://doi.org/10.1016/j.rcradv.2023.200166" xr:uid="{9076705E-480F-45E6-BD9C-0A4C1485836E}"/>
    <hyperlink ref="D2" r:id="rId15" display="https://www.iea.org/data-and-statistics/data-tools/critical-minerals-data-explorer" xr:uid="{CF093223-DB2B-43F7-B986-59F7B31E3BD2}"/>
    <hyperlink ref="D35" r:id="rId16" display="https://alternative-fuels-observatory.ec.europa.eu/policymakers-and-public-authorities/electric-vehicle-model-statistics" xr:uid="{A1E37291-7F62-41E4-9C5E-74218CA601BA}"/>
    <hyperlink ref="D37" r:id="rId17" display="https://www.adamasintel.com/ev-increase-battery-capacity-average-kwh-phev-up-27-percent/" xr:uid="{24B9F518-7751-48AE-963D-EF9B319B232C}"/>
    <hyperlink ref="D27" r:id="rId18" display="https://doi.org/10.1016/j.apenergy.2023.121400" xr:uid="{6220C7AD-5B75-4EA6-9FCD-54113B9EF704}"/>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680AB-3AD7-444B-9567-D9B5CFEB9949}">
  <sheetPr>
    <tabColor theme="0" tint="-0.14999847407452621"/>
  </sheetPr>
  <dimension ref="A1:AO89"/>
  <sheetViews>
    <sheetView workbookViewId="0">
      <selection activeCell="C13" sqref="C13"/>
    </sheetView>
  </sheetViews>
  <sheetFormatPr baseColWidth="10" defaultRowHeight="14.5" x14ac:dyDescent="0.35"/>
  <cols>
    <col min="3" max="3" width="48.1796875" bestFit="1" customWidth="1"/>
  </cols>
  <sheetData>
    <row r="1" spans="1:41" x14ac:dyDescent="0.35">
      <c r="A1" s="273" t="s">
        <v>139</v>
      </c>
      <c r="B1" s="273"/>
      <c r="C1" s="273"/>
    </row>
    <row r="2" spans="1:41" ht="15" thickBot="1" x14ac:dyDescent="0.4"/>
    <row r="3" spans="1:41" ht="15" thickBot="1" x14ac:dyDescent="0.4">
      <c r="A3" s="274" t="s">
        <v>140</v>
      </c>
      <c r="B3" s="275"/>
      <c r="C3" s="275"/>
      <c r="D3" s="275"/>
      <c r="E3" s="275"/>
      <c r="F3" s="275"/>
      <c r="G3" s="275"/>
      <c r="H3" s="275"/>
      <c r="I3" s="275"/>
      <c r="J3" s="275"/>
      <c r="K3" s="275"/>
      <c r="L3" s="275"/>
      <c r="M3" s="275"/>
      <c r="N3" s="275"/>
      <c r="O3" s="275"/>
      <c r="P3" s="276"/>
      <c r="R3" s="277" t="s">
        <v>141</v>
      </c>
      <c r="S3" s="278"/>
      <c r="T3" s="278"/>
      <c r="U3" s="278"/>
      <c r="V3" s="278"/>
      <c r="W3" s="278"/>
      <c r="X3" s="278"/>
      <c r="Y3" s="278"/>
      <c r="Z3" s="278"/>
      <c r="AA3" s="278"/>
      <c r="AB3" s="278"/>
      <c r="AC3" s="278"/>
      <c r="AD3" s="278"/>
      <c r="AE3" s="278"/>
      <c r="AF3" s="278"/>
      <c r="AG3" s="279"/>
      <c r="AI3" s="280" t="s">
        <v>142</v>
      </c>
      <c r="AJ3" s="281"/>
      <c r="AK3" s="281"/>
      <c r="AL3" s="281"/>
      <c r="AM3" s="281"/>
      <c r="AN3" s="281"/>
      <c r="AO3" s="282"/>
    </row>
    <row r="4" spans="1:41" ht="15.5" x14ac:dyDescent="0.35">
      <c r="A4" s="58" t="s">
        <v>135</v>
      </c>
      <c r="B4" s="1"/>
      <c r="C4" s="1"/>
      <c r="D4" s="1"/>
      <c r="E4" s="1"/>
      <c r="F4" s="1"/>
      <c r="G4" s="1"/>
      <c r="H4" s="1"/>
      <c r="I4" s="1"/>
      <c r="J4" s="1"/>
      <c r="K4" s="1"/>
      <c r="L4" s="1"/>
      <c r="M4" s="1"/>
      <c r="N4" s="1"/>
      <c r="O4" s="1"/>
      <c r="P4" s="61"/>
      <c r="R4" s="62" t="s">
        <v>135</v>
      </c>
      <c r="S4" s="63"/>
      <c r="T4" s="63"/>
      <c r="U4" s="63"/>
      <c r="V4" s="63"/>
      <c r="W4" s="63"/>
      <c r="X4" s="63"/>
      <c r="Y4" s="63"/>
      <c r="Z4" s="63"/>
      <c r="AA4" s="63"/>
      <c r="AB4" s="63"/>
      <c r="AC4" s="63"/>
      <c r="AD4" s="63"/>
      <c r="AE4" s="63"/>
      <c r="AF4" s="63"/>
      <c r="AG4" s="64"/>
      <c r="AI4" s="59" t="s">
        <v>136</v>
      </c>
      <c r="AJ4" s="1"/>
      <c r="AK4" s="1"/>
      <c r="AL4" s="1"/>
      <c r="AM4" s="1"/>
      <c r="AN4" s="1"/>
      <c r="AO4" s="61"/>
    </row>
    <row r="5" spans="1:41" x14ac:dyDescent="0.35">
      <c r="B5" s="1"/>
      <c r="C5" s="284" t="s">
        <v>143</v>
      </c>
      <c r="D5" s="285"/>
      <c r="E5" s="285"/>
      <c r="F5" s="286"/>
      <c r="G5" s="1"/>
      <c r="H5" s="1" t="s">
        <v>144</v>
      </c>
      <c r="I5" s="1"/>
      <c r="J5" s="1"/>
      <c r="K5" s="1"/>
      <c r="L5" s="1"/>
      <c r="M5" s="1"/>
      <c r="N5" s="1"/>
      <c r="O5" s="1"/>
      <c r="P5" s="61"/>
      <c r="R5" s="65"/>
      <c r="S5" s="1"/>
      <c r="T5" s="1"/>
      <c r="U5" s="1"/>
      <c r="V5" s="1"/>
      <c r="W5" s="1"/>
      <c r="X5" s="1"/>
      <c r="Y5" s="1"/>
      <c r="Z5" s="1"/>
      <c r="AA5" s="1"/>
      <c r="AB5" s="1"/>
      <c r="AC5" s="1"/>
      <c r="AD5" s="1"/>
      <c r="AE5" s="1"/>
      <c r="AF5" s="1"/>
      <c r="AG5" s="61"/>
      <c r="AI5" s="65"/>
      <c r="AJ5" s="1"/>
      <c r="AK5" s="1"/>
      <c r="AL5" s="1"/>
      <c r="AM5" s="1"/>
      <c r="AN5" s="1"/>
      <c r="AO5" s="61"/>
    </row>
    <row r="6" spans="1:41" x14ac:dyDescent="0.35">
      <c r="A6" s="65"/>
      <c r="B6" s="1"/>
      <c r="C6" s="66" t="s">
        <v>9</v>
      </c>
      <c r="D6" s="66" t="s">
        <v>10</v>
      </c>
      <c r="E6" s="66" t="s">
        <v>11</v>
      </c>
      <c r="F6" s="66" t="s">
        <v>145</v>
      </c>
      <c r="G6" s="1"/>
      <c r="H6" s="1"/>
      <c r="I6" s="1"/>
      <c r="J6" s="1"/>
      <c r="K6" s="1"/>
      <c r="L6" s="1"/>
      <c r="M6" s="1"/>
      <c r="N6" s="1"/>
      <c r="O6" s="1"/>
      <c r="P6" s="61"/>
      <c r="R6" s="65"/>
      <c r="T6" s="287" t="s">
        <v>146</v>
      </c>
      <c r="U6" s="287"/>
      <c r="V6" s="287"/>
      <c r="W6" s="287"/>
      <c r="X6" s="1"/>
      <c r="Y6" s="1"/>
      <c r="Z6" s="1"/>
      <c r="AA6" s="1"/>
      <c r="AB6" s="1"/>
      <c r="AC6" s="1"/>
      <c r="AD6" s="1"/>
      <c r="AE6" s="1"/>
      <c r="AF6" s="1"/>
      <c r="AG6" s="61"/>
      <c r="AI6" s="65"/>
      <c r="AJ6" s="1"/>
      <c r="AK6" s="1"/>
      <c r="AL6" s="21" t="s">
        <v>48</v>
      </c>
      <c r="AM6" s="21" t="s">
        <v>49</v>
      </c>
      <c r="AN6" s="1"/>
      <c r="AO6" s="61"/>
    </row>
    <row r="7" spans="1:41" x14ac:dyDescent="0.35">
      <c r="A7" s="65"/>
      <c r="B7" s="24">
        <v>2020</v>
      </c>
      <c r="C7" s="67">
        <v>6.0317460317460103</v>
      </c>
      <c r="D7" s="67">
        <v>18.888888888888889</v>
      </c>
      <c r="E7" s="67">
        <v>14.761904761904699</v>
      </c>
      <c r="F7" s="67">
        <v>60.317460317460402</v>
      </c>
      <c r="G7" s="1"/>
      <c r="H7" s="1"/>
      <c r="I7" s="1"/>
      <c r="J7" s="1"/>
      <c r="K7" s="1"/>
      <c r="L7" s="1"/>
      <c r="M7" s="1"/>
      <c r="N7" s="1"/>
      <c r="O7" s="1"/>
      <c r="P7" s="61"/>
      <c r="R7" s="65"/>
      <c r="S7" s="1"/>
      <c r="T7" s="25">
        <v>2020</v>
      </c>
      <c r="U7" s="288">
        <v>2050</v>
      </c>
      <c r="V7" s="288"/>
      <c r="W7" s="288"/>
      <c r="X7" s="1"/>
      <c r="Y7" s="1"/>
      <c r="Z7" s="1"/>
      <c r="AA7" s="1"/>
      <c r="AB7" s="1"/>
      <c r="AC7" s="1"/>
      <c r="AD7" s="1"/>
      <c r="AE7" s="1"/>
      <c r="AF7" s="1"/>
      <c r="AG7" s="61"/>
      <c r="AI7" s="65"/>
      <c r="AJ7" s="1"/>
      <c r="AK7" s="1"/>
      <c r="AL7" s="10">
        <v>5714</v>
      </c>
      <c r="AM7" s="10">
        <v>1802</v>
      </c>
      <c r="AN7" s="1"/>
      <c r="AO7" s="61"/>
    </row>
    <row r="8" spans="1:41" ht="43.5" x14ac:dyDescent="0.35">
      <c r="A8" s="65"/>
      <c r="B8" s="24">
        <v>2030</v>
      </c>
      <c r="C8" s="67">
        <v>2.3809523809523601</v>
      </c>
      <c r="D8" s="67">
        <v>20.63492063492064</v>
      </c>
      <c r="E8" s="67">
        <v>17.142857142857103</v>
      </c>
      <c r="F8" s="67">
        <v>59.841269841269899</v>
      </c>
      <c r="G8" s="1"/>
      <c r="H8" s="1"/>
      <c r="I8" s="1"/>
      <c r="J8" s="1"/>
      <c r="K8" s="1"/>
      <c r="L8" s="1"/>
      <c r="M8" s="1"/>
      <c r="N8" s="1"/>
      <c r="O8" s="1"/>
      <c r="P8" s="61"/>
      <c r="R8" s="65"/>
      <c r="T8" s="4" t="s">
        <v>147</v>
      </c>
      <c r="U8" s="43" t="s">
        <v>148</v>
      </c>
      <c r="V8" s="68" t="s">
        <v>149</v>
      </c>
      <c r="W8" s="43" t="s">
        <v>150</v>
      </c>
      <c r="X8" s="3"/>
      <c r="Y8" s="1"/>
      <c r="Z8" s="1"/>
      <c r="AA8" s="1"/>
      <c r="AB8" s="1"/>
      <c r="AC8" s="1"/>
      <c r="AD8" s="1"/>
      <c r="AE8" s="1"/>
      <c r="AF8" s="1"/>
      <c r="AG8" s="61"/>
      <c r="AI8" s="65"/>
      <c r="AJ8" s="1"/>
      <c r="AK8" s="11" t="s">
        <v>151</v>
      </c>
      <c r="AL8" s="46">
        <f>AL7/(AL7+AM7)</f>
        <v>0.76024481106971797</v>
      </c>
      <c r="AM8" s="46">
        <f>AM7/(AM7+AL7)</f>
        <v>0.23975518893028205</v>
      </c>
      <c r="AN8" s="1"/>
      <c r="AO8" s="61"/>
    </row>
    <row r="9" spans="1:41" x14ac:dyDescent="0.35">
      <c r="A9" s="65"/>
      <c r="B9" s="24">
        <v>2040</v>
      </c>
      <c r="C9" s="67">
        <v>1.4285714285714299</v>
      </c>
      <c r="D9" s="67">
        <v>23.492063492063469</v>
      </c>
      <c r="E9" s="67">
        <v>19.682539682539602</v>
      </c>
      <c r="F9" s="67">
        <v>55.396825396825498</v>
      </c>
      <c r="G9" s="1"/>
      <c r="H9" s="1"/>
      <c r="I9" s="1"/>
      <c r="J9" s="1"/>
      <c r="K9" s="1"/>
      <c r="L9" s="1"/>
      <c r="M9" s="1"/>
      <c r="N9" s="1"/>
      <c r="O9" s="1"/>
      <c r="P9" s="61"/>
      <c r="R9" s="65"/>
      <c r="S9" s="24" t="s">
        <v>152</v>
      </c>
      <c r="T9" s="69">
        <v>0.95399999999999996</v>
      </c>
      <c r="U9" s="34">
        <v>0.99</v>
      </c>
      <c r="V9" s="70">
        <v>0.9</v>
      </c>
      <c r="W9" s="34">
        <v>0.77</v>
      </c>
      <c r="X9" s="1"/>
      <c r="Y9" s="1"/>
      <c r="Z9" s="1"/>
      <c r="AA9" s="1"/>
      <c r="AB9" s="1"/>
      <c r="AC9" s="1"/>
      <c r="AD9" s="1"/>
      <c r="AE9" s="1"/>
      <c r="AF9" s="1"/>
      <c r="AG9" s="61"/>
      <c r="AI9" s="65"/>
      <c r="AJ9" s="1"/>
      <c r="AK9" s="1"/>
      <c r="AL9" s="1"/>
      <c r="AM9" s="1"/>
      <c r="AN9" s="1"/>
      <c r="AO9" s="61"/>
    </row>
    <row r="10" spans="1:41" x14ac:dyDescent="0.35">
      <c r="A10" s="65"/>
      <c r="B10" s="24">
        <v>2050</v>
      </c>
      <c r="C10" s="10">
        <v>0</v>
      </c>
      <c r="D10" s="10">
        <v>26.5</v>
      </c>
      <c r="E10" s="10">
        <v>23.200000000000003</v>
      </c>
      <c r="F10" s="10">
        <v>50.3</v>
      </c>
      <c r="G10" s="1"/>
      <c r="H10" s="1"/>
      <c r="I10" s="1"/>
      <c r="J10" s="1"/>
      <c r="K10" s="1"/>
      <c r="L10" s="1"/>
      <c r="M10" s="1"/>
      <c r="N10" s="1"/>
      <c r="O10" s="1"/>
      <c r="P10" s="61"/>
      <c r="R10" s="65"/>
      <c r="S10" s="24" t="s">
        <v>1</v>
      </c>
      <c r="T10" s="69">
        <v>2.4E-2</v>
      </c>
      <c r="U10" s="71">
        <v>5.0000000000000001E-3</v>
      </c>
      <c r="V10" s="72">
        <v>4.4999999999999998E-2</v>
      </c>
      <c r="W10" s="34">
        <v>0.1</v>
      </c>
      <c r="X10" s="1"/>
      <c r="Y10" s="1"/>
      <c r="Z10" s="1"/>
      <c r="AA10" s="1"/>
      <c r="AB10" s="1"/>
      <c r="AC10" s="1"/>
      <c r="AD10" s="1"/>
      <c r="AE10" s="1"/>
      <c r="AF10" s="1"/>
      <c r="AG10" s="61"/>
      <c r="AI10" s="73"/>
      <c r="AJ10" s="1"/>
      <c r="AK10" s="1"/>
      <c r="AL10" s="1"/>
      <c r="AM10" s="1"/>
      <c r="AN10" s="1"/>
      <c r="AO10" s="61"/>
    </row>
    <row r="11" spans="1:41" x14ac:dyDescent="0.35">
      <c r="A11" s="65"/>
      <c r="B11" s="1"/>
      <c r="C11" s="1"/>
      <c r="D11" s="1"/>
      <c r="E11" s="1"/>
      <c r="F11" s="1"/>
      <c r="G11" s="1"/>
      <c r="H11" s="1"/>
      <c r="I11" s="1"/>
      <c r="J11" s="1"/>
      <c r="K11" s="1"/>
      <c r="L11" s="1"/>
      <c r="M11" s="1"/>
      <c r="N11" s="1"/>
      <c r="O11" s="1"/>
      <c r="P11" s="61"/>
      <c r="R11" s="65"/>
      <c r="S11" s="24" t="s">
        <v>153</v>
      </c>
      <c r="T11" s="69">
        <v>1.9E-2</v>
      </c>
      <c r="U11" s="71">
        <v>5.0000000000000001E-3</v>
      </c>
      <c r="V11" s="72">
        <v>4.4999999999999998E-2</v>
      </c>
      <c r="W11" s="34">
        <v>0.1</v>
      </c>
      <c r="X11" s="1"/>
      <c r="Y11" s="1"/>
      <c r="Z11" s="1"/>
      <c r="AA11" s="1"/>
      <c r="AB11" s="1"/>
      <c r="AC11" s="1"/>
      <c r="AD11" s="1"/>
      <c r="AE11" s="1"/>
      <c r="AF11" s="1"/>
      <c r="AG11" s="61"/>
      <c r="AI11" s="65"/>
      <c r="AJ11" s="1"/>
      <c r="AK11" s="1"/>
      <c r="AL11" s="1"/>
      <c r="AM11" s="1"/>
      <c r="AN11" s="1"/>
      <c r="AO11" s="61"/>
    </row>
    <row r="12" spans="1:41" x14ac:dyDescent="0.35">
      <c r="A12" s="65"/>
      <c r="B12" s="1"/>
      <c r="C12" s="284" t="s">
        <v>154</v>
      </c>
      <c r="D12" s="285"/>
      <c r="E12" s="285"/>
      <c r="F12" s="286"/>
      <c r="G12" s="1"/>
      <c r="H12" s="1"/>
      <c r="I12" s="1"/>
      <c r="J12" s="1"/>
      <c r="K12" s="1"/>
      <c r="L12" s="1"/>
      <c r="M12" s="1"/>
      <c r="N12" s="1"/>
      <c r="O12" s="1"/>
      <c r="P12" s="61"/>
      <c r="R12" s="65"/>
      <c r="S12" s="24" t="s">
        <v>2</v>
      </c>
      <c r="T12" s="69">
        <v>3.0000000000000001E-3</v>
      </c>
      <c r="U12" s="46">
        <v>0</v>
      </c>
      <c r="V12" s="70">
        <v>0.01</v>
      </c>
      <c r="W12" s="34">
        <v>0.03</v>
      </c>
      <c r="X12" s="1"/>
      <c r="Y12" s="1"/>
      <c r="Z12" s="1"/>
      <c r="AA12" s="1"/>
      <c r="AB12" s="1"/>
      <c r="AC12" s="1"/>
      <c r="AD12" s="1"/>
      <c r="AE12" s="1"/>
      <c r="AF12" s="1"/>
      <c r="AG12" s="61"/>
      <c r="AI12" s="65"/>
      <c r="AJ12" s="1"/>
      <c r="AK12" s="1"/>
      <c r="AL12" s="1"/>
      <c r="AM12" s="1"/>
      <c r="AN12" s="1"/>
      <c r="AO12" s="61"/>
    </row>
    <row r="13" spans="1:41" x14ac:dyDescent="0.35">
      <c r="A13" s="65"/>
      <c r="B13" s="1"/>
      <c r="C13" s="66" t="s">
        <v>9</v>
      </c>
      <c r="D13" s="66" t="s">
        <v>10</v>
      </c>
      <c r="E13" s="66" t="s">
        <v>11</v>
      </c>
      <c r="F13" s="66" t="s">
        <v>145</v>
      </c>
      <c r="G13" s="1"/>
      <c r="H13" s="1"/>
      <c r="I13" s="1"/>
      <c r="J13" s="1"/>
      <c r="K13" s="1"/>
      <c r="L13" s="1"/>
      <c r="M13" s="1"/>
      <c r="N13" s="1"/>
      <c r="O13" s="1"/>
      <c r="P13" s="61"/>
      <c r="R13" s="65"/>
      <c r="S13" s="1"/>
      <c r="T13" s="1"/>
      <c r="U13" s="1"/>
      <c r="V13" s="1"/>
      <c r="W13" s="1"/>
      <c r="X13" s="1"/>
      <c r="Y13" s="1"/>
      <c r="Z13" s="1"/>
      <c r="AA13" s="1"/>
      <c r="AB13" s="1"/>
      <c r="AC13" s="1"/>
      <c r="AD13" s="1"/>
      <c r="AE13" s="1"/>
      <c r="AF13" s="1"/>
      <c r="AG13" s="61"/>
      <c r="AI13" s="65"/>
      <c r="AJ13" s="1"/>
      <c r="AK13" s="1"/>
      <c r="AL13" s="1"/>
      <c r="AM13" s="1"/>
      <c r="AN13" s="1"/>
      <c r="AO13" s="61"/>
    </row>
    <row r="14" spans="1:41" x14ac:dyDescent="0.35">
      <c r="A14" s="65"/>
      <c r="B14" s="24">
        <v>2020</v>
      </c>
      <c r="C14" s="67">
        <v>5.2557625903430596</v>
      </c>
      <c r="D14" s="67">
        <v>56.80467764930814</v>
      </c>
      <c r="E14" s="67">
        <v>18.195940433317105</v>
      </c>
      <c r="F14" s="67">
        <v>19.743619327031695</v>
      </c>
      <c r="G14" s="1"/>
      <c r="H14" s="1"/>
      <c r="I14" s="1"/>
      <c r="J14" s="1"/>
      <c r="K14" s="1"/>
      <c r="L14" s="1"/>
      <c r="M14" s="1"/>
      <c r="N14" s="1"/>
      <c r="O14" s="1"/>
      <c r="P14" s="61"/>
      <c r="R14" s="65"/>
      <c r="S14" s="1"/>
      <c r="T14" s="283" t="s">
        <v>115</v>
      </c>
      <c r="U14" s="283"/>
      <c r="V14" s="283"/>
      <c r="W14" s="283"/>
      <c r="X14" s="1"/>
      <c r="Y14" s="1"/>
      <c r="Z14" s="1"/>
      <c r="AA14" s="1"/>
      <c r="AB14" s="1"/>
      <c r="AC14" s="1"/>
      <c r="AD14" s="1"/>
      <c r="AE14" s="1"/>
      <c r="AF14" s="1"/>
      <c r="AG14" s="61"/>
      <c r="AI14" s="65"/>
      <c r="AJ14" s="1"/>
      <c r="AK14" s="1"/>
      <c r="AL14" s="1"/>
      <c r="AM14" s="1"/>
      <c r="AN14" s="1"/>
      <c r="AO14" s="61"/>
    </row>
    <row r="15" spans="1:41" x14ac:dyDescent="0.35">
      <c r="A15" s="65"/>
      <c r="B15" s="24">
        <v>2030</v>
      </c>
      <c r="C15" s="67">
        <v>0</v>
      </c>
      <c r="D15" s="67">
        <v>60.583634820302699</v>
      </c>
      <c r="E15" s="67">
        <v>9.9688486356856956</v>
      </c>
      <c r="F15" s="67">
        <v>29.447516544011606</v>
      </c>
      <c r="G15" s="1"/>
      <c r="H15" s="1"/>
      <c r="I15" s="1"/>
      <c r="J15" s="1"/>
      <c r="K15" s="1"/>
      <c r="L15" s="1"/>
      <c r="M15" s="1"/>
      <c r="N15" s="1"/>
      <c r="O15" s="1"/>
      <c r="P15" s="61"/>
      <c r="R15" s="65"/>
      <c r="S15" s="1"/>
      <c r="T15" s="292" t="s">
        <v>141</v>
      </c>
      <c r="U15" s="292"/>
      <c r="V15" s="292"/>
      <c r="W15" s="292"/>
      <c r="X15" s="1"/>
      <c r="Y15" s="1"/>
      <c r="Z15" s="1"/>
      <c r="AA15" s="1"/>
      <c r="AB15" s="1"/>
      <c r="AC15" s="1"/>
      <c r="AD15" s="1"/>
      <c r="AE15" s="1"/>
      <c r="AF15" s="1"/>
      <c r="AG15" s="61"/>
      <c r="AI15" s="65"/>
      <c r="AJ15" s="1"/>
      <c r="AK15" s="1"/>
      <c r="AL15" s="1"/>
      <c r="AM15" s="1"/>
      <c r="AN15" s="1"/>
      <c r="AO15" s="61"/>
    </row>
    <row r="16" spans="1:41" x14ac:dyDescent="0.35">
      <c r="A16" s="65"/>
      <c r="B16" s="24">
        <v>2040</v>
      </c>
      <c r="C16" s="67">
        <v>0</v>
      </c>
      <c r="D16" s="67">
        <v>59.422463594933298</v>
      </c>
      <c r="E16" s="67">
        <v>10.759582340967405</v>
      </c>
      <c r="F16" s="67">
        <v>29.817954064099297</v>
      </c>
      <c r="G16" s="1"/>
      <c r="H16" s="1"/>
      <c r="I16" s="1"/>
      <c r="K16" s="1"/>
      <c r="L16" s="1"/>
      <c r="M16" s="1"/>
      <c r="N16" s="1"/>
      <c r="O16" s="1"/>
      <c r="P16" s="61"/>
      <c r="R16" s="65"/>
      <c r="S16" s="10" t="s">
        <v>149</v>
      </c>
      <c r="T16" s="20" t="s">
        <v>152</v>
      </c>
      <c r="U16" s="20" t="s">
        <v>1</v>
      </c>
      <c r="V16" s="20" t="s">
        <v>153</v>
      </c>
      <c r="W16" s="20" t="s">
        <v>2</v>
      </c>
      <c r="X16" s="1"/>
      <c r="Y16" s="1"/>
      <c r="Z16" s="1"/>
      <c r="AA16" s="1"/>
      <c r="AB16" s="1"/>
      <c r="AC16" s="1"/>
      <c r="AD16" s="1"/>
      <c r="AE16" s="1"/>
      <c r="AF16" s="1"/>
      <c r="AG16" s="61"/>
      <c r="AI16" s="65"/>
      <c r="AJ16" s="1"/>
      <c r="AK16" s="1"/>
      <c r="AL16" s="1"/>
      <c r="AM16" s="1"/>
      <c r="AN16" s="1"/>
      <c r="AO16" s="61"/>
    </row>
    <row r="17" spans="1:41" x14ac:dyDescent="0.35">
      <c r="A17" s="65"/>
      <c r="B17" s="24">
        <v>2050</v>
      </c>
      <c r="C17" s="10">
        <v>0</v>
      </c>
      <c r="D17" s="10">
        <v>59</v>
      </c>
      <c r="E17" s="10">
        <v>11</v>
      </c>
      <c r="F17" s="10">
        <v>30</v>
      </c>
      <c r="G17" s="1"/>
      <c r="H17" s="1"/>
      <c r="I17" s="1"/>
      <c r="J17" s="1"/>
      <c r="K17" s="1"/>
      <c r="L17" s="1"/>
      <c r="M17" s="1"/>
      <c r="N17" s="1"/>
      <c r="O17" s="1"/>
      <c r="P17" s="61"/>
      <c r="R17" s="65"/>
      <c r="S17" s="24">
        <v>2020</v>
      </c>
      <c r="T17" s="74">
        <v>0.95399999999999996</v>
      </c>
      <c r="U17" s="74">
        <v>2.4E-2</v>
      </c>
      <c r="V17" s="74">
        <v>1.9E-2</v>
      </c>
      <c r="W17" s="74">
        <v>3.0000000000000001E-3</v>
      </c>
      <c r="X17" s="1"/>
      <c r="Y17" s="1"/>
      <c r="Z17" s="1"/>
      <c r="AA17" s="1"/>
      <c r="AB17" s="1"/>
      <c r="AC17" s="1"/>
      <c r="AD17" s="1"/>
      <c r="AE17" s="1"/>
      <c r="AF17" s="1"/>
      <c r="AG17" s="61"/>
      <c r="AI17" s="65"/>
      <c r="AJ17" s="1"/>
      <c r="AK17" s="1"/>
      <c r="AL17" s="1"/>
      <c r="AM17" s="1"/>
      <c r="AN17" s="1"/>
      <c r="AO17" s="61"/>
    </row>
    <row r="18" spans="1:41" x14ac:dyDescent="0.35">
      <c r="A18" s="65"/>
      <c r="B18" s="1"/>
      <c r="C18" s="1"/>
      <c r="D18" s="1"/>
      <c r="E18" s="1"/>
      <c r="F18" s="1"/>
      <c r="G18" s="1"/>
      <c r="H18" s="1"/>
      <c r="I18" s="1"/>
      <c r="J18" s="1"/>
      <c r="K18" s="1"/>
      <c r="L18" s="1"/>
      <c r="M18" s="1"/>
      <c r="N18" s="1"/>
      <c r="O18" s="1"/>
      <c r="P18" s="61"/>
      <c r="R18" s="65"/>
      <c r="S18" s="75">
        <v>2030</v>
      </c>
      <c r="T18" s="74">
        <f t="shared" ref="T18:W19" si="0">T17+(T20-T17)*($S$18-$S$17)/($S$20-$S$17)</f>
        <v>0.93599999999999994</v>
      </c>
      <c r="U18" s="74">
        <f t="shared" si="0"/>
        <v>3.1E-2</v>
      </c>
      <c r="V18" s="74">
        <f t="shared" si="0"/>
        <v>2.7666666666666666E-2</v>
      </c>
      <c r="W18" s="74">
        <f t="shared" si="0"/>
        <v>5.333333333333334E-3</v>
      </c>
      <c r="X18" s="1"/>
      <c r="Y18" s="1"/>
      <c r="Z18" s="1"/>
      <c r="AA18" s="1"/>
      <c r="AB18" s="1"/>
      <c r="AC18" s="1"/>
      <c r="AD18" s="1"/>
      <c r="AE18" s="1"/>
      <c r="AF18" s="1"/>
      <c r="AG18" s="61"/>
      <c r="AI18" s="65"/>
      <c r="AJ18" s="1"/>
      <c r="AK18" s="1"/>
      <c r="AL18" s="1"/>
      <c r="AM18" s="1"/>
      <c r="AN18" s="1"/>
      <c r="AO18" s="61"/>
    </row>
    <row r="19" spans="1:41" x14ac:dyDescent="0.35">
      <c r="A19" s="65"/>
      <c r="B19" s="1"/>
      <c r="C19" s="1"/>
      <c r="D19" s="1"/>
      <c r="E19" s="1"/>
      <c r="F19" s="1"/>
      <c r="G19" s="1"/>
      <c r="H19" s="1"/>
      <c r="I19" s="1"/>
      <c r="K19" s="1"/>
      <c r="L19" s="1"/>
      <c r="M19" s="1"/>
      <c r="N19" s="1"/>
      <c r="O19" s="1"/>
      <c r="P19" s="61"/>
      <c r="R19" s="65"/>
      <c r="S19" s="24">
        <v>2040</v>
      </c>
      <c r="T19" s="74">
        <f t="shared" si="0"/>
        <v>0.62399999999999989</v>
      </c>
      <c r="U19" s="74">
        <f t="shared" si="0"/>
        <v>2.0666666666666667E-2</v>
      </c>
      <c r="V19" s="74">
        <f t="shared" si="0"/>
        <v>1.8444444444444444E-2</v>
      </c>
      <c r="W19" s="74">
        <f t="shared" si="0"/>
        <v>3.5555555555555557E-3</v>
      </c>
      <c r="X19" s="1"/>
      <c r="Y19" s="1"/>
      <c r="Z19" s="1"/>
      <c r="AA19" s="1"/>
      <c r="AB19" s="1"/>
      <c r="AC19" s="1"/>
      <c r="AD19" s="1"/>
      <c r="AE19" s="1"/>
      <c r="AF19" s="1"/>
      <c r="AG19" s="61"/>
      <c r="AI19" s="65"/>
      <c r="AJ19" s="1"/>
      <c r="AK19" s="1"/>
      <c r="AM19" s="1"/>
      <c r="AN19" s="1"/>
      <c r="AO19" s="61"/>
    </row>
    <row r="20" spans="1:41" x14ac:dyDescent="0.35">
      <c r="A20" s="65"/>
      <c r="B20" s="1"/>
      <c r="C20" s="293" t="s">
        <v>156</v>
      </c>
      <c r="D20" s="293"/>
      <c r="E20" s="293"/>
      <c r="F20" s="293"/>
      <c r="G20" s="293"/>
      <c r="H20" s="293"/>
      <c r="I20" s="1"/>
      <c r="J20" s="1"/>
      <c r="K20" s="1"/>
      <c r="L20" s="1"/>
      <c r="M20" s="1"/>
      <c r="N20" s="1"/>
      <c r="O20" s="1"/>
      <c r="P20" s="61"/>
      <c r="R20" s="65"/>
      <c r="S20" s="75">
        <v>2050</v>
      </c>
      <c r="T20" s="74">
        <v>0.9</v>
      </c>
      <c r="U20" s="74">
        <v>4.4999999999999998E-2</v>
      </c>
      <c r="V20" s="74">
        <v>4.4999999999999998E-2</v>
      </c>
      <c r="W20" s="74">
        <v>0.01</v>
      </c>
      <c r="X20" s="1"/>
      <c r="Y20" s="1"/>
      <c r="Z20" s="1"/>
      <c r="AA20" s="1"/>
      <c r="AB20" s="1"/>
      <c r="AC20" s="1"/>
      <c r="AD20" s="1"/>
      <c r="AE20" s="1"/>
      <c r="AF20" s="1"/>
      <c r="AG20" s="61"/>
      <c r="AI20" s="65"/>
      <c r="AJ20" s="1"/>
      <c r="AK20" s="1"/>
      <c r="AM20" s="1"/>
      <c r="AN20" s="1"/>
      <c r="AO20" s="61"/>
    </row>
    <row r="21" spans="1:41" x14ac:dyDescent="0.35">
      <c r="A21" s="65"/>
      <c r="B21" s="1"/>
      <c r="C21" s="294" t="s">
        <v>157</v>
      </c>
      <c r="D21" s="294"/>
      <c r="E21" s="294" t="s">
        <v>158</v>
      </c>
      <c r="F21" s="294"/>
      <c r="G21" s="284" t="s">
        <v>159</v>
      </c>
      <c r="H21" s="286"/>
      <c r="I21" s="1"/>
      <c r="J21" s="1"/>
      <c r="K21" s="1"/>
      <c r="L21" s="1"/>
      <c r="M21" s="1"/>
      <c r="N21" s="1"/>
      <c r="O21" s="1"/>
      <c r="P21" s="61"/>
      <c r="R21" s="65"/>
      <c r="S21" s="1"/>
      <c r="T21" s="1"/>
      <c r="U21" s="1"/>
      <c r="V21" s="1"/>
      <c r="W21" s="1"/>
      <c r="X21" s="1"/>
      <c r="Y21" s="1"/>
      <c r="Z21" s="1"/>
      <c r="AA21" s="1"/>
      <c r="AB21" s="1"/>
      <c r="AC21" s="1"/>
      <c r="AD21" s="1"/>
      <c r="AE21" s="1"/>
      <c r="AF21" s="1"/>
      <c r="AG21" s="61"/>
      <c r="AI21" s="65"/>
      <c r="AJ21" s="1"/>
      <c r="AK21" s="1"/>
      <c r="AM21" s="1"/>
      <c r="AN21" s="1"/>
      <c r="AO21" s="61"/>
    </row>
    <row r="22" spans="1:41" x14ac:dyDescent="0.35">
      <c r="A22" s="65"/>
      <c r="B22" s="1"/>
      <c r="C22" s="16" t="s">
        <v>12</v>
      </c>
      <c r="D22" s="16" t="s">
        <v>13</v>
      </c>
      <c r="E22" s="16" t="s">
        <v>12</v>
      </c>
      <c r="F22" s="16" t="s">
        <v>13</v>
      </c>
      <c r="G22" s="16" t="s">
        <v>160</v>
      </c>
      <c r="H22" s="16" t="s">
        <v>161</v>
      </c>
      <c r="I22" s="1"/>
      <c r="J22" s="1" t="s">
        <v>155</v>
      </c>
      <c r="L22" s="1"/>
      <c r="M22" s="1"/>
      <c r="N22" s="1"/>
      <c r="O22" s="1"/>
      <c r="P22" s="61"/>
      <c r="R22" s="65"/>
      <c r="S22" s="1"/>
      <c r="T22" s="1"/>
      <c r="U22" s="1"/>
      <c r="V22" s="1"/>
      <c r="W22" s="1"/>
      <c r="X22" s="1"/>
      <c r="Y22" s="1"/>
      <c r="Z22" s="1"/>
      <c r="AA22" s="1"/>
      <c r="AB22" s="1"/>
      <c r="AC22" s="1"/>
      <c r="AD22" s="1"/>
      <c r="AE22" s="1"/>
      <c r="AF22" s="1"/>
      <c r="AG22" s="61"/>
      <c r="AI22" s="65"/>
      <c r="AJ22" s="1"/>
      <c r="AK22" s="1"/>
      <c r="AM22" s="1"/>
      <c r="AN22" s="1"/>
      <c r="AO22" s="61"/>
    </row>
    <row r="23" spans="1:41" ht="15" thickBot="1" x14ac:dyDescent="0.4">
      <c r="A23" s="65"/>
      <c r="B23" s="24">
        <v>2020</v>
      </c>
      <c r="C23" s="5">
        <v>55</v>
      </c>
      <c r="D23" s="5">
        <v>5</v>
      </c>
      <c r="E23" s="5">
        <f>55*10</f>
        <v>550</v>
      </c>
      <c r="F23" s="5">
        <f>5*10</f>
        <v>50</v>
      </c>
      <c r="G23" s="76">
        <f>E23/(E23+F23)</f>
        <v>0.91666666666666663</v>
      </c>
      <c r="H23" s="76">
        <f>F23/(E23+F23)</f>
        <v>8.3333333333333329E-2</v>
      </c>
      <c r="I23" s="1"/>
      <c r="J23" s="1"/>
      <c r="K23" s="1"/>
      <c r="L23" s="1"/>
      <c r="M23" s="1"/>
      <c r="N23" s="1"/>
      <c r="O23" s="1"/>
      <c r="P23" s="61"/>
      <c r="R23" s="77"/>
      <c r="S23" s="78"/>
      <c r="T23" s="78"/>
      <c r="U23" s="78"/>
      <c r="V23" s="78"/>
      <c r="W23" s="78"/>
      <c r="X23" s="78"/>
      <c r="Y23" s="78"/>
      <c r="Z23" s="78"/>
      <c r="AA23" s="78"/>
      <c r="AB23" s="78"/>
      <c r="AC23" s="78"/>
      <c r="AD23" s="78"/>
      <c r="AE23" s="78"/>
      <c r="AF23" s="78"/>
      <c r="AG23" s="79"/>
      <c r="AI23" s="65"/>
      <c r="AJ23" s="1"/>
      <c r="AK23" s="1"/>
      <c r="AM23" s="1"/>
      <c r="AN23" s="1"/>
      <c r="AO23" s="61"/>
    </row>
    <row r="24" spans="1:41" x14ac:dyDescent="0.35">
      <c r="A24" s="65"/>
      <c r="B24" s="24">
        <v>2030</v>
      </c>
      <c r="C24" s="5">
        <v>100</v>
      </c>
      <c r="D24" s="5">
        <v>10</v>
      </c>
      <c r="E24" s="5">
        <f>SUM(C23:C24)*10</f>
        <v>1550</v>
      </c>
      <c r="F24" s="5">
        <f>SUM(D23:D24)*10</f>
        <v>150</v>
      </c>
      <c r="G24" s="76">
        <f>E24/(E24+F24)</f>
        <v>0.91176470588235292</v>
      </c>
      <c r="H24" s="76">
        <f>F24/(E24+F24)</f>
        <v>8.8235294117647065E-2</v>
      </c>
      <c r="I24" s="1"/>
      <c r="J24" s="1"/>
      <c r="K24" s="1"/>
      <c r="L24" s="1"/>
      <c r="M24" s="1"/>
      <c r="N24" s="1"/>
      <c r="O24" s="1"/>
      <c r="P24" s="61"/>
      <c r="AI24" s="65"/>
      <c r="AJ24" s="1"/>
      <c r="AK24" s="1"/>
      <c r="AM24" s="1"/>
      <c r="AN24" s="1"/>
      <c r="AO24" s="61"/>
    </row>
    <row r="25" spans="1:41" x14ac:dyDescent="0.35">
      <c r="A25" s="65"/>
      <c r="B25" s="24">
        <v>2040</v>
      </c>
      <c r="C25" s="5">
        <v>125</v>
      </c>
      <c r="D25" s="5">
        <v>15</v>
      </c>
      <c r="E25" s="5">
        <f>SUM(C23:C25)*10</f>
        <v>2800</v>
      </c>
      <c r="F25" s="5">
        <f>SUM(D23:D25)*10</f>
        <v>300</v>
      </c>
      <c r="G25" s="76">
        <f>E25/(E25+F25)</f>
        <v>0.90322580645161288</v>
      </c>
      <c r="H25" s="76">
        <f>F25/(E25+F25)</f>
        <v>9.6774193548387094E-2</v>
      </c>
      <c r="I25" s="1"/>
      <c r="J25" s="1"/>
      <c r="K25" s="1"/>
      <c r="L25" s="1"/>
      <c r="M25" s="1"/>
      <c r="N25" s="1"/>
      <c r="O25" s="1"/>
      <c r="P25" s="61"/>
      <c r="AI25" s="65"/>
      <c r="AJ25" s="1"/>
      <c r="AK25" s="1"/>
      <c r="AM25" s="1"/>
      <c r="AN25" s="1"/>
      <c r="AO25" s="61"/>
    </row>
    <row r="26" spans="1:41" x14ac:dyDescent="0.35">
      <c r="A26" s="65"/>
      <c r="B26" s="24">
        <v>2050</v>
      </c>
      <c r="C26" s="5">
        <v>130</v>
      </c>
      <c r="D26" s="5">
        <v>20</v>
      </c>
      <c r="E26" s="5">
        <f>SUM(C23:C26)*10</f>
        <v>4100</v>
      </c>
      <c r="F26" s="5">
        <f>SUM(D23:D26)*10</f>
        <v>500</v>
      </c>
      <c r="G26" s="76">
        <f>E26/(E26+F26)</f>
        <v>0.89130434782608692</v>
      </c>
      <c r="H26" s="76">
        <f>F26/(E26+F26)</f>
        <v>0.10869565217391304</v>
      </c>
      <c r="I26" s="1"/>
      <c r="J26" s="1"/>
      <c r="K26" s="1"/>
      <c r="L26" s="1"/>
      <c r="M26" s="1"/>
      <c r="N26" s="1"/>
      <c r="O26" s="1"/>
      <c r="P26" s="61"/>
      <c r="AI26" s="65"/>
      <c r="AJ26" s="1"/>
      <c r="AK26" s="1"/>
      <c r="AL26" s="1"/>
      <c r="AM26" s="1"/>
      <c r="AN26" s="1"/>
      <c r="AO26" s="61"/>
    </row>
    <row r="27" spans="1:41" ht="15" thickBot="1" x14ac:dyDescent="0.4">
      <c r="A27" s="65"/>
      <c r="B27" s="1"/>
      <c r="C27" s="1"/>
      <c r="D27" s="1"/>
      <c r="E27" s="1"/>
      <c r="F27" s="1"/>
      <c r="G27" s="1"/>
      <c r="H27" s="1"/>
      <c r="I27" s="1"/>
      <c r="J27" s="1"/>
      <c r="K27" s="1"/>
      <c r="L27" s="1"/>
      <c r="M27" s="1"/>
      <c r="N27" s="1"/>
      <c r="O27" s="1"/>
      <c r="P27" s="61"/>
      <c r="AI27" s="77"/>
      <c r="AJ27" s="78"/>
      <c r="AK27" s="78"/>
      <c r="AL27" s="78"/>
      <c r="AM27" s="78"/>
      <c r="AN27" s="78"/>
      <c r="AO27" s="79"/>
    </row>
    <row r="28" spans="1:41" x14ac:dyDescent="0.35">
      <c r="A28" s="65"/>
      <c r="B28" s="1"/>
      <c r="C28" s="1"/>
      <c r="D28" s="1"/>
      <c r="E28" s="1"/>
      <c r="F28" s="1"/>
      <c r="G28" s="1"/>
      <c r="H28" s="1"/>
      <c r="I28" s="1"/>
      <c r="J28" s="1"/>
      <c r="K28" s="1"/>
      <c r="L28" s="1"/>
      <c r="M28" s="1"/>
      <c r="N28" s="1"/>
      <c r="O28" s="1"/>
      <c r="P28" s="61"/>
    </row>
    <row r="29" spans="1:41" x14ac:dyDescent="0.35">
      <c r="A29" s="65"/>
      <c r="B29" s="1"/>
      <c r="C29" s="1"/>
      <c r="D29" s="1"/>
      <c r="E29" s="1"/>
      <c r="F29" s="1"/>
      <c r="G29" s="1"/>
      <c r="H29" s="1"/>
      <c r="I29" s="1"/>
      <c r="J29" s="1"/>
      <c r="K29" s="1"/>
      <c r="L29" s="1"/>
      <c r="M29" s="1"/>
      <c r="N29" s="1"/>
      <c r="O29" s="1"/>
      <c r="P29" s="61"/>
    </row>
    <row r="30" spans="1:41" x14ac:dyDescent="0.35">
      <c r="A30" s="65"/>
      <c r="B30" s="1"/>
      <c r="C30" s="1"/>
      <c r="D30" s="1"/>
      <c r="E30" s="1"/>
      <c r="F30" s="1"/>
      <c r="G30" s="1"/>
      <c r="H30" s="1"/>
      <c r="I30" s="1"/>
      <c r="J30" s="1"/>
      <c r="K30" s="1"/>
      <c r="L30" s="1"/>
      <c r="M30" s="1"/>
      <c r="N30" s="1"/>
      <c r="O30" s="1"/>
      <c r="P30" s="61"/>
    </row>
    <row r="31" spans="1:41" x14ac:dyDescent="0.35">
      <c r="A31" s="65"/>
      <c r="B31" s="1"/>
      <c r="C31" s="1"/>
      <c r="D31" s="1"/>
      <c r="E31" s="1"/>
      <c r="F31" s="1"/>
      <c r="G31" s="1"/>
      <c r="H31" s="1"/>
      <c r="I31" s="1"/>
      <c r="J31" s="1"/>
      <c r="K31" s="1"/>
      <c r="L31" s="1"/>
      <c r="M31" s="1"/>
      <c r="N31" s="1"/>
      <c r="O31" s="1"/>
      <c r="P31" s="61"/>
    </row>
    <row r="32" spans="1:41" x14ac:dyDescent="0.35">
      <c r="A32" s="65"/>
      <c r="B32" s="1"/>
      <c r="C32" s="1"/>
      <c r="D32" s="1"/>
      <c r="E32" s="1"/>
      <c r="F32" s="1"/>
      <c r="G32" s="1"/>
      <c r="H32" s="1"/>
      <c r="I32" s="1"/>
      <c r="J32" s="1"/>
      <c r="K32" s="1"/>
      <c r="L32" s="1"/>
      <c r="M32" s="1"/>
      <c r="N32" s="1"/>
      <c r="O32" s="1"/>
      <c r="P32" s="61"/>
    </row>
    <row r="33" spans="1:16" x14ac:dyDescent="0.35">
      <c r="A33" s="65"/>
      <c r="B33" s="1"/>
      <c r="C33" s="1"/>
      <c r="D33" s="1"/>
      <c r="E33" s="1"/>
      <c r="F33" s="1"/>
      <c r="G33" s="1"/>
      <c r="H33" s="1"/>
      <c r="I33" s="1"/>
      <c r="J33" s="1"/>
      <c r="K33" s="1"/>
      <c r="L33" s="1"/>
      <c r="M33" s="1"/>
      <c r="N33" s="1"/>
      <c r="O33" s="1"/>
      <c r="P33" s="61"/>
    </row>
    <row r="34" spans="1:16" x14ac:dyDescent="0.35">
      <c r="A34" s="65"/>
      <c r="B34" s="1"/>
      <c r="C34" s="1"/>
      <c r="D34" s="1"/>
      <c r="E34" s="1"/>
      <c r="F34" s="1"/>
      <c r="G34" s="1"/>
      <c r="H34" s="1"/>
      <c r="I34" s="1"/>
      <c r="J34" s="1"/>
      <c r="K34" s="1"/>
      <c r="L34" s="1"/>
      <c r="M34" s="1"/>
      <c r="N34" s="1"/>
      <c r="O34" s="1"/>
      <c r="P34" s="61"/>
    </row>
    <row r="35" spans="1:16" x14ac:dyDescent="0.35">
      <c r="A35" s="65"/>
      <c r="B35" s="1"/>
      <c r="C35" s="1"/>
      <c r="D35" s="1"/>
      <c r="E35" s="1"/>
      <c r="F35" s="1"/>
      <c r="G35" s="1"/>
      <c r="H35" s="1"/>
      <c r="I35" s="1"/>
      <c r="J35" s="1"/>
      <c r="K35" s="1"/>
      <c r="L35" s="1"/>
      <c r="M35" s="1"/>
      <c r="N35" s="1"/>
      <c r="O35" s="1"/>
      <c r="P35" s="61"/>
    </row>
    <row r="36" spans="1:16" x14ac:dyDescent="0.35">
      <c r="A36" s="65"/>
      <c r="B36" s="1"/>
      <c r="C36" s="1"/>
      <c r="D36" s="1"/>
      <c r="E36" s="1"/>
      <c r="F36" s="1"/>
      <c r="G36" s="1"/>
      <c r="H36" s="1"/>
      <c r="I36" s="1"/>
      <c r="J36" s="1"/>
      <c r="K36" s="1"/>
      <c r="L36" s="1"/>
      <c r="M36" s="1"/>
      <c r="N36" s="1"/>
      <c r="O36" s="1"/>
      <c r="P36" s="61"/>
    </row>
    <row r="37" spans="1:16" x14ac:dyDescent="0.35">
      <c r="A37" s="65"/>
      <c r="B37" s="1"/>
      <c r="C37" s="1"/>
      <c r="D37" s="1"/>
      <c r="E37" s="1"/>
      <c r="F37" s="1"/>
      <c r="G37" s="1"/>
      <c r="H37" s="1"/>
      <c r="I37" s="1"/>
      <c r="J37" s="1"/>
      <c r="K37" s="1"/>
      <c r="L37" s="1"/>
      <c r="M37" s="1"/>
      <c r="N37" s="1"/>
      <c r="O37" s="1"/>
      <c r="P37" s="61"/>
    </row>
    <row r="38" spans="1:16" x14ac:dyDescent="0.35">
      <c r="A38" s="65"/>
      <c r="B38" s="1"/>
      <c r="C38" s="1"/>
      <c r="D38" s="1"/>
      <c r="E38" s="1"/>
      <c r="F38" s="1"/>
      <c r="G38" s="1"/>
      <c r="H38" s="1"/>
      <c r="I38" s="1"/>
      <c r="J38" s="1"/>
      <c r="K38" s="1"/>
      <c r="L38" s="1"/>
      <c r="M38" s="1"/>
      <c r="N38" s="1"/>
      <c r="O38" s="1"/>
      <c r="P38" s="61"/>
    </row>
    <row r="39" spans="1:16" x14ac:dyDescent="0.35">
      <c r="A39" s="65"/>
      <c r="B39" s="1"/>
      <c r="C39" s="1"/>
      <c r="D39" s="1"/>
      <c r="E39" s="1"/>
      <c r="F39" s="1"/>
      <c r="G39" s="1"/>
      <c r="H39" s="1"/>
      <c r="I39" s="1"/>
      <c r="J39" s="1"/>
      <c r="K39" s="1"/>
      <c r="L39" s="1"/>
      <c r="M39" s="1"/>
      <c r="N39" s="1"/>
      <c r="O39" s="1"/>
      <c r="P39" s="61"/>
    </row>
    <row r="40" spans="1:16" x14ac:dyDescent="0.35">
      <c r="A40" s="65"/>
      <c r="B40" s="1"/>
      <c r="C40" s="1"/>
      <c r="D40" s="1"/>
      <c r="E40" s="1"/>
      <c r="F40" s="1"/>
      <c r="G40" s="1"/>
      <c r="H40" s="1"/>
      <c r="I40" s="1"/>
      <c r="J40" s="1"/>
      <c r="K40" s="1"/>
      <c r="L40" s="1"/>
      <c r="M40" s="1"/>
      <c r="N40" s="1"/>
      <c r="O40" s="1"/>
      <c r="P40" s="61"/>
    </row>
    <row r="41" spans="1:16" x14ac:dyDescent="0.35">
      <c r="A41" s="65"/>
      <c r="B41" s="1"/>
      <c r="C41" s="1"/>
      <c r="D41" s="1"/>
      <c r="E41" s="1"/>
      <c r="F41" s="1"/>
      <c r="G41" s="1"/>
      <c r="H41" s="1"/>
      <c r="I41" s="1"/>
      <c r="J41" s="1"/>
      <c r="K41" s="1"/>
      <c r="L41" s="1"/>
      <c r="M41" s="1"/>
      <c r="N41" s="1"/>
      <c r="O41" s="1"/>
      <c r="P41" s="61"/>
    </row>
    <row r="42" spans="1:16" x14ac:dyDescent="0.35">
      <c r="A42" s="65"/>
      <c r="B42" s="1"/>
      <c r="C42" s="1"/>
      <c r="D42" s="1"/>
      <c r="E42" s="1"/>
      <c r="F42" s="1"/>
      <c r="G42" s="1"/>
      <c r="H42" s="1"/>
      <c r="I42" s="1"/>
      <c r="J42" s="1"/>
      <c r="K42" s="1"/>
      <c r="L42" s="1"/>
      <c r="M42" s="1"/>
      <c r="N42" s="1"/>
      <c r="O42" s="1"/>
      <c r="P42" s="61"/>
    </row>
    <row r="43" spans="1:16" x14ac:dyDescent="0.35">
      <c r="A43" s="65"/>
      <c r="B43" s="1"/>
      <c r="C43" s="1"/>
      <c r="D43" s="1"/>
      <c r="E43" s="1"/>
      <c r="F43" s="1"/>
      <c r="G43" s="1"/>
      <c r="H43" s="1"/>
      <c r="I43" s="1"/>
      <c r="J43" s="1"/>
      <c r="K43" s="1"/>
      <c r="L43" s="1"/>
      <c r="M43" s="1"/>
      <c r="N43" s="1"/>
      <c r="O43" s="1"/>
      <c r="P43" s="61"/>
    </row>
    <row r="44" spans="1:16" x14ac:dyDescent="0.35">
      <c r="A44" s="65"/>
      <c r="B44" s="1"/>
      <c r="C44" s="1"/>
      <c r="D44" s="1"/>
      <c r="E44" s="1"/>
      <c r="F44" s="1"/>
      <c r="G44" s="1"/>
      <c r="H44" s="1"/>
      <c r="I44" s="1"/>
      <c r="J44" s="1"/>
      <c r="K44" s="1"/>
      <c r="L44" s="1"/>
      <c r="M44" s="1"/>
      <c r="N44" s="1"/>
      <c r="O44" s="1"/>
      <c r="P44" s="61"/>
    </row>
    <row r="45" spans="1:16" ht="15" thickBot="1" x14ac:dyDescent="0.4">
      <c r="A45" s="77"/>
      <c r="B45" s="78"/>
      <c r="C45" s="78"/>
      <c r="D45" s="78"/>
      <c r="E45" s="78"/>
      <c r="F45" s="78"/>
      <c r="G45" s="78"/>
      <c r="H45" s="78"/>
      <c r="I45" s="78"/>
      <c r="J45" s="78"/>
      <c r="K45" s="78"/>
      <c r="L45" s="78"/>
      <c r="M45" s="78"/>
      <c r="N45" s="78"/>
      <c r="O45" s="78"/>
      <c r="P45" s="79"/>
    </row>
    <row r="47" spans="1:16" x14ac:dyDescent="0.35">
      <c r="B47" s="33"/>
      <c r="C47" s="33"/>
    </row>
    <row r="48" spans="1:16" x14ac:dyDescent="0.35">
      <c r="A48" s="273" t="s">
        <v>137</v>
      </c>
      <c r="B48" s="273"/>
      <c r="C48" s="273"/>
    </row>
    <row r="49" spans="1:8" x14ac:dyDescent="0.35">
      <c r="B49" s="33"/>
      <c r="C49" s="33"/>
    </row>
    <row r="50" spans="1:8" x14ac:dyDescent="0.35">
      <c r="A50" s="22" t="s">
        <v>105</v>
      </c>
      <c r="B50" s="270" t="s">
        <v>84</v>
      </c>
      <c r="C50" s="271"/>
      <c r="D50" s="271"/>
      <c r="E50" s="271"/>
      <c r="F50" s="271"/>
      <c r="G50" s="271"/>
      <c r="H50" s="272"/>
    </row>
    <row r="51" spans="1:8" x14ac:dyDescent="0.35">
      <c r="A51" s="251" t="s">
        <v>103</v>
      </c>
      <c r="B51" s="251"/>
      <c r="C51" s="48" t="s">
        <v>85</v>
      </c>
      <c r="D51" s="37" t="s">
        <v>86</v>
      </c>
      <c r="E51" s="37" t="s">
        <v>76</v>
      </c>
      <c r="F51" s="37" t="s">
        <v>87</v>
      </c>
      <c r="G51" s="37" t="s">
        <v>88</v>
      </c>
      <c r="H51" s="10" t="s">
        <v>68</v>
      </c>
    </row>
    <row r="52" spans="1:8" x14ac:dyDescent="0.35">
      <c r="A52" s="51" t="s">
        <v>89</v>
      </c>
      <c r="B52" s="52" t="s">
        <v>90</v>
      </c>
      <c r="C52" s="38">
        <v>2.25</v>
      </c>
      <c r="D52" s="10">
        <v>3.73</v>
      </c>
      <c r="E52" s="10">
        <v>0.34</v>
      </c>
      <c r="F52" s="10">
        <v>0.81</v>
      </c>
      <c r="G52" s="10">
        <v>2.36</v>
      </c>
      <c r="H52" s="10" t="s">
        <v>104</v>
      </c>
    </row>
    <row r="53" spans="1:8" x14ac:dyDescent="0.35">
      <c r="A53" s="51" t="s">
        <v>91</v>
      </c>
      <c r="B53" s="22" t="s">
        <v>92</v>
      </c>
      <c r="C53" s="38">
        <v>1.33</v>
      </c>
      <c r="D53" s="10">
        <v>2.2000000000000002</v>
      </c>
      <c r="E53" s="10">
        <v>0.24</v>
      </c>
      <c r="F53" s="10">
        <v>0.51</v>
      </c>
      <c r="G53" s="10">
        <v>1.39</v>
      </c>
      <c r="H53" s="10" t="s">
        <v>104</v>
      </c>
    </row>
    <row r="54" spans="1:8" x14ac:dyDescent="0.35">
      <c r="A54" s="49" t="s">
        <v>93</v>
      </c>
      <c r="B54" s="52" t="s">
        <v>90</v>
      </c>
      <c r="C54" s="38">
        <v>1.44</v>
      </c>
      <c r="D54" s="10">
        <v>2.12</v>
      </c>
      <c r="E54" s="10">
        <v>0.2</v>
      </c>
      <c r="F54" s="10">
        <v>0.36</v>
      </c>
      <c r="G54" s="10">
        <v>1.58</v>
      </c>
      <c r="H54" s="10" t="s">
        <v>104</v>
      </c>
    </row>
    <row r="55" spans="1:8" x14ac:dyDescent="0.35">
      <c r="A55" s="49" t="s">
        <v>93</v>
      </c>
      <c r="B55" s="22" t="s">
        <v>92</v>
      </c>
      <c r="C55" s="38">
        <v>0.77</v>
      </c>
      <c r="D55" s="10">
        <v>1.29</v>
      </c>
      <c r="E55" s="10">
        <v>0.15</v>
      </c>
      <c r="F55" s="10">
        <v>0.23</v>
      </c>
      <c r="G55" s="10">
        <v>0.85</v>
      </c>
      <c r="H55" s="10" t="s">
        <v>104</v>
      </c>
    </row>
    <row r="56" spans="1:8" x14ac:dyDescent="0.35">
      <c r="C56" s="33"/>
    </row>
    <row r="57" spans="1:8" x14ac:dyDescent="0.35">
      <c r="A57" s="251" t="s">
        <v>94</v>
      </c>
      <c r="B57" s="251"/>
      <c r="C57" s="251"/>
    </row>
    <row r="58" spans="1:8" x14ac:dyDescent="0.35">
      <c r="A58" s="10" t="s">
        <v>95</v>
      </c>
      <c r="B58" s="10">
        <f>1*10^6</f>
        <v>1000000</v>
      </c>
      <c r="C58" s="38" t="s">
        <v>96</v>
      </c>
    </row>
    <row r="59" spans="1:8" x14ac:dyDescent="0.35">
      <c r="A59" s="10" t="s">
        <v>97</v>
      </c>
      <c r="B59" s="10">
        <f>365.25*24</f>
        <v>8766</v>
      </c>
      <c r="C59" s="38" t="s">
        <v>98</v>
      </c>
    </row>
    <row r="60" spans="1:8" x14ac:dyDescent="0.35">
      <c r="A60" s="10" t="s">
        <v>107</v>
      </c>
      <c r="B60" s="10">
        <v>0.45</v>
      </c>
      <c r="C60" s="38" t="s">
        <v>108</v>
      </c>
    </row>
    <row r="61" spans="1:8" x14ac:dyDescent="0.35">
      <c r="C61" s="33"/>
    </row>
    <row r="62" spans="1:8" x14ac:dyDescent="0.35">
      <c r="A62" s="27" t="s">
        <v>106</v>
      </c>
      <c r="C62" s="33"/>
    </row>
    <row r="63" spans="1:8" x14ac:dyDescent="0.35">
      <c r="A63" s="251" t="s">
        <v>125</v>
      </c>
      <c r="B63" s="251"/>
      <c r="C63" s="48" t="s">
        <v>99</v>
      </c>
      <c r="D63" s="37" t="s">
        <v>100</v>
      </c>
      <c r="E63" s="251" t="s">
        <v>101</v>
      </c>
      <c r="F63" s="251"/>
      <c r="G63" s="37" t="s">
        <v>102</v>
      </c>
      <c r="H63" s="291" t="s">
        <v>68</v>
      </c>
    </row>
    <row r="64" spans="1:8" x14ac:dyDescent="0.35">
      <c r="A64" s="251" t="s">
        <v>124</v>
      </c>
      <c r="B64" s="251"/>
      <c r="C64" s="48" t="s">
        <v>85</v>
      </c>
      <c r="D64" s="37" t="s">
        <v>86</v>
      </c>
      <c r="E64" s="37" t="s">
        <v>76</v>
      </c>
      <c r="F64" s="37" t="s">
        <v>87</v>
      </c>
      <c r="G64" s="37" t="s">
        <v>88</v>
      </c>
      <c r="H64" s="291"/>
    </row>
    <row r="65" spans="1:8" x14ac:dyDescent="0.35">
      <c r="A65" s="51" t="s">
        <v>89</v>
      </c>
      <c r="B65" s="52" t="s">
        <v>90</v>
      </c>
      <c r="C65" s="56">
        <f t="shared" ref="C65:G68" si="1">C52*$B$58/($B$59*$B$60)</f>
        <v>570.38558065252107</v>
      </c>
      <c r="D65" s="50">
        <f t="shared" si="1"/>
        <v>945.57254037062376</v>
      </c>
      <c r="E65" s="50">
        <f t="shared" si="1"/>
        <v>86.191598854158741</v>
      </c>
      <c r="F65" s="50">
        <f t="shared" si="1"/>
        <v>205.33880903490757</v>
      </c>
      <c r="G65" s="50">
        <f t="shared" si="1"/>
        <v>598.27109792886654</v>
      </c>
      <c r="H65" s="5" t="s">
        <v>73</v>
      </c>
    </row>
    <row r="66" spans="1:8" x14ac:dyDescent="0.35">
      <c r="A66" s="51" t="s">
        <v>91</v>
      </c>
      <c r="B66" s="22" t="s">
        <v>92</v>
      </c>
      <c r="C66" s="56">
        <f t="shared" si="1"/>
        <v>337.16125434126803</v>
      </c>
      <c r="D66" s="50">
        <f t="shared" si="1"/>
        <v>557.71034552690946</v>
      </c>
      <c r="E66" s="50">
        <f t="shared" si="1"/>
        <v>60.841128602935584</v>
      </c>
      <c r="F66" s="50">
        <f t="shared" si="1"/>
        <v>129.2873982812381</v>
      </c>
      <c r="G66" s="50">
        <f t="shared" si="1"/>
        <v>352.37153649200189</v>
      </c>
      <c r="H66" s="5" t="s">
        <v>73</v>
      </c>
    </row>
    <row r="67" spans="1:8" x14ac:dyDescent="0.35">
      <c r="A67" s="49" t="s">
        <v>93</v>
      </c>
      <c r="B67" s="52" t="s">
        <v>90</v>
      </c>
      <c r="C67" s="56">
        <f t="shared" si="1"/>
        <v>365.0467716176135</v>
      </c>
      <c r="D67" s="50">
        <f t="shared" si="1"/>
        <v>537.42996932593098</v>
      </c>
      <c r="E67" s="50">
        <f t="shared" si="1"/>
        <v>50.700940502446315</v>
      </c>
      <c r="F67" s="50">
        <f t="shared" si="1"/>
        <v>91.261692904403375</v>
      </c>
      <c r="G67" s="50">
        <f t="shared" si="1"/>
        <v>400.5374299693259</v>
      </c>
      <c r="H67" s="5" t="s">
        <v>73</v>
      </c>
    </row>
    <row r="68" spans="1:8" x14ac:dyDescent="0.35">
      <c r="A68" s="49" t="s">
        <v>93</v>
      </c>
      <c r="B68" s="22" t="s">
        <v>92</v>
      </c>
      <c r="C68" s="56">
        <f t="shared" si="1"/>
        <v>195.19862093441833</v>
      </c>
      <c r="D68" s="50">
        <f t="shared" si="1"/>
        <v>327.02106624077874</v>
      </c>
      <c r="E68" s="50">
        <f t="shared" si="1"/>
        <v>38.025705376834736</v>
      </c>
      <c r="F68" s="50">
        <f t="shared" si="1"/>
        <v>58.306081577813266</v>
      </c>
      <c r="G68" s="50">
        <f t="shared" si="1"/>
        <v>215.47899713539684</v>
      </c>
      <c r="H68" s="5" t="s">
        <v>73</v>
      </c>
    </row>
    <row r="69" spans="1:8" x14ac:dyDescent="0.35">
      <c r="A69" s="60"/>
      <c r="B69" s="60"/>
      <c r="C69" s="60"/>
      <c r="D69" s="60"/>
      <c r="E69" s="60"/>
      <c r="F69" s="60"/>
      <c r="G69" s="60"/>
      <c r="H69" s="1"/>
    </row>
    <row r="70" spans="1:8" x14ac:dyDescent="0.35">
      <c r="A70" s="60"/>
      <c r="B70" s="60"/>
      <c r="C70" s="60"/>
      <c r="D70" s="60"/>
      <c r="E70" s="60"/>
      <c r="F70" s="60"/>
      <c r="G70" s="60"/>
      <c r="H70" s="1"/>
    </row>
    <row r="71" spans="1:8" x14ac:dyDescent="0.35">
      <c r="A71" s="273" t="s">
        <v>138</v>
      </c>
      <c r="B71" s="273"/>
      <c r="C71" s="273"/>
    </row>
    <row r="72" spans="1:8" x14ac:dyDescent="0.35">
      <c r="B72" s="33"/>
      <c r="C72" s="33"/>
    </row>
    <row r="73" spans="1:8" x14ac:dyDescent="0.35">
      <c r="A73" s="22" t="s">
        <v>116</v>
      </c>
      <c r="B73" s="37" t="s">
        <v>109</v>
      </c>
      <c r="C73" s="48" t="s">
        <v>110</v>
      </c>
      <c r="D73" s="36"/>
    </row>
    <row r="74" spans="1:8" x14ac:dyDescent="0.35">
      <c r="A74" s="55" t="s">
        <v>123</v>
      </c>
      <c r="B74" s="37">
        <v>2020</v>
      </c>
      <c r="C74" s="48">
        <v>2050</v>
      </c>
      <c r="D74" s="37" t="s">
        <v>68</v>
      </c>
    </row>
    <row r="75" spans="1:8" x14ac:dyDescent="0.35">
      <c r="A75" s="27" t="s">
        <v>71</v>
      </c>
      <c r="B75" s="50">
        <v>57.5</v>
      </c>
      <c r="C75" s="56">
        <v>63.7</v>
      </c>
      <c r="D75" s="10" t="s">
        <v>111</v>
      </c>
    </row>
    <row r="76" spans="1:8" x14ac:dyDescent="0.35">
      <c r="A76" s="27" t="s">
        <v>112</v>
      </c>
      <c r="B76" s="50">
        <v>57.5</v>
      </c>
      <c r="C76" s="56">
        <v>312.7</v>
      </c>
      <c r="D76" s="10" t="s">
        <v>111</v>
      </c>
    </row>
    <row r="77" spans="1:8" x14ac:dyDescent="0.35">
      <c r="A77" s="27" t="s">
        <v>72</v>
      </c>
      <c r="B77" s="50">
        <v>57.5</v>
      </c>
      <c r="C77" s="56">
        <v>1191.5</v>
      </c>
      <c r="D77" s="10" t="s">
        <v>111</v>
      </c>
    </row>
    <row r="78" spans="1:8" x14ac:dyDescent="0.35">
      <c r="C78" s="33"/>
    </row>
    <row r="79" spans="1:8" x14ac:dyDescent="0.35">
      <c r="A79" s="251" t="s">
        <v>94</v>
      </c>
      <c r="B79" s="251"/>
      <c r="C79" s="251"/>
    </row>
    <row r="80" spans="1:8" x14ac:dyDescent="0.35">
      <c r="A80" s="10" t="s">
        <v>97</v>
      </c>
      <c r="B80" s="10">
        <f>365.25*24*3600</f>
        <v>31557600</v>
      </c>
      <c r="C80" s="38" t="s">
        <v>113</v>
      </c>
    </row>
    <row r="81" spans="1:6" x14ac:dyDescent="0.35">
      <c r="A81" s="10" t="s">
        <v>114</v>
      </c>
      <c r="B81" s="53">
        <f>10^9</f>
        <v>1000000000</v>
      </c>
      <c r="C81" s="38" t="s">
        <v>73</v>
      </c>
    </row>
    <row r="82" spans="1:6" x14ac:dyDescent="0.35">
      <c r="A82" s="10" t="s">
        <v>107</v>
      </c>
      <c r="B82" s="10">
        <v>0.8</v>
      </c>
      <c r="C82" s="38" t="s">
        <v>108</v>
      </c>
    </row>
    <row r="83" spans="1:6" x14ac:dyDescent="0.35">
      <c r="C83" s="33"/>
    </row>
    <row r="84" spans="1:6" x14ac:dyDescent="0.35">
      <c r="A84" s="289" t="s">
        <v>117</v>
      </c>
      <c r="B84" s="37" t="s">
        <v>109</v>
      </c>
      <c r="C84" s="48" t="s">
        <v>115</v>
      </c>
      <c r="D84" s="37" t="s">
        <v>115</v>
      </c>
      <c r="E84" s="37" t="s">
        <v>110</v>
      </c>
      <c r="F84" s="36"/>
    </row>
    <row r="85" spans="1:6" x14ac:dyDescent="0.35">
      <c r="A85" s="290"/>
      <c r="B85" s="37">
        <v>2020</v>
      </c>
      <c r="C85" s="48">
        <v>2030</v>
      </c>
      <c r="D85" s="37">
        <v>2040</v>
      </c>
      <c r="E85" s="37">
        <v>2050</v>
      </c>
      <c r="F85" s="37" t="s">
        <v>68</v>
      </c>
    </row>
    <row r="86" spans="1:6" x14ac:dyDescent="0.35">
      <c r="A86" s="27" t="s">
        <v>71</v>
      </c>
      <c r="B86" s="7">
        <f>B75*$B$81/($B$80*$B$82)</f>
        <v>2277.5813116333306</v>
      </c>
      <c r="C86" s="57">
        <f t="shared" ref="C86:D88" si="2">$B86+($E86-$B86)/($E$85-$B$85)*(C$85-$B$85)</f>
        <v>2359.4422051529054</v>
      </c>
      <c r="D86" s="54">
        <f t="shared" si="2"/>
        <v>2441.3030986724802</v>
      </c>
      <c r="E86" s="7">
        <f>C75*$B$81/($B$80*$B$82)</f>
        <v>2523.163992192055</v>
      </c>
      <c r="F86" s="10" t="s">
        <v>73</v>
      </c>
    </row>
    <row r="87" spans="1:6" x14ac:dyDescent="0.35">
      <c r="A87" s="27" t="s">
        <v>112</v>
      </c>
      <c r="B87" s="7">
        <f>B76*$B$81/($B$80*$B$82)</f>
        <v>2277.5813116333306</v>
      </c>
      <c r="C87" s="57">
        <f t="shared" si="2"/>
        <v>5647.0813158584097</v>
      </c>
      <c r="D87" s="54">
        <f t="shared" si="2"/>
        <v>9016.5813200834891</v>
      </c>
      <c r="E87" s="7">
        <f>C76*$B$81/($B$80*$B$82)</f>
        <v>12386.081324308567</v>
      </c>
      <c r="F87" s="10" t="s">
        <v>73</v>
      </c>
    </row>
    <row r="88" spans="1:6" x14ac:dyDescent="0.35">
      <c r="A88" s="27" t="s">
        <v>72</v>
      </c>
      <c r="B88" s="7">
        <f>B77*$B$81/($B$80*$B$82)</f>
        <v>2277.5813116333306</v>
      </c>
      <c r="C88" s="57">
        <f t="shared" si="2"/>
        <v>17250.202803762008</v>
      </c>
      <c r="D88" s="54">
        <f t="shared" si="2"/>
        <v>32222.824295890685</v>
      </c>
      <c r="E88" s="7">
        <f>C77*$B$81/($B$80*$B$82)</f>
        <v>47195.445788019366</v>
      </c>
      <c r="F88" s="10" t="s">
        <v>73</v>
      </c>
    </row>
    <row r="89" spans="1:6" x14ac:dyDescent="0.35">
      <c r="C89" s="33"/>
    </row>
  </sheetData>
  <mergeCells count="25">
    <mergeCell ref="T15:W15"/>
    <mergeCell ref="C20:H20"/>
    <mergeCell ref="C21:D21"/>
    <mergeCell ref="E21:F21"/>
    <mergeCell ref="G21:H21"/>
    <mergeCell ref="A84:A85"/>
    <mergeCell ref="A79:C79"/>
    <mergeCell ref="E63:F63"/>
    <mergeCell ref="H63:H64"/>
    <mergeCell ref="A64:B64"/>
    <mergeCell ref="A71:C71"/>
    <mergeCell ref="A63:B63"/>
    <mergeCell ref="R3:AG3"/>
    <mergeCell ref="AI3:AO3"/>
    <mergeCell ref="T14:W14"/>
    <mergeCell ref="C5:F5"/>
    <mergeCell ref="T6:W6"/>
    <mergeCell ref="U7:W7"/>
    <mergeCell ref="C12:F12"/>
    <mergeCell ref="A51:B51"/>
    <mergeCell ref="A57:C57"/>
    <mergeCell ref="B50:H50"/>
    <mergeCell ref="A48:C48"/>
    <mergeCell ref="A1:C1"/>
    <mergeCell ref="A3:P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453076-9B79-4D6D-A9FC-A029FA594436}">
  <sheetPr>
    <tabColor theme="0" tint="-0.14999847407452621"/>
  </sheetPr>
  <dimension ref="A1:AY32"/>
  <sheetViews>
    <sheetView tabSelected="1" workbookViewId="0">
      <selection activeCell="B9" sqref="B9"/>
    </sheetView>
  </sheetViews>
  <sheetFormatPr baseColWidth="10" defaultRowHeight="14.5" x14ac:dyDescent="0.35"/>
  <cols>
    <col min="1" max="1" width="30.08984375" customWidth="1"/>
    <col min="2" max="2" width="30.90625" bestFit="1" customWidth="1"/>
  </cols>
  <sheetData>
    <row r="1" spans="1:51" x14ac:dyDescent="0.35">
      <c r="A1" s="49" t="s">
        <v>285</v>
      </c>
      <c r="B1" s="119" t="s">
        <v>286</v>
      </c>
      <c r="C1" s="119" t="s">
        <v>246</v>
      </c>
      <c r="D1" s="110" t="s">
        <v>287</v>
      </c>
      <c r="E1" s="116" t="s">
        <v>68</v>
      </c>
    </row>
    <row r="2" spans="1:51" x14ac:dyDescent="0.35">
      <c r="A2" s="98" t="s">
        <v>259</v>
      </c>
      <c r="B2" s="10">
        <f>0.6*B6+0.4*C6</f>
        <v>1.4</v>
      </c>
      <c r="C2" s="10">
        <f>0.6*D6+0.4*E6</f>
        <v>7</v>
      </c>
      <c r="D2" s="10">
        <f>0.6*F6+0.4*G6</f>
        <v>28</v>
      </c>
      <c r="E2" s="10" t="s">
        <v>260</v>
      </c>
    </row>
    <row r="3" spans="1:51" x14ac:dyDescent="0.35">
      <c r="A3" s="98" t="s">
        <v>261</v>
      </c>
      <c r="B3" s="10">
        <f>0.6*B7+0.4*C7</f>
        <v>50</v>
      </c>
      <c r="C3" s="10">
        <f>0.6*D7+0.4*E7</f>
        <v>68</v>
      </c>
      <c r="D3" s="10">
        <f>0.6*F7+0.4*G7</f>
        <v>72</v>
      </c>
      <c r="E3" s="10" t="s">
        <v>262</v>
      </c>
    </row>
    <row r="5" spans="1:51" x14ac:dyDescent="0.35">
      <c r="A5" s="30" t="s">
        <v>288</v>
      </c>
      <c r="B5" s="93" t="s">
        <v>289</v>
      </c>
      <c r="C5" s="93" t="s">
        <v>290</v>
      </c>
      <c r="D5" s="98" t="s">
        <v>291</v>
      </c>
      <c r="E5" s="98" t="s">
        <v>292</v>
      </c>
      <c r="F5" s="98" t="s">
        <v>293</v>
      </c>
      <c r="G5" s="98" t="s">
        <v>294</v>
      </c>
      <c r="H5" s="98" t="s">
        <v>4</v>
      </c>
    </row>
    <row r="6" spans="1:51" x14ac:dyDescent="0.35">
      <c r="A6" s="24" t="s">
        <v>295</v>
      </c>
      <c r="B6" s="10">
        <v>1</v>
      </c>
      <c r="C6" s="10">
        <v>2</v>
      </c>
      <c r="D6" s="10">
        <v>5</v>
      </c>
      <c r="E6" s="10">
        <v>10</v>
      </c>
      <c r="F6" s="10">
        <v>20</v>
      </c>
      <c r="G6" s="10">
        <v>40</v>
      </c>
      <c r="H6" s="10" t="s">
        <v>257</v>
      </c>
    </row>
    <row r="7" spans="1:51" x14ac:dyDescent="0.35">
      <c r="A7" s="24" t="s">
        <v>296</v>
      </c>
      <c r="B7" s="10">
        <v>50</v>
      </c>
      <c r="C7" s="10">
        <v>50</v>
      </c>
      <c r="D7" s="10">
        <v>60</v>
      </c>
      <c r="E7" s="10">
        <v>80</v>
      </c>
      <c r="F7" s="10">
        <v>60</v>
      </c>
      <c r="G7" s="10">
        <v>90</v>
      </c>
      <c r="H7" s="10" t="s">
        <v>257</v>
      </c>
    </row>
    <row r="9" spans="1:51" x14ac:dyDescent="0.35">
      <c r="A9" s="27" t="s">
        <v>242</v>
      </c>
      <c r="B9" s="10" t="s">
        <v>297</v>
      </c>
    </row>
    <row r="10" spans="1:51" x14ac:dyDescent="0.35">
      <c r="A10" s="27" t="s">
        <v>246</v>
      </c>
      <c r="B10" s="10" t="s">
        <v>298</v>
      </c>
    </row>
    <row r="11" spans="1:51" x14ac:dyDescent="0.35">
      <c r="A11" s="27" t="s">
        <v>245</v>
      </c>
      <c r="B11" s="10" t="s">
        <v>299</v>
      </c>
    </row>
    <row r="13" spans="1:51" x14ac:dyDescent="0.35">
      <c r="A13" s="23" t="s">
        <v>300</v>
      </c>
    </row>
    <row r="14" spans="1:51" x14ac:dyDescent="0.35">
      <c r="A14" s="98" t="s">
        <v>301</v>
      </c>
      <c r="B14" s="98" t="s">
        <v>237</v>
      </c>
      <c r="C14" s="98" t="s">
        <v>302</v>
      </c>
      <c r="D14" s="98" t="s">
        <v>303</v>
      </c>
      <c r="E14" s="98" t="s">
        <v>68</v>
      </c>
      <c r="F14" s="98">
        <v>2005</v>
      </c>
      <c r="G14" s="98">
        <v>2006</v>
      </c>
      <c r="H14" s="98">
        <v>2007</v>
      </c>
      <c r="I14" s="98">
        <v>2008</v>
      </c>
      <c r="J14" s="98">
        <v>2009</v>
      </c>
      <c r="K14" s="98">
        <v>2010</v>
      </c>
      <c r="L14" s="98">
        <v>2011</v>
      </c>
      <c r="M14" s="98">
        <v>2012</v>
      </c>
      <c r="N14" s="98">
        <v>2013</v>
      </c>
      <c r="O14" s="98">
        <v>2014</v>
      </c>
      <c r="P14" s="98">
        <v>2015</v>
      </c>
      <c r="Q14" s="98">
        <v>2016</v>
      </c>
      <c r="R14" s="98">
        <v>2017</v>
      </c>
      <c r="S14" s="98">
        <v>2018</v>
      </c>
      <c r="T14" s="98">
        <v>2019</v>
      </c>
      <c r="U14" s="98">
        <v>2020</v>
      </c>
      <c r="V14" s="98">
        <v>2021</v>
      </c>
      <c r="W14" s="98">
        <v>2022</v>
      </c>
      <c r="X14" s="98">
        <v>2023</v>
      </c>
      <c r="Y14" s="98">
        <v>2024</v>
      </c>
      <c r="Z14" s="98">
        <v>2025</v>
      </c>
      <c r="AA14" s="98">
        <v>2026</v>
      </c>
      <c r="AB14" s="98">
        <v>2027</v>
      </c>
      <c r="AC14" s="98">
        <v>2028</v>
      </c>
      <c r="AD14" s="98">
        <v>2029</v>
      </c>
      <c r="AE14" s="98">
        <v>2030</v>
      </c>
      <c r="AF14" s="98">
        <v>2031</v>
      </c>
      <c r="AG14" s="98">
        <v>2032</v>
      </c>
      <c r="AH14" s="98">
        <v>2033</v>
      </c>
      <c r="AI14" s="98">
        <v>2034</v>
      </c>
      <c r="AJ14" s="98">
        <v>2035</v>
      </c>
      <c r="AK14" s="98">
        <v>2036</v>
      </c>
      <c r="AL14" s="98">
        <v>2037</v>
      </c>
      <c r="AM14" s="98">
        <v>2038</v>
      </c>
      <c r="AN14" s="98">
        <v>2039</v>
      </c>
      <c r="AO14" s="98">
        <v>2040</v>
      </c>
      <c r="AP14" s="98">
        <v>2041</v>
      </c>
      <c r="AQ14" s="98">
        <v>2042</v>
      </c>
      <c r="AR14" s="98">
        <v>2043</v>
      </c>
      <c r="AS14" s="98">
        <v>2044</v>
      </c>
      <c r="AT14" s="98">
        <v>2045</v>
      </c>
      <c r="AU14" s="98">
        <v>2046</v>
      </c>
      <c r="AV14" s="98">
        <v>2047</v>
      </c>
      <c r="AW14" s="98">
        <v>2048</v>
      </c>
      <c r="AX14" s="98">
        <v>2049</v>
      </c>
      <c r="AY14" s="98">
        <v>2050</v>
      </c>
    </row>
    <row r="15" spans="1:51" x14ac:dyDescent="0.35">
      <c r="A15" t="s">
        <v>304</v>
      </c>
      <c r="B15" t="s">
        <v>305</v>
      </c>
      <c r="C15" t="s">
        <v>306</v>
      </c>
      <c r="D15" t="s">
        <v>307</v>
      </c>
      <c r="E15" t="s">
        <v>308</v>
      </c>
      <c r="F15">
        <v>39914.491900000001</v>
      </c>
      <c r="K15">
        <v>43785.036699999997</v>
      </c>
      <c r="P15">
        <v>46884.5959</v>
      </c>
      <c r="U15">
        <v>51337.2382</v>
      </c>
      <c r="Z15">
        <v>59515.356500000002</v>
      </c>
      <c r="AE15">
        <v>73003.300199999998</v>
      </c>
      <c r="AJ15">
        <v>84012.202799999999</v>
      </c>
      <c r="AO15">
        <v>91426.465500000006</v>
      </c>
      <c r="AT15">
        <v>100344.8713</v>
      </c>
      <c r="AY15">
        <v>110682.05899999999</v>
      </c>
    </row>
    <row r="16" spans="1:51" x14ac:dyDescent="0.35">
      <c r="A16" t="s">
        <v>304</v>
      </c>
      <c r="B16" t="s">
        <v>305</v>
      </c>
      <c r="C16" t="s">
        <v>306</v>
      </c>
      <c r="D16" t="s">
        <v>309</v>
      </c>
      <c r="E16" t="s">
        <v>308</v>
      </c>
      <c r="F16">
        <v>24136.1787</v>
      </c>
      <c r="K16">
        <v>26661.305499999999</v>
      </c>
      <c r="P16">
        <v>27810.6842</v>
      </c>
      <c r="U16">
        <v>31447.561799999999</v>
      </c>
      <c r="Z16">
        <v>36505.367599999998</v>
      </c>
      <c r="AE16">
        <v>46237.063699999999</v>
      </c>
      <c r="AJ16">
        <v>54687.749400000001</v>
      </c>
      <c r="AO16">
        <v>60731.479200000002</v>
      </c>
      <c r="AT16">
        <v>68938.679900000003</v>
      </c>
      <c r="AY16">
        <v>78922.704500000007</v>
      </c>
    </row>
    <row r="17" spans="1:51" x14ac:dyDescent="0.35">
      <c r="A17" t="s">
        <v>304</v>
      </c>
      <c r="B17" t="s">
        <v>305</v>
      </c>
      <c r="C17" t="s">
        <v>306</v>
      </c>
      <c r="D17" t="s">
        <v>310</v>
      </c>
      <c r="E17" t="s">
        <v>69</v>
      </c>
      <c r="F17">
        <f>F16/F15</f>
        <v>0.60469713006668635</v>
      </c>
      <c r="K17">
        <f>K16/K15</f>
        <v>0.60891362687838058</v>
      </c>
      <c r="P17">
        <f>P16/P15</f>
        <v>0.59317316628509109</v>
      </c>
      <c r="U17">
        <f>U16/U15</f>
        <v>0.61256824290949097</v>
      </c>
      <c r="Z17">
        <f>Z16/Z15</f>
        <v>0.61337728187850138</v>
      </c>
      <c r="AE17">
        <f>AE16/AE15</f>
        <v>0.63335580135868985</v>
      </c>
      <c r="AJ17">
        <f>AJ16/AJ15</f>
        <v>0.65095007126750404</v>
      </c>
      <c r="AO17">
        <f>AO16/AO15</f>
        <v>0.6642658541798272</v>
      </c>
      <c r="AT17">
        <f>AT16/AT15</f>
        <v>0.6870174729099483</v>
      </c>
      <c r="AY17">
        <f>AY16/AY15</f>
        <v>0.71305779105536893</v>
      </c>
    </row>
    <row r="18" spans="1:51" x14ac:dyDescent="0.35">
      <c r="A18" t="s">
        <v>311</v>
      </c>
      <c r="B18" t="s">
        <v>312</v>
      </c>
      <c r="C18" t="s">
        <v>306</v>
      </c>
      <c r="D18" t="s">
        <v>307</v>
      </c>
      <c r="E18" t="s">
        <v>308</v>
      </c>
      <c r="F18">
        <v>51473.258972167903</v>
      </c>
      <c r="K18">
        <v>56279.270172119097</v>
      </c>
      <c r="P18">
        <v>65308.456420898401</v>
      </c>
      <c r="U18">
        <v>63914.951324462803</v>
      </c>
      <c r="Z18">
        <v>81484.382629394502</v>
      </c>
      <c r="AE18">
        <v>91010.4217529296</v>
      </c>
      <c r="AJ18">
        <v>100818.199157714</v>
      </c>
      <c r="AO18">
        <v>110853.996276855</v>
      </c>
      <c r="AT18">
        <v>118385.803222656</v>
      </c>
      <c r="AY18">
        <v>124868.698120117</v>
      </c>
    </row>
    <row r="19" spans="1:51" x14ac:dyDescent="0.35">
      <c r="A19" t="s">
        <v>311</v>
      </c>
      <c r="B19" t="s">
        <v>312</v>
      </c>
      <c r="C19" t="s">
        <v>306</v>
      </c>
      <c r="D19" t="s">
        <v>309</v>
      </c>
      <c r="E19" t="s">
        <v>308</v>
      </c>
      <c r="F19">
        <v>19512.8898620605</v>
      </c>
      <c r="K19">
        <v>21572.650909423799</v>
      </c>
      <c r="P19">
        <v>25042.949676513599</v>
      </c>
      <c r="U19">
        <v>23892.919540405201</v>
      </c>
      <c r="Z19">
        <v>32900.459289550701</v>
      </c>
      <c r="AE19">
        <v>37478.5194396972</v>
      </c>
      <c r="AJ19">
        <v>42126.979827880801</v>
      </c>
      <c r="AO19">
        <v>46925.529479980403</v>
      </c>
      <c r="AT19">
        <v>49884.189605712803</v>
      </c>
      <c r="AY19">
        <v>51429.931640625</v>
      </c>
    </row>
    <row r="20" spans="1:51" x14ac:dyDescent="0.35">
      <c r="A20" t="s">
        <v>313</v>
      </c>
      <c r="B20" t="s">
        <v>312</v>
      </c>
      <c r="C20" t="s">
        <v>306</v>
      </c>
      <c r="D20" t="s">
        <v>310</v>
      </c>
      <c r="E20" t="s">
        <v>69</v>
      </c>
      <c r="F20">
        <f>F19/F18</f>
        <v>0.37908790412146454</v>
      </c>
      <c r="K20">
        <f>K19/K18</f>
        <v>0.38331433302969425</v>
      </c>
      <c r="P20">
        <f>P19/P18</f>
        <v>0.38345646259218541</v>
      </c>
      <c r="U20">
        <f>U19/U18</f>
        <v>0.37382363664979318</v>
      </c>
      <c r="Z20">
        <f>Z19/Z18</f>
        <v>0.40376398799249491</v>
      </c>
      <c r="AE20">
        <f>AE19/AE18</f>
        <v>0.41180470014128656</v>
      </c>
      <c r="AJ20">
        <f>AJ19/AJ18</f>
        <v>0.41785094536334516</v>
      </c>
      <c r="AO20">
        <f>AO19/AO18</f>
        <v>0.42330931726435106</v>
      </c>
      <c r="AT20">
        <f>AT19/AT18</f>
        <v>0.42136969339045083</v>
      </c>
      <c r="AY20">
        <f>AY19/AY18</f>
        <v>0.41187208976225698</v>
      </c>
    </row>
    <row r="23" spans="1:51" x14ac:dyDescent="0.35">
      <c r="B23" s="120"/>
    </row>
    <row r="24" spans="1:51" x14ac:dyDescent="0.35">
      <c r="B24" s="121"/>
    </row>
    <row r="25" spans="1:51" x14ac:dyDescent="0.35">
      <c r="B25" s="121"/>
    </row>
    <row r="32" spans="1:51" ht="11.5" customHeight="1"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19</vt:i4>
      </vt:variant>
    </vt:vector>
  </HeadingPairs>
  <TitlesOfParts>
    <vt:vector size="19" baseType="lpstr">
      <vt:lpstr>Table of content</vt:lpstr>
      <vt:lpstr>Demand_Grid_Storage</vt:lpstr>
      <vt:lpstr>Demand_RoE_Litt</vt:lpstr>
      <vt:lpstr>Met_Inten_Reduc_RoE</vt:lpstr>
      <vt:lpstr>MS_Battery_Motor_LDV</vt:lpstr>
      <vt:lpstr>MS_Vehicle</vt:lpstr>
      <vt:lpstr>Vehicle_Stock</vt:lpstr>
      <vt:lpstr>MS_Energy_Disag</vt:lpstr>
      <vt:lpstr>MS_Energy_Ag</vt:lpstr>
      <vt:lpstr>CF_Litt</vt:lpstr>
      <vt:lpstr>Biomass_Hydro_Avail</vt:lpstr>
      <vt:lpstr>MI_EV</vt:lpstr>
      <vt:lpstr>MI_Energy</vt:lpstr>
      <vt:lpstr>Legend</vt:lpstr>
      <vt:lpstr>MI</vt:lpstr>
      <vt:lpstr>Battery_Capacity</vt:lpstr>
      <vt:lpstr>Ref&amp;Hp</vt:lpstr>
      <vt:lpstr>Power_Source_calcul</vt:lpstr>
      <vt:lpstr>EV_Calcul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Pénélope Bieuville</dc:creator>
  <cp:lastModifiedBy>Marin Pellan</cp:lastModifiedBy>
  <dcterms:created xsi:type="dcterms:W3CDTF">2015-06-05T18:17:20Z</dcterms:created>
  <dcterms:modified xsi:type="dcterms:W3CDTF">2025-11-03T22:37:55Z</dcterms:modified>
</cp:coreProperties>
</file>