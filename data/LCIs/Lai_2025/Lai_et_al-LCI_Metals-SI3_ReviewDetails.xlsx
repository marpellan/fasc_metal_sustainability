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polymtlca-my.sharepoint.com/personal/marin_pellan_polymtl_ca/Documents/POST_DOC/CODE/fasc_metal_sustainability/data/LCIs/Lai_2025/"/>
    </mc:Choice>
  </mc:AlternateContent>
  <xr:revisionPtr revIDLastSave="40" documentId="8_{20B12EF3-9BDB-4EA5-AFD8-EB67068EA577}" xr6:coauthVersionLast="47" xr6:coauthVersionMax="47" xr10:uidLastSave="{A6A897F2-F1AA-497C-BF5A-44EBE3CAB401}"/>
  <bookViews>
    <workbookView xWindow="-120" yWindow="-120" windowWidth="29040" windowHeight="15720" tabRatio="901" activeTab="3" xr2:uid="{00000000-000D-0000-FFFF-FFFF00000000}"/>
  </bookViews>
  <sheets>
    <sheet name="Note" sheetId="24" r:id="rId1"/>
    <sheet name="References_FullList" sheetId="18" r:id="rId2"/>
    <sheet name="LCI_Review&amp;Analysis_Overview" sheetId="16" r:id="rId3"/>
    <sheet name="LCI_Review&amp;Analysis_Details" sheetId="17" r:id="rId4"/>
    <sheet name="LCI&amp;Companionality_Overview" sheetId="22" r:id="rId5"/>
    <sheet name="LCI&amp;Companionality_Details" sheetId="23" r:id="rId6"/>
  </sheets>
  <definedNames>
    <definedName name="_xlnm._FilterDatabase" localSheetId="5" hidden="1">'LCI&amp;Companionality_Details'!$B$2:$K$2</definedName>
    <definedName name="_xlnm._FilterDatabase" localSheetId="3" hidden="1">'LCI_Review&amp;Analysis_Details'!$B$2:$H$540</definedName>
    <definedName name="_xlnm._FilterDatabase" localSheetId="2" hidden="1">'LCI_Review&amp;Analysis_Overview'!$B$2:$G$45</definedName>
    <definedName name="_xlnm._FilterDatabase" localSheetId="1" hidden="1">References_FullList!$B$2:$F$431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6" i="16" l="1"/>
  <c r="BN64" i="22"/>
  <c r="BN63" i="22"/>
  <c r="BN62" i="22"/>
  <c r="BN61" i="22"/>
  <c r="BN60" i="22"/>
  <c r="BN59" i="22"/>
  <c r="BN58" i="22"/>
  <c r="BN57" i="22"/>
  <c r="BN56" i="22"/>
  <c r="BN55" i="22"/>
  <c r="BN54" i="22"/>
  <c r="BN53" i="22"/>
  <c r="BN52" i="22"/>
  <c r="BN51" i="22"/>
  <c r="BN50" i="22"/>
  <c r="BN49" i="22"/>
  <c r="BN48" i="22"/>
  <c r="BN47" i="22"/>
  <c r="BN46" i="22"/>
  <c r="BN45" i="22"/>
  <c r="BN44" i="22"/>
  <c r="BN43" i="22"/>
  <c r="BN42" i="22"/>
  <c r="BN41" i="22"/>
  <c r="BN40" i="22"/>
  <c r="BN39" i="22"/>
  <c r="BN38" i="22"/>
  <c r="BN37" i="22"/>
  <c r="BN36" i="22"/>
  <c r="BN35" i="22"/>
  <c r="BN34" i="22"/>
  <c r="BN33" i="22"/>
  <c r="BN32" i="22"/>
  <c r="BN31" i="22"/>
  <c r="BN30" i="22"/>
  <c r="BN29" i="22"/>
  <c r="BN28" i="22"/>
  <c r="BN27" i="22"/>
  <c r="BN26" i="22"/>
  <c r="BN25" i="22"/>
  <c r="BN24" i="22"/>
  <c r="BN23" i="22"/>
  <c r="BN22" i="22"/>
  <c r="BN21" i="22"/>
  <c r="BN20" i="22"/>
  <c r="BN19" i="22"/>
  <c r="BN18" i="22"/>
  <c r="BN17" i="22"/>
  <c r="BN16" i="22"/>
  <c r="BN15" i="22"/>
  <c r="BN14" i="22"/>
  <c r="BN13" i="22"/>
  <c r="BN12" i="22"/>
  <c r="BN11" i="22"/>
  <c r="BN10" i="22"/>
  <c r="BN9" i="22"/>
  <c r="BN8" i="22"/>
  <c r="BN7" i="22"/>
  <c r="BN6" i="22"/>
  <c r="BN5" i="22"/>
  <c r="BN4" i="22"/>
  <c r="BN3" i="22"/>
  <c r="H36" i="16"/>
  <c r="F36" i="16"/>
  <c r="E36" i="16"/>
  <c r="D36" i="16"/>
  <c r="E29" i="16"/>
  <c r="D29" i="16"/>
  <c r="H28" i="16"/>
</calcChain>
</file>

<file path=xl/sharedStrings.xml><?xml version="1.0" encoding="utf-8"?>
<sst xmlns="http://schemas.openxmlformats.org/spreadsheetml/2006/main" count="5836" uniqueCount="1526">
  <si>
    <t>Element number</t>
  </si>
  <si>
    <t>Authors, year</t>
  </si>
  <si>
    <t>Title</t>
  </si>
  <si>
    <t>doi / link</t>
  </si>
  <si>
    <t>Li</t>
  </si>
  <si>
    <t>Schenker et al., 2022</t>
  </si>
  <si>
    <t>Regionalized life cycle assessment of present and future lithium production for Li-ion batteries</t>
  </si>
  <si>
    <t>https://doi.org/10.1016/j.resconrec.2022.106611</t>
  </si>
  <si>
    <t>Kelly et al., 2021</t>
  </si>
  <si>
    <t>Energy, greenhouse gas, and water life cycle analysis of lithium carbonate and lithium hydroxide monohydrate from brine and ore resources and their use in lithium ion battery cathodes and lithium ion batteries</t>
  </si>
  <si>
    <t>https://doi.org/10.1016/j.resconrec.2021.105762</t>
  </si>
  <si>
    <t>Jiang et al., 2020</t>
  </si>
  <si>
    <t>Environmental impacts of lithium production showing the importance of primary data of upstream process in life-cycle assessment</t>
  </si>
  <si>
    <t>https://doi.org/10.1016/j.jenvman.2020.110253</t>
  </si>
  <si>
    <t>Notter et al., 2010</t>
  </si>
  <si>
    <t>Contribution of Li-Ion Batteries to the Environmental Impact of Electric Vehicles</t>
  </si>
  <si>
    <t xml:space="preserve">https://doi.org/10.1021/es1029156 </t>
  </si>
  <si>
    <t>Stamp et al., 2012</t>
  </si>
  <si>
    <t>Environmental impacts of a transition toward e-mobility: the present and future role of lithium carbonate production</t>
  </si>
  <si>
    <t xml:space="preserve">https://doi.org/10.1016/j.jclepro.2011.10.026 </t>
  </si>
  <si>
    <t>Grant et al., 2020</t>
  </si>
  <si>
    <t>The CO2 impact of the 2020s' battery quality lithium hydroxide supply chain</t>
  </si>
  <si>
    <t xml:space="preserve">https://www.jadecove.com/research/liohco2impact </t>
  </si>
  <si>
    <t>Khakmardan et al., 2023</t>
  </si>
  <si>
    <t>Comparative life cycle assessment of lithium mining, extraction, and refining technologies: a global perspective</t>
  </si>
  <si>
    <t xml:space="preserve">https://doi.org/10.1016/j.procir.2023.02.102 </t>
  </si>
  <si>
    <t>Rolinck et al., 2023</t>
  </si>
  <si>
    <t>Completeness evaluation of LCI datasets for the environmental assessment of lithium compound production scenarios</t>
  </si>
  <si>
    <t xml:space="preserve">https://doi.org/10.1016/j.procir.2023.02.122 </t>
  </si>
  <si>
    <t>Chordia et al., 2022</t>
  </si>
  <si>
    <t>Life cycle environmental impacts of current and future battery-grade lithium supply from brine and spodumene</t>
  </si>
  <si>
    <t xml:space="preserve">https://doi.org/10.1016/j.resconrec.2022.106634 </t>
  </si>
  <si>
    <t>Guzman et al., 2022</t>
  </si>
  <si>
    <t>On the source of metals and the environmental sustainability of battery electric vehicles versus internal combustion engine vehicles: The lithium production case study</t>
  </si>
  <si>
    <t xml:space="preserve">https://doi.org/10.1016/j.jclepro.2022.133588  </t>
  </si>
  <si>
    <t>Di Maria et al., 2022</t>
  </si>
  <si>
    <t>Environmental assessment of an innovative lithium production process</t>
  </si>
  <si>
    <t>https://doi.org/10.1016/j.procir.2022.02.112</t>
  </si>
  <si>
    <t>Ambrose et al., 2020</t>
  </si>
  <si>
    <t>Understanding the future of lithium: Part 2, temporally and spatially resolved life-cycle assessment modeling</t>
  </si>
  <si>
    <t xml:space="preserve">https://doi.org/10.1111/jiec.12942 </t>
  </si>
  <si>
    <t>Manjong et al., 2021</t>
  </si>
  <si>
    <t>Life cycle modelling of extraction and processing of battery minerals</t>
  </si>
  <si>
    <t>https://doi.org/10.3390/batteries7030057</t>
  </si>
  <si>
    <t>Mas-Fons et al., 2024</t>
  </si>
  <si>
    <t>Carbon and water footprint of battery-grade lithium from brine and spodumene: A simulation-based LCA</t>
  </si>
  <si>
    <t>https://doi.org/10.1016/j.jclepro.2024.142108</t>
  </si>
  <si>
    <t>Mousavinezhad et al., 2024</t>
  </si>
  <si>
    <t>Environmental impact assessment of direct lithium extraction from brine resources: Global warming potential, land use, water consumption, and charting sustainable scenarios</t>
  </si>
  <si>
    <t>https://doi.org/10.1016/j.resconrec.2024.107583</t>
  </si>
  <si>
    <t>Be</t>
  </si>
  <si>
    <t>Nuss and Eckelman, 2014</t>
  </si>
  <si>
    <t>Life Cycle Assessment of Metals: A Scientific Synthesis</t>
  </si>
  <si>
    <t>https://doi.org/10.1371/journal.pone.0101298</t>
  </si>
  <si>
    <t>B</t>
  </si>
  <si>
    <t>Türkbay et al., 2022</t>
  </si>
  <si>
    <t>Life Cycle Assessment of Boron Industry from Mining to Refined Products</t>
  </si>
  <si>
    <t>https://doi.org/10.3390/su14031787</t>
  </si>
  <si>
    <t>Wu et al., 2021</t>
  </si>
  <si>
    <t>Life cycle assessment on boron production: is boric acid extraction from salt-lake brine environmentally friendly?</t>
  </si>
  <si>
    <t>https://doi.org/10.1007/s10098-021-02092-1</t>
  </si>
  <si>
    <t>An and Xue, 2014</t>
  </si>
  <si>
    <t>Life cycle environmental impact assessment of borax and boric acid production in China</t>
  </si>
  <si>
    <t>https://doi.org/10.1016/j.jclepro.2013.10.020</t>
  </si>
  <si>
    <t>Mohamed and Bicer, 2021</t>
  </si>
  <si>
    <t>Coupling of a novel boron-based thermochemical cycle with chemical looping combustion to produce ammonia and power</t>
  </si>
  <si>
    <t>https://doi.org/10.1016/j.ijhydene.2020.11.182</t>
  </si>
  <si>
    <t>Azapagic and Clift, 1999</t>
  </si>
  <si>
    <t>The application of life cycle assessment to process optimisation</t>
  </si>
  <si>
    <t>https://doi.org/10.1016/S0098-1354(99)00308-7</t>
  </si>
  <si>
    <t>Turkbay et al., 2022</t>
  </si>
  <si>
    <t>Prior knowledge of the data on the production capacity of boron facilities in Turkey</t>
  </si>
  <si>
    <t>https://doi.org/10.1016/j.clet.2022.100539</t>
  </si>
  <si>
    <t>Surovtseva et al., 2022</t>
  </si>
  <si>
    <t>Toward a Life Cycle Inventory for Graphite Production</t>
  </si>
  <si>
    <t>https://doi.org/10.1111/jiec.13234</t>
  </si>
  <si>
    <t>Engels et al., 2022</t>
  </si>
  <si>
    <t>Life Cycle Assessment of Natural Graphite Production for Lithium-Ion Battery Anodes Based on Industrial Primary Data</t>
  </si>
  <si>
    <t xml:space="preserve">https://doi.org/10.1016/j.jclepro.2022.130474 </t>
  </si>
  <si>
    <t>Iyer et al., 2022</t>
  </si>
  <si>
    <t>Updated Production Inventory for Lithium-Ion Battery Anodes for the GREET® Model, and Review of Advanced Battery Chemistries</t>
  </si>
  <si>
    <t>https://doi.org/10.2172/1891640</t>
  </si>
  <si>
    <t>Life Cycle Modelling of Extraction and Processing of Battery Minerals—A Parametric Approach</t>
  </si>
  <si>
    <t>Yin et al., 2019</t>
  </si>
  <si>
    <t>Life Cycle Inventories of the Commonly Used Materials for Lithium-Ion Batteries in China</t>
  </si>
  <si>
    <t>https://doi.org/10.1016/j.jclepro.2019.04.186</t>
  </si>
  <si>
    <t>Zhang et al., 2018</t>
  </si>
  <si>
    <t>Environment Impact Analysis of Natural Graphite Anode Material Production</t>
  </si>
  <si>
    <t xml:space="preserve">https://doi.org/10.4028/www.scientific.net/MSF.913.1011 </t>
  </si>
  <si>
    <t>Gao et al., 2018a</t>
  </si>
  <si>
    <t>Energy Consumption and Carbon Emission Analysis of Natural Graphite Anode Material for Lithium Batteries</t>
  </si>
  <si>
    <t xml:space="preserve">https://doi.org/10.4028/www.scientific.net/MSF.913.985 </t>
  </si>
  <si>
    <t>Dunn et al., 2015</t>
  </si>
  <si>
    <t>Material and energy flows in the production of cathode and anode materials for Lithium Ion Battery</t>
  </si>
  <si>
    <t>https://doi.org/10.2172/1224963</t>
  </si>
  <si>
    <t>Pehnt et al., 2001</t>
  </si>
  <si>
    <t>Life-cycle assessment of fuel cell stacks</t>
  </si>
  <si>
    <t xml:space="preserve">https://doi.org/10.1016/S0360-3199(00)00053-7 </t>
  </si>
  <si>
    <t>Carrère et al., 2024</t>
  </si>
  <si>
    <t>Carbon footprint assessment of manufacturing of synthetic graphite battery anode material for electric mobility applications</t>
  </si>
  <si>
    <t>https://doi.org/10.1016/j.est.2024.112356</t>
  </si>
  <si>
    <t>Mg</t>
  </si>
  <si>
    <t>Ehrenberger, 2020</t>
  </si>
  <si>
    <t>Carbon Footprint of Magnesium Production and its Use in Transport Applications</t>
  </si>
  <si>
    <t>http://dx.doi.org/10.13140/RG.2.2.32386.50883</t>
  </si>
  <si>
    <t>Luong et al., 2018</t>
  </si>
  <si>
    <t>A comparison of carbon footprints of magnesium oxide and magnesium hydroxide produced from conventional processes</t>
  </si>
  <si>
    <t>https://doi.org/10.1016/j.jclepro.2018.08.225</t>
  </si>
  <si>
    <t>Cherubini et al., 2008</t>
  </si>
  <si>
    <t>LCA of magnesium production: Technological overview and worldwide estimation of environmental burdens</t>
  </si>
  <si>
    <t>https://doi.org/10.1016/j.resconrec.2008.05.001</t>
  </si>
  <si>
    <t>Friedrich and Ehrenberger, 2014</t>
  </si>
  <si>
    <t>The IMA Study on the Life Cycle Assessment (LCA) of Magnesium</t>
  </si>
  <si>
    <t>https://doi.org/10.1007/978-3-319-48231-6_4</t>
  </si>
  <si>
    <t>Ehrenberger, 2013</t>
  </si>
  <si>
    <t>LCA of magnesium components in vehicle construction</t>
  </si>
  <si>
    <t>NA</t>
  </si>
  <si>
    <t>Gao et al., 2009</t>
  </si>
  <si>
    <t>Life cycle assessment of primary magnesium production using the Pidgeon process in China</t>
  </si>
  <si>
    <t>https://doi.org/10.1007/s11367-009-0101-9</t>
  </si>
  <si>
    <t>Jarosinski et al., 2020</t>
  </si>
  <si>
    <t>New production route of magnesium hydroxide and related environmental impact</t>
  </si>
  <si>
    <t>https://doi.org/10.3390/su12218822</t>
  </si>
  <si>
    <t>Kwon et al., 2015</t>
  </si>
  <si>
    <t>Industrial ecology-based strategies to reduce the embodied CO2 of magnesium metal</t>
  </si>
  <si>
    <t>https://doi.org/10.1016/j.resconrec.2015.08.008</t>
  </si>
  <si>
    <t>Du et al., 2010</t>
  </si>
  <si>
    <t>Life cycle greenhouse gases, energy and cost assessment of automobiles using magnesium from Chinese Pidgeon process</t>
  </si>
  <si>
    <t>https://doi.org/10.1016/j.jclepro.2009.08.013</t>
  </si>
  <si>
    <t>Hakamada et al., 2007</t>
  </si>
  <si>
    <t>Life cycle inventory study on magnesium alloy substitution in vehicles</t>
  </si>
  <si>
    <t>https://doi.org/10.1016/j.energy.2006.10.020</t>
  </si>
  <si>
    <t>Li et al., 2015</t>
  </si>
  <si>
    <t>Comparative life cycle assessment of conventional and new fused magnesia production</t>
  </si>
  <si>
    <t>https://doi.org/10.1016/j.jclepro.2014.12.043</t>
  </si>
  <si>
    <t>Al</t>
  </si>
  <si>
    <t>Norgate and Haque, 2010</t>
  </si>
  <si>
    <t>Energy and greenhouse gas impacts of mining and mineral processing operations</t>
  </si>
  <si>
    <t>https://doi.org/10.1016/j.jclepro.2009.09.020</t>
  </si>
  <si>
    <t>Zhang et al., 2016</t>
  </si>
  <si>
    <t>Environmental footprint of aluminum production in China</t>
  </si>
  <si>
    <t>https://doi.org/10.1016/j.jclepro.2016.04.137</t>
  </si>
  <si>
    <t>Farjana et al., 2019</t>
  </si>
  <si>
    <t>Impacts of aluminum production: A cradle to gate investigation using life-cycle assessment</t>
  </si>
  <si>
    <t>https://doi.org/10.1016/j.scitotenv.2019.01.400</t>
  </si>
  <si>
    <t>Ding et al., 2021</t>
  </si>
  <si>
    <t>Life cycle greenhouse gas emissions of aluminum based on regional industrial transfer in China</t>
  </si>
  <si>
    <t>https://doi.org/10.1111/jiec.13146</t>
  </si>
  <si>
    <t>Al Hawari et al., 2014</t>
  </si>
  <si>
    <t>A Life Cycle Assessment (LCA) of Aluminum Production Process</t>
  </si>
  <si>
    <t>scholar.waset.org/1999.8/9997980</t>
  </si>
  <si>
    <t>Sáez-Guinoa et al., 2024</t>
  </si>
  <si>
    <t>The effects of energy consumption of alumina production in the environmental impacts using life cycle assessment</t>
  </si>
  <si>
    <t>https://doi.org/10.1007/s11367-023-02257-8</t>
  </si>
  <si>
    <t>Buxmann et al., 2016</t>
  </si>
  <si>
    <t>Water scarcity footprint of primary aluminium</t>
  </si>
  <si>
    <t>https://doi.org/10.1007/s11367-015-0997-1</t>
  </si>
  <si>
    <t>Durucan et al., 2006</t>
  </si>
  <si>
    <t>Mining life cycle modelling: a cradle-to-gate approach to environmental management in the minerals industry</t>
  </si>
  <si>
    <t>https://doi.org/10.1016/j.jclepro.2004.12.021</t>
  </si>
  <si>
    <t>Milovanoff et al., 2021</t>
  </si>
  <si>
    <t>Quantifying environmental impacts of primary aluminum ingot production and consumption: A trade-linked multilevel life cycle assessment</t>
  </si>
  <si>
    <t>https://doi.org/10.1111/jiec.13051</t>
  </si>
  <si>
    <t>Nunez and Jones, 2016</t>
  </si>
  <si>
    <t>Cradle to gate: life cycle impact of primary aluminium production</t>
  </si>
  <si>
    <t>https://doi.org/10.1007/s11367-015-1003-7</t>
  </si>
  <si>
    <t>Norgate et al., 2007</t>
  </si>
  <si>
    <t>Assessing the environmental impact of metal production processes</t>
  </si>
  <si>
    <t>https://doi.org/10.1016/j.jclepro.2006.06.018</t>
  </si>
  <si>
    <t>Zhang et al., 2023a</t>
  </si>
  <si>
    <t>Life cycle assessment of aluminum-silicon alloy production from secondary aluminum in China</t>
  </si>
  <si>
    <t>https://doi.org/10.1016/j.jclepro.2023.136214</t>
  </si>
  <si>
    <t>Ciacci et al., 2014</t>
  </si>
  <si>
    <t>Historical evolution of greenhouse gas emissions from aluminum production at a country level</t>
  </si>
  <si>
    <t>https://doi.org/10.1016/j.jclepro.2014.03.062</t>
  </si>
  <si>
    <t>Guo et al., 2019</t>
  </si>
  <si>
    <t>Carbon reduction potential based on life cycle assessment of China’s aluminium industry-a perspective at the province level</t>
  </si>
  <si>
    <t>https://doi.org/10.1016/j.jclepro.2019.118004</t>
  </si>
  <si>
    <t>Liu and Müller, 2012</t>
  </si>
  <si>
    <t>Addressing sustainability in the aluminum industry: a critical review of life cycle assessments</t>
  </si>
  <si>
    <t>https://doi.org/10.1016/j.jclepro.2012.05.030</t>
  </si>
  <si>
    <t>Paraskevas et al., 2016</t>
  </si>
  <si>
    <t>Environmental Impact Analysis of Primary Aluminium Production at Country Level</t>
  </si>
  <si>
    <t>https://doi.org/10.1016/j.procir.2016.01.104</t>
  </si>
  <si>
    <t>Peng et al., 2019</t>
  </si>
  <si>
    <t>Life-cycle analysis of energy consumption and GHG emissions of aluminium production in China</t>
  </si>
  <si>
    <t>https://doi.org/10.1016/j.egypro.2019.01.849</t>
  </si>
  <si>
    <t>Tan and Khoo, 2006</t>
  </si>
  <si>
    <t>An LCA study of a primary aluminum supply chain</t>
  </si>
  <si>
    <t>https://doi.org/10.1016/j.jclepro.2003.12.022</t>
  </si>
  <si>
    <t>Yang et al., 2019</t>
  </si>
  <si>
    <t>Environmental impact assessment of China's primary aluminum based on life cycle assessment</t>
  </si>
  <si>
    <t>https://doi.org/10.1016/S1003-6326(19)65086-7</t>
  </si>
  <si>
    <t>International Aluminium Association, 2022</t>
  </si>
  <si>
    <t>Life cycle inventory data and environmental metrics for the primary aluminium industry</t>
  </si>
  <si>
    <t>https://international-aluminium.org/resource/2019-life-cycle-inventory-lci-data-and-environmental-metrics/</t>
  </si>
  <si>
    <t>The Aluminum Association, 2022</t>
  </si>
  <si>
    <t>The Environmental Footprint of Semi-Fabricated Aluminum Products in North America</t>
  </si>
  <si>
    <t>https://www.aluminum.org/sites/default/files/2022-01/2022_Semi-Fab_LCA_Report.pdf</t>
  </si>
  <si>
    <t>The Aluminum Association, 2013</t>
  </si>
  <si>
    <t>The Environmental Footprint of Semi-Finished Aluminum Products in North America</t>
  </si>
  <si>
    <t>https://legacy-assets.eenews.net/open_files/assets/2014/01/11/document_cw_01.pdf</t>
  </si>
  <si>
    <t>European Aluminium, 2018</t>
  </si>
  <si>
    <t>Environmental profile report - Life-Cycle inventory data for aluminium production and transformation processes in Europe</t>
  </si>
  <si>
    <t>https://european-aluminium.eu/wp-content/uploads/2023/01/European-Aluminium_Environmental-Profile-Report-2018_full-version.pdf</t>
  </si>
  <si>
    <t>Zhang et al., 2022b</t>
  </si>
  <si>
    <t>Life cycle assessment of pollutants and emission reduction strategies based on the energy structure of the nonferrous metal industry in China</t>
  </si>
  <si>
    <t>https://doi.org/10.1016/j.energy.2022.125148</t>
  </si>
  <si>
    <t xml:space="preserve">Dong et al., 2022 </t>
  </si>
  <si>
    <t>Assessing China’s potential for reducing primary copper demand and associated environmental impacts in the context of energy transition and “Zero waste” policies</t>
  </si>
  <si>
    <t>https://doi.org/10.1016/j.wasman.2022.04.006</t>
  </si>
  <si>
    <t xml:space="preserve">Bigum et al., 2012 </t>
  </si>
  <si>
    <t>Metal recovery from high-grade WEEE: A life cycle assessment</t>
  </si>
  <si>
    <t>https://doi.org/10.1016/j.jhazmat.2011.10.001</t>
  </si>
  <si>
    <t>Fan et al., 2020</t>
  </si>
  <si>
    <t>Life Cycle Assessment of Crystalline Silicon Wafers for Photovoltaic Power Generation</t>
  </si>
  <si>
    <t>https://doi.org/10.1007/s12633-020-00670-4</t>
  </si>
  <si>
    <t>Fu et al., 2014</t>
  </si>
  <si>
    <t>Life-cycle assessment of multi-crystalline photovoltaic (PV) systems in China</t>
  </si>
  <si>
    <t>https://doi.org/10.1016/j.jclepro.2014.07.057</t>
  </si>
  <si>
    <t>Heidari and Anctil, 2022</t>
  </si>
  <si>
    <t>Country-specific carbon footprint and cumulative energy demand of metallurgical grade silicon production for silicon photovoltaics</t>
  </si>
  <si>
    <t>https://doi.org/10.1016/j.resconrec.2022.106171</t>
  </si>
  <si>
    <t>Huang et al., 2017</t>
  </si>
  <si>
    <t>Environmental influence assessment of China’s multi-crystalline silicon (multi-Si) photovoltaic modules considering recycling process</t>
  </si>
  <si>
    <t>https://doi.org/10.1016/j.solener.2016.12.038</t>
  </si>
  <si>
    <t>Frishknecht et al., 2015</t>
  </si>
  <si>
    <t xml:space="preserve">Life Cycle Inventories and Life Cycle Assessment of Photovoltaic systems </t>
  </si>
  <si>
    <t>https://iea-pvps.org/wp-content/uploads/2020/01/IEA-PVPS_Task_12_LCI_LCA.pdf</t>
  </si>
  <si>
    <t>Frishknecht et al., 2020</t>
  </si>
  <si>
    <t>https://iea-pvps.org/wp-content/uploads/2020/12/IEA-PVPS-LCI-report-2020.pdf</t>
  </si>
  <si>
    <t>Jungbluth et al., 2012</t>
  </si>
  <si>
    <t>Life Cycle Inventories of Photovoltaics</t>
  </si>
  <si>
    <t>Ma et al., 2019</t>
  </si>
  <si>
    <t>Assessment and Study on the Impact on Environment by Multi-crystalline Silicon Preparation by Metallurgical Route</t>
  </si>
  <si>
    <t>https://doi.org/10.1007/s12633-018-9937-6</t>
  </si>
  <si>
    <t>Méndez et al., 2021</t>
  </si>
  <si>
    <t>Upgraded metallurgical grade silicon and polysilicon for solar electricity production: A comparative life cycle assessment</t>
  </si>
  <si>
    <t>https://doi.org/10.1016/j.scitotenv.2021.147969</t>
  </si>
  <si>
    <t>Yang et al., 2015</t>
  </si>
  <si>
    <t>Life-cycle assessment of China's multi-crystalline silicon photovoltaic modules considering international trade</t>
  </si>
  <si>
    <t>https://doi.org/10.1016/j.jclepro.2015.02.003</t>
  </si>
  <si>
    <t>Ye, 2008</t>
  </si>
  <si>
    <t>Life cycle assessment of industrial silicon production process</t>
  </si>
  <si>
    <t>He, 2013</t>
  </si>
  <si>
    <t>Life cycle assessment of solar grade polysilicon</t>
  </si>
  <si>
    <t>Ye et al., 2007</t>
  </si>
  <si>
    <t>LCA study of metallurgical silicon process</t>
  </si>
  <si>
    <t>Wu et al., 2010</t>
  </si>
  <si>
    <t>Analysis of energy consumption and directions and measures of conservation energy in metallurgical silicon production</t>
  </si>
  <si>
    <t>Ti</t>
  </si>
  <si>
    <t>Gao et al., 2018b</t>
  </si>
  <si>
    <t>Environmental impacts analysis of titanium sponge production using Kroll process in China</t>
  </si>
  <si>
    <t>https://doi.org/10.1016/j.jclepro.2017.09.240</t>
  </si>
  <si>
    <t>Liao et al., 2012</t>
  </si>
  <si>
    <t>Thermodynamic resource indicators in LCA: a case study on the titania produced in Panzhihua city, southwest China</t>
  </si>
  <si>
    <t>https://doi.org/10.1007/s11367-012-0429-4</t>
  </si>
  <si>
    <t>Middlemas et al., 2015</t>
  </si>
  <si>
    <t>Life cycle assessment comparison of emerging and traditional Titanium dioxide manufacturing processes</t>
  </si>
  <si>
    <t>https://doi.org/10.1016/j.jclepro.2014.11.019</t>
  </si>
  <si>
    <t>Landi et al., 2023</t>
  </si>
  <si>
    <t>LCA of titanium powder: empirical evidence vs data from patents, possible future applications</t>
  </si>
  <si>
    <t>https://doi.org/10.1016/j.procir.2023.02.054</t>
  </si>
  <si>
    <t>Dai et al., 2024</t>
  </si>
  <si>
    <t>Life cycle environmental impact assessment of titanium dioxide production in China</t>
  </si>
  <si>
    <t>https://doi.org/10.1016/j.eiar.2023.107412</t>
  </si>
  <si>
    <t>Wu et al., 2019</t>
  </si>
  <si>
    <t>Life Cycle Impact of Titanium Dioxide Nanoparticle Synthesis through Physical, Chemical, and Biological Routes</t>
  </si>
  <si>
    <t>https://pubs.acs.org/doi/10.1021/acs.est.8b06800</t>
  </si>
  <si>
    <t>Farjana et al., 2018</t>
  </si>
  <si>
    <t>Towards sustainable TiO2 production: An investigation of environmental impacts of ilmenite and rutile processing routes in Australia</t>
  </si>
  <si>
    <t>https://doi.org/10.1016/j.jclepro.2018.06.156</t>
  </si>
  <si>
    <t>Grubb and Bakshi, 2011</t>
  </si>
  <si>
    <t>Life Cycle of Titanium Dioxide Nanoparticle Production</t>
  </si>
  <si>
    <t>https://doi.org/10.1111/j.1530-9290.2010.00292.x</t>
  </si>
  <si>
    <t>Chen et al., 2015</t>
  </si>
  <si>
    <t>Life cycle assessment of the comprehensive utilisation of vanadium titano-magnetite</t>
  </si>
  <si>
    <t>https://doi.org/10.1016/j.jclepro.2015.03.076</t>
  </si>
  <si>
    <t>Gediga et al., 2019</t>
  </si>
  <si>
    <t>Life cycle assessment of zircon sand</t>
  </si>
  <si>
    <t>https://doi.org/10.1007/s11367-019-01619-5</t>
  </si>
  <si>
    <t>V</t>
  </si>
  <si>
    <t>Zhang et al., 2023c</t>
  </si>
  <si>
    <t>Life cycle assessment on the vanadium production process: A multi-objective assessment under environmental and economic perspectives</t>
  </si>
  <si>
    <t>https://doi.org/10.1016/j.resconrec.2023.106926</t>
  </si>
  <si>
    <t>Blume et al., 2022</t>
  </si>
  <si>
    <t>Life cycle assessment of an industrial-scale vanadium flow battery</t>
  </si>
  <si>
    <t>https://doi.org/10.1111/jiec.13328</t>
  </si>
  <si>
    <t>Hamidi et al., 2023</t>
  </si>
  <si>
    <t>Valorization of fly ash by nickel ferrite and vanadium oxide recovery through pyro-hydrometallurgical processes: Technical and environmental assessment</t>
  </si>
  <si>
    <t>https://doi.org/10.1016/j.jenvman.2023.118442</t>
  </si>
  <si>
    <t>Li et al., 2019</t>
  </si>
  <si>
    <t>High-Purity V2O5 nanosheets synthesized from gasification waste: flexible energy storage devices and environmental assessment</t>
  </si>
  <si>
    <t>https://doi.org/10.1021/acssuschemeng.9b02066</t>
  </si>
  <si>
    <t>da Silva Lima et al., 2021</t>
  </si>
  <si>
    <t>Life cycle assessment of lithium-ion batteries and vanadium redox flow
batteries-based renewable energy storage systems</t>
  </si>
  <si>
    <t>https://doi.org/10.1016/j.seta.2021.101286</t>
  </si>
  <si>
    <t>Weber et al., 2018</t>
  </si>
  <si>
    <t>Life cycle assessment of a vanadium redox flow battery</t>
  </si>
  <si>
    <t>https://doi.org/10.1021/acs.est.8b02073</t>
  </si>
  <si>
    <t>Rocchetti et al., 2013</t>
  </si>
  <si>
    <t>An environmentally friendly process for the recovery of valuable metals from
spent refinery catalysts</t>
  </si>
  <si>
    <t>https://doi.org/10.1177/0734242X13476364</t>
  </si>
  <si>
    <t>Xiao et al., 2021</t>
  </si>
  <si>
    <t>Research on the environmental impact of natural gas substituting coal in the production of vanadium pentoxide based on LCA</t>
  </si>
  <si>
    <t>https://www.cabidigitallibrary.org/doi/full/10.5555/20220273402</t>
  </si>
  <si>
    <t>Cr</t>
  </si>
  <si>
    <t>Haque and Norgate, 2013</t>
  </si>
  <si>
    <t>Estimation of greenhouse gas emissions from ferroalloy production using life cycle assessment with particular reference to Australia</t>
  </si>
  <si>
    <t>https://doi.org/10.1016/j.jclepro.2012.08.010</t>
  </si>
  <si>
    <t>Kiliç et al., 2011</t>
  </si>
  <si>
    <t>Environmental optimization of chromium recovery from tannery sludge using a life cycle assessment approach</t>
  </si>
  <si>
    <t>https://doi.org/10.1016/j.jhazmat.2011.05.040</t>
  </si>
  <si>
    <t>Kowalski et al., 2007</t>
  </si>
  <si>
    <t>Life cycle assessment of different variants of sodium chromate production in Poland</t>
  </si>
  <si>
    <t>https://doi.org/10.1016/j.jclepro.2005.05.026</t>
  </si>
  <si>
    <t>Muazu et al., 2023</t>
  </si>
  <si>
    <t>Hexavalent chromium waste removal via bioelectrochemical systems – a life cycle assessment perspective</t>
  </si>
  <si>
    <t>https://doi.org/10.1039/D3EW00344B</t>
  </si>
  <si>
    <t>NETL, 2016</t>
  </si>
  <si>
    <t>NETL. Life Cycle Inventory Data – Unit Process: Chromium Products – Version 01</t>
  </si>
  <si>
    <t>https://www.netl.doe.gov/LCA</t>
  </si>
  <si>
    <t>Mn</t>
  </si>
  <si>
    <t>Zhang et al., 2020</t>
  </si>
  <si>
    <t>Life cycle assessment of electrolytic manganese metal production</t>
  </si>
  <si>
    <t>https://doi.org/10.1016/j.jclepro.2019.119951</t>
  </si>
  <si>
    <t>Westfall et al., 2016</t>
  </si>
  <si>
    <t>Cradle-to-gate life cycle assessment of global manganese alloy production</t>
  </si>
  <si>
    <t>https://doi.org/10.1007/s11367-015-0995-3</t>
  </si>
  <si>
    <t>A global life cycle assessment of manganese mining processes based on EcoInvent database</t>
  </si>
  <si>
    <t>https://doi.org/10.1016/j.scitotenv.2019.06.184</t>
  </si>
  <si>
    <t>Davourie et al., 2017</t>
  </si>
  <si>
    <t>Evaluation of particulate matter emissions from manganese alloy production using life-cycle assessment</t>
  </si>
  <si>
    <t>https://doi.org/10.1016/j.neuro.2016.09.015</t>
  </si>
  <si>
    <t>Van Genderen et al., 2016</t>
  </si>
  <si>
    <t>A global life cycle assessment for primary zinc production</t>
  </si>
  <si>
    <t>https://doi.org/10.1007/s11367-016-1131-8</t>
  </si>
  <si>
    <t>Fe</t>
  </si>
  <si>
    <t>Ferreira and Leite, 2015</t>
  </si>
  <si>
    <t>A Life Cycle Assessment study of iron ore mining</t>
  </si>
  <si>
    <t>https://doi.org/10.1016/j.jclepro.2015.05.140</t>
  </si>
  <si>
    <t>Arguillarena et al., 2022</t>
  </si>
  <si>
    <t>Life cycle assessment of zinc and iron recovery from spent pickling acids by membrane-based solvent extraction and electrowinning</t>
  </si>
  <si>
    <t>https://doi.org/10.1016/j.jenvman.2022.115567</t>
  </si>
  <si>
    <t>Lai et al., 2021</t>
  </si>
  <si>
    <t>The environmental performance of mining operations: Comparison of alternative mining solutions in a life cycle perspective</t>
  </si>
  <si>
    <t>https://doi.org/10.1016/j.jclepro.2021.128030</t>
  </si>
  <si>
    <t>Liu et al., 2020</t>
  </si>
  <si>
    <t>Environmental and economic-related impact assessment of iron and steel production. A call for shared responsibility in global trade</t>
  </si>
  <si>
    <t>https://doi.org/10.1016/j.jclepro.2020.122239</t>
  </si>
  <si>
    <t>Olmez et al., 2016</t>
  </si>
  <si>
    <t>The environmental impacts of iron and steel industry: a life cycle assessment study</t>
  </si>
  <si>
    <t>https://doi.org/10.1016/j.jclepro.2015.09.139</t>
  </si>
  <si>
    <t>Haque, 2022</t>
  </si>
  <si>
    <t>Chapter 21 - Life cycle assessment of iron ore mining and processing</t>
  </si>
  <si>
    <t>https://doi.org/10.1016/B978-0-12-820226-5.00007-0</t>
  </si>
  <si>
    <t>Burchart-Korol, 2013</t>
  </si>
  <si>
    <t>Life cycle assessment of steel production in Poland: a case study</t>
  </si>
  <si>
    <t>https://doi.org/10.1016/j.jclepro.2013.04.031</t>
  </si>
  <si>
    <t>Life Cycle Assessment of Iron Ore Sintering Process</t>
  </si>
  <si>
    <t>https://doi.org/10.1016/S1006-706X(15)30029-7</t>
  </si>
  <si>
    <t>Mitterpach et al., 2017</t>
  </si>
  <si>
    <t>Environmental evaluation of grey cast iron via life cycle assessment</t>
  </si>
  <si>
    <t>https://doi.org/10.1016/j.jclepro.2017.02.023</t>
  </si>
  <si>
    <t>Chen et al., 2011</t>
  </si>
  <si>
    <t>Life Cycle Assessment of Internal Recycling Options of Steel Slag in Chinese Iron and Steel Industry</t>
  </si>
  <si>
    <t>https://doi.org/10.1016/S1006-706X(11)60087-3</t>
  </si>
  <si>
    <t>Leão et al., 2023</t>
  </si>
  <si>
    <t>Rigorous environmental and energy life cycle assessment of blast furnace pig iron in Brazil: The role of carbon and iron sources, and co-product utilization</t>
  </si>
  <si>
    <t>https://doi.org/10.1016/j.susmat.2023.e00607</t>
  </si>
  <si>
    <t>Li et al., 2022</t>
  </si>
  <si>
    <t>Life cycle assessment of melting reduction treatment for iron and steel waste slag: A case study in Tangshan, China</t>
  </si>
  <si>
    <t>https://doi.org/10.1016/j.rcradv.2022.200108</t>
  </si>
  <si>
    <t>Li et al., 2017</t>
  </si>
  <si>
    <t>Life cycle assessment and optimization of an iron making system with a combined cycle power plant: a case study from China</t>
  </si>
  <si>
    <t>https://doi.org/10.1007/s10098-016-1306-9</t>
  </si>
  <si>
    <t>Rahman et al., 2016</t>
  </si>
  <si>
    <t>Life cycle assessment of steel in the ship recycling industry in Bangladesh</t>
  </si>
  <si>
    <t>https://doi.org/10.1016/j.jclepro.2016.07.014</t>
  </si>
  <si>
    <t>Du, 2020</t>
  </si>
  <si>
    <t>Life Cycle Assessment of a New Steel-making Process for Sustainable Steel Industrial Development in China</t>
  </si>
  <si>
    <t>https://doi.org/10.1088/1742-6596/1699/1/012005</t>
  </si>
  <si>
    <t>Renzulli et al., 2016</t>
  </si>
  <si>
    <t>Life Cycle Assessment of Steel Produced in an Italian Integrated Steel Mill</t>
  </si>
  <si>
    <t>https://doi.org/10.3390/su8080719</t>
  </si>
  <si>
    <t>Dolganova et al., 2020</t>
  </si>
  <si>
    <t>Life cycle assessment of ferro niobium</t>
  </si>
  <si>
    <t>https://doi.org/10.1007/s11367-019-01714-7</t>
  </si>
  <si>
    <t>Chen et al., 2018</t>
  </si>
  <si>
    <t>Assessment of low-carbon iron and steel production with CO2 recycling and utilization technologies: A case study in China</t>
  </si>
  <si>
    <t>https://doi.org/10.1016/j.apenergy.2018.03.043</t>
  </si>
  <si>
    <t>He et al., 2020</t>
  </si>
  <si>
    <t>Cradle-to-gate greenhouse gas (GHG) burdens for aluminium and steel production and cradle-to-grave GHG benefits of vehicle lightweighting in China</t>
  </si>
  <si>
    <t>https://doi.org/10.1016/j.resconrec.2019.104497</t>
  </si>
  <si>
    <t>Iosif et al., 2010</t>
  </si>
  <si>
    <t>Physicochemical modelling of the classical steelmaking route for life cycle inventory analysis</t>
  </si>
  <si>
    <t>https://doi.org/10.1007/s11367-010-0160-y</t>
  </si>
  <si>
    <t>Li et al., 2021</t>
  </si>
  <si>
    <t>Life-cycle assessment of the coal gasification-shaft furnace-electric furnace steel production process</t>
  </si>
  <si>
    <t>https://doi.org/10.1016/j.jclepro.2020.125075</t>
  </si>
  <si>
    <t>Lv et al., 2019</t>
  </si>
  <si>
    <t>Life cycle energy consumption and greenhouse gas emissions of iron pelletizing process in China, a case study</t>
  </si>
  <si>
    <t>https://doi.org/10.1016/j.jclepro.2019.06.180</t>
  </si>
  <si>
    <t>Ma et al., 2018</t>
  </si>
  <si>
    <t>Life cycle assessment and water footprint evaluation of crude steel production: A case study in China</t>
  </si>
  <si>
    <t>https://doi.org/10.1016/j.jenvman.2018.07.027</t>
  </si>
  <si>
    <t>Özdemir et al., 2018</t>
  </si>
  <si>
    <t>Lifecycle assessment of steel rebar production with induction melting furnace: Case study in Turkey</t>
  </si>
  <si>
    <t>https://doi.org/10.1061/(ASCE)HZ.2153-5515.0000385</t>
  </si>
  <si>
    <t>Tanzer et al., 2020</t>
  </si>
  <si>
    <t>Can bioenergy with carbon capture and storage result in carbon negative steel?</t>
  </si>
  <si>
    <t>https://doi.org/10.1016/j.ijggc.2020.103104</t>
  </si>
  <si>
    <t>Cano Londono et al., 2019</t>
  </si>
  <si>
    <t>Comparing the environmental sustainability of two gold production methods using integrated Emergy and Life Cycle Assessment</t>
  </si>
  <si>
    <t>https://doi.org/10.1016/j.ecolind.2019.105600</t>
  </si>
  <si>
    <t>Miranda Xicotencatl et al., 2023b</t>
  </si>
  <si>
    <t>SUSMAGPRO D7.1: Baseline LCA of Virgin Magnet Production</t>
  </si>
  <si>
    <t>https://zenodo.org/doi/10.5281/zenodo.7521124</t>
  </si>
  <si>
    <t xml:space="preserve">Sanjuan-Delmás et al., 2022 </t>
  </si>
  <si>
    <t>Environmental assessment of copper production in Europe: an LCA case study from Sweden conducted using two conventional software-database setups</t>
  </si>
  <si>
    <t>https://doi.org/10.1007/s11367-021-02018-5</t>
  </si>
  <si>
    <t>Co</t>
  </si>
  <si>
    <t>Van der Meide et al., 2022</t>
  </si>
  <si>
    <t>Effects of the energy transition on environmental impacts of cobalt supply: A prospective life cycle assessment study on future supply of cobalt</t>
  </si>
  <si>
    <t>https://doi.org/10.1111/jiec.13258</t>
  </si>
  <si>
    <t>Majeau-Bettez et al., 2011</t>
  </si>
  <si>
    <t>Life Cycle Environmental Assessment of Lithium-Ion and Nickel Metal Hydride Batteries for Plug-In Hybrid and Battery Electric Vehicles</t>
  </si>
  <si>
    <t>https://doi.org/10.1021/es103607c</t>
  </si>
  <si>
    <t>Dai et al., 2018</t>
  </si>
  <si>
    <t>Cobalt Life Cycle Analysis Update for the GREET Model</t>
  </si>
  <si>
    <t>https://greet.anl.gov/files/update_cobalt</t>
  </si>
  <si>
    <t>Lewrén, 2019</t>
  </si>
  <si>
    <t>Life cycle assessment of nickel-rich lithium-ion battery for electric vehicles A comparatative LCA between the cathode chemistries NMC 333 and NMC 622</t>
  </si>
  <si>
    <t>https://odr.chalmers.se/handle/20.500.12380/300644</t>
  </si>
  <si>
    <t>Life cycle assessment of cobalt extraction process</t>
  </si>
  <si>
    <t>https://doi.org/10.1016/j.jsm.2019.03.002</t>
  </si>
  <si>
    <t>Chordia et al., 2021</t>
  </si>
  <si>
    <t>Environmental life cycle implications of upscaling lithium-ion battery production</t>
  </si>
  <si>
    <t>https://doi.org/10.1007/s11367-021-01976-0</t>
  </si>
  <si>
    <t>Rinne et al., 2021</t>
  </si>
  <si>
    <t>Life cycle assessment and process simulation of prospective battery-grade cobalt sulfate production from Co-Au ores in Finland</t>
  </si>
  <si>
    <t>https://doi.org/10.1007/s11367-021-01965-3</t>
  </si>
  <si>
    <t>Zhang et al., 2021</t>
  </si>
  <si>
    <t>Cradle-to-gate life cycle assessment of cobalt sulfate production derived from a nickel–copper–cobalt mine in China</t>
  </si>
  <si>
    <t>https://doi.org/10.1007/s11367-021-01925-x</t>
  </si>
  <si>
    <t>Crenna et al., 2021</t>
  </si>
  <si>
    <t>Towards more flexibility and transparency in life cycle inventories for Lithium-ion batteries</t>
  </si>
  <si>
    <t>https://doi.org/10.1016/j.resconrec.2021.105619</t>
  </si>
  <si>
    <t>Arvidsson et al., 2022</t>
  </si>
  <si>
    <t>Quantifying the life-cycle health impacts of a cobalt-containing lithium-ion battery</t>
  </si>
  <si>
    <t>https://doi.org/10.1007/s11367-022-02084-3</t>
  </si>
  <si>
    <t>Bollwein, 2022</t>
  </si>
  <si>
    <t>Comparative life cycle assessment of prospective battery-grade material production in Norway</t>
  </si>
  <si>
    <t>https://hdl.handle.net/11250/3023809</t>
  </si>
  <si>
    <t>Winjobi et al., 2022</t>
  </si>
  <si>
    <t>Life-cycle analysis, by global region, of automotive lithium-ion nickel manganese cobalt batteries of varying nickel content</t>
  </si>
  <si>
    <t>https://doi.org/10.1016/j.susmat.2022.e00415</t>
  </si>
  <si>
    <t>Rinne et al., 2023</t>
  </si>
  <si>
    <t>Flowsheet design and environmental impacts of cobalt co-product recovery from complex Au-Co ores</t>
  </si>
  <si>
    <t>https://doi.org/10.1016/j.mineng.2023.108444</t>
  </si>
  <si>
    <t>Benchmark Mineral Intelligence, 2023</t>
  </si>
  <si>
    <t>Life Cycle Assessment for TMC’s NORI-D polymetallic nodule project and comparison to key land-based routes for producing nickel, cobalt and copper</t>
  </si>
  <si>
    <t>https://metals.co/wp-content/uploads/2023/03/TMC_NORI-D_LCA_Final_Report_March2023.pdf</t>
  </si>
  <si>
    <t>Das et al., 2024</t>
  </si>
  <si>
    <t>The Cobalt Supply Chain and Environmental Life Cycle Impacts of Lithium-Ion Battery Energy Storage Systems</t>
  </si>
  <si>
    <t>https://doi.org/10.3390/su16051910</t>
  </si>
  <si>
    <t>Khoo et al., 2017</t>
  </si>
  <si>
    <t>A life cycle assessment of a new laterite processing technology</t>
  </si>
  <si>
    <t>https://doi.org/10.1016/j.jclepro.2016.11.111</t>
  </si>
  <si>
    <t>Wei et al., 2020</t>
  </si>
  <si>
    <t>Energy consumption and Greenhouse gas emissions of nickel products</t>
  </si>
  <si>
    <t>https://doi.org/10.3390/en13215664</t>
  </si>
  <si>
    <t>Bai et al., 2022</t>
  </si>
  <si>
    <t>Strategies for improving the environmental performance of nickel production in China: Insight into a life cycle assessment</t>
  </si>
  <si>
    <t>https://doi.org/10.1016/j.jenvman.2022.114949</t>
  </si>
  <si>
    <t>Nickel institute, 2021</t>
  </si>
  <si>
    <t>Life cycle assessment report: nickel sulphate hexahydrate</t>
  </si>
  <si>
    <t>Aromaa et al., 2022</t>
  </si>
  <si>
    <t>Comparative Life Cycle Assessment of Hardmetal Chemical Recycling Routes</t>
  </si>
  <si>
    <t>https://doi.org/10.1021/acssuschemeng.2c01969</t>
  </si>
  <si>
    <t>Ni</t>
  </si>
  <si>
    <t>Nickel Institute, 2020</t>
  </si>
  <si>
    <t>Life cycle assessment of nickel products</t>
  </si>
  <si>
    <t>Deng and Gong, 2018</t>
  </si>
  <si>
    <t>Life cycle assessment of nickel production in China</t>
  </si>
  <si>
    <t>https://doi.org/10.4028/www.scientific.net/MSF.913.1004</t>
  </si>
  <si>
    <t>Cost-combined life cycle assessment of ferronickel production</t>
  </si>
  <si>
    <t>https://doi.org/10.1007/s11367-019-01600-2</t>
  </si>
  <si>
    <t>Mistry et al., 2016</t>
  </si>
  <si>
    <t>https://doi.org/10.1007/s11367-016-1085-x</t>
  </si>
  <si>
    <t>Bartzas and Komnitsas, 2015</t>
  </si>
  <si>
    <t>Life cycle assessment of ferronickel production in Greece</t>
  </si>
  <si>
    <t>https://doi.org/10.1016/j.resconrec.2015.10.016</t>
  </si>
  <si>
    <t>Estimation of greenhouse gas emission from ferroalloy products using LCA with particular reference to Australia</t>
  </si>
  <si>
    <t>Norgate and Jahanshahi, 2011</t>
  </si>
  <si>
    <t>Assessing the energy and greenhouse gas footprints of nickel laterite processing</t>
  </si>
  <si>
    <t>https://doi.org/10.1016/j.mineng.2010.10.002</t>
  </si>
  <si>
    <t>Eckelman, 2010</t>
  </si>
  <si>
    <t>Facility-level energy and greenhouse gas life-cycle assessment of the global nickel industry</t>
  </si>
  <si>
    <t>https://doi.org/10.1016/j.resconrec.2009.08.008</t>
  </si>
  <si>
    <t>Mudd, 2010</t>
  </si>
  <si>
    <t>Global trends and evironmental issues in nickel mining: Sulfides vs Laterites</t>
  </si>
  <si>
    <t>https://doi.org/10.1016/j.oregeorev.2010.05.003</t>
  </si>
  <si>
    <t>Northey et al., 2014</t>
  </si>
  <si>
    <t>Evaluating the application of water footprint methods to primary metal production systems</t>
  </si>
  <si>
    <t>https://doi.org/10.1016/j.mineng.2014.07.006</t>
  </si>
  <si>
    <t>Dominguez et al., 2013</t>
  </si>
  <si>
    <t>Exergy accounting applied to metallurgical systems: The case of nickel processing</t>
  </si>
  <si>
    <t>https://doi.org/10.1016/j.energy.2013.03.089</t>
  </si>
  <si>
    <t xml:space="preserve">Lu et al., 2022 </t>
  </si>
  <si>
    <t>Environmental hotspot analysis of primary copper production in China and its future improvement potentials</t>
  </si>
  <si>
    <t>https://doi.org/10.1016/j.jclepro.2022.133458</t>
  </si>
  <si>
    <t xml:space="preserve">Zhang et al., 2021 </t>
  </si>
  <si>
    <t>Analyzing the environmental impact of copper-based mixed waste recycling-a LCA case study in China</t>
  </si>
  <si>
    <t>https://doi.org/10.1016/j.jclepro.2020.125256</t>
  </si>
  <si>
    <t xml:space="preserve">Hong et al., 2018 </t>
  </si>
  <si>
    <t>Life cycle assessment of copper production: a case study in China</t>
  </si>
  <si>
    <t>https://doi.org/10.1007/s11367-017-1405-9</t>
  </si>
  <si>
    <t>Cu</t>
  </si>
  <si>
    <t xml:space="preserve">Kampmann et al., 2019 </t>
  </si>
  <si>
    <t>Life cycle assessment of European copper mining: A case study from Sweden</t>
  </si>
  <si>
    <t>https://www.diva-portal.org/smash/get/diva2:1347729/FULLTEXT03.pdf</t>
  </si>
  <si>
    <t xml:space="preserve">Seppälä et al., 2002 </t>
  </si>
  <si>
    <t>The Finnish metals industry and the environment</t>
  </si>
  <si>
    <t>https://doi.org/10.1016/S0921-3449(01)00122-7</t>
  </si>
  <si>
    <t xml:space="preserve">Yang et al., 2022 </t>
  </si>
  <si>
    <t>Life cycle assessment and cost analysis for copper hydrometallurgy industry in China</t>
  </si>
  <si>
    <t>https://doi.org/10.1016/j.jenvman.2022.114689</t>
  </si>
  <si>
    <t>Zhang et al., 2022a</t>
  </si>
  <si>
    <t>Measuring environmental impacts from primary and secondary copper production under the upgraded technologies in key Chinese enterprises</t>
  </si>
  <si>
    <t>https://doi.org/10.1016/j.eiar.2022.106855</t>
  </si>
  <si>
    <t xml:space="preserve">Shahraki et al., 2023 </t>
  </si>
  <si>
    <t>Assessing the environmental impacts of copper cathode production based on life cycle assessment</t>
  </si>
  <si>
    <t>https://doi.org/10.1002/ieam.4857</t>
  </si>
  <si>
    <t>Zhang et al., 2023b</t>
  </si>
  <si>
    <t>Life cycle assessment of valuable metal extraction from copper pyrometallurgical solid waste</t>
  </si>
  <si>
    <t>https://doi.org/10.1016/j.resconrec.2023.106875</t>
  </si>
  <si>
    <t>Kulczycka et al., 2015</t>
  </si>
  <si>
    <t>Environmental Impacts of Energy-Efficient Pyrometallurgical Copper Smelting Technologies: The Consequences of Technological Changes from 2010 to 2050</t>
  </si>
  <si>
    <t>https://doi.org/10.1111/jiec.12369</t>
  </si>
  <si>
    <t xml:space="preserve">John, 2004 </t>
  </si>
  <si>
    <t>The Real Cost of the Global Warming Mania — Hydrometallurgy Versus Pyrometallurgy</t>
  </si>
  <si>
    <t>https://www.academia.edu/11956998/The_Real_Cost_of_the_Global_Warming_Mania_Hydrometallurgy_Versus_Pyrometallurgy</t>
  </si>
  <si>
    <t xml:space="preserve">Song et al., 2017 </t>
  </si>
  <si>
    <t>Comparative life cycle assessment of tailings management and energy scenarios for a copper ore mine: A case study in Northern Norway</t>
  </si>
  <si>
    <t>https://doi.org/10.1016/j.jclepro.2017.07.021</t>
  </si>
  <si>
    <t xml:space="preserve">Lu et al., 2023 </t>
  </si>
  <si>
    <t>Environmental impacts and improvement potentials for copper mining and mineral processing operations in China</t>
  </si>
  <si>
    <t>https://doi.org/10.1016/j.jenvman.2023.118178</t>
  </si>
  <si>
    <t xml:space="preserve">Alexander et al., 2021 </t>
  </si>
  <si>
    <t>Comparison of environmental performance of modern copper smelting technologies</t>
  </si>
  <si>
    <t>https://doi.org/10.1016/j.cesys.2021.100052</t>
  </si>
  <si>
    <t xml:space="preserve">Dong et al., 2020 </t>
  </si>
  <si>
    <t>Assessing the future environmental impacts of copper production in China: Implications of the energy transition</t>
  </si>
  <si>
    <t>https://doi.org/10.1016/j.jclepro.2020.122825</t>
  </si>
  <si>
    <t xml:space="preserve">Farjana et al., 2019 </t>
  </si>
  <si>
    <t>Life cycle analysis of copper-gold-lead-silver-zinc beneficiation process</t>
  </si>
  <si>
    <t>https://doi.org/10.1016/j.scitotenv.2018.12.318</t>
  </si>
  <si>
    <t>Islam et al., 2020</t>
  </si>
  <si>
    <t>Integrating remote sensing and life cycle assessment to quantify the environmental impacts of copper-silver-gold mining: A case study from Laos</t>
  </si>
  <si>
    <t>https://doi.org/10.1016/j.resconrec.2019.104630</t>
  </si>
  <si>
    <t xml:space="preserve">Tao et al., 2020 </t>
  </si>
  <si>
    <t>Environmental impact of mining and beneficiation of copper sulphate mine based on life cycle assessment</t>
  </si>
  <si>
    <t>https://doi.org/10.1007/s11356-022-21317-4</t>
  </si>
  <si>
    <t xml:space="preserve">Norgate et al., 2007 </t>
  </si>
  <si>
    <t>Narita et al., 2001a</t>
  </si>
  <si>
    <t xml:space="preserve"> Life Cycle Inventory Analysis of Copper Production System in Chile</t>
  </si>
  <si>
    <t>https://www.jstage.jst.go.jp/article/shigentosozai/117/4/117_4_271/_pdf/-char/en</t>
  </si>
  <si>
    <t xml:space="preserve">Liu et al., 2022 </t>
  </si>
  <si>
    <t>Life Cycle Energy Consumption and GHG Emissions of the Copper Production in China and the Influence of Main Factors on the above Performance</t>
  </si>
  <si>
    <t>https://doi.org/10.3390/pr10122715</t>
  </si>
  <si>
    <t xml:space="preserve">Hague and Norgate, 2014 </t>
  </si>
  <si>
    <t>The greenhouse gas footprint of in-situ leaching of uranium, gold and copper in Australia</t>
  </si>
  <si>
    <t>https://doi.org/10.1016/j.jclepro.2013.09.033</t>
  </si>
  <si>
    <t>Narita et al., 2001b</t>
  </si>
  <si>
    <t xml:space="preserve"> Life Cycle Inventory Analysis of CO2 Emission from Copper Products Manufacturing System</t>
  </si>
  <si>
    <t>https://www.jstage.jst.go.jp/article/shigentosozai/117/8/117_8_671/_pdf/-char/ja</t>
  </si>
  <si>
    <t xml:space="preserve">Kuipers et al., 2018 </t>
  </si>
  <si>
    <t>Assessing environmental implications associated with global copper demand and supply scenarios from 2010 to 2050</t>
  </si>
  <si>
    <t>https://doi.org/10.1016/j.gloenvcha.2018.02.008</t>
  </si>
  <si>
    <t xml:space="preserve">Norgate and Rankin, 2000 </t>
  </si>
  <si>
    <t xml:space="preserve"> Life Cycle Assessment of Copper and Nickel Production</t>
  </si>
  <si>
    <t>https://www.ausimm.com/globalassets/pdf-files/publications/5-00_minprex/5-00_norgate.pdf</t>
  </si>
  <si>
    <t xml:space="preserve">Norgate and Haque, 2010 </t>
  </si>
  <si>
    <t xml:space="preserve">Jingjing et al., 2019 </t>
  </si>
  <si>
    <t>Environmental benefits of secondary copper from primary copper based on life cycle assessment in China</t>
  </si>
  <si>
    <t>https://doi.org/10.1016/j.resconrec.2019.03.020</t>
  </si>
  <si>
    <t xml:space="preserve">Northey et al., 2014 </t>
  </si>
  <si>
    <t xml:space="preserve">Mesías, 2018 </t>
  </si>
  <si>
    <t>Análisis de ciclo de vida para la producción chilena de cobre mediante el proceso de Hidrometalurgia</t>
  </si>
  <si>
    <t>https://www.academia.edu/40861013/An%C3%A1lisis_de_ciclo_de_vida_para_la_producci%C3%B3n_chilena_de_cobre_mediante_el_proceso_de_Hidrometalurgia</t>
  </si>
  <si>
    <t xml:space="preserve">Ghodrat et al., 2017 </t>
  </si>
  <si>
    <t>A thermodynamic-based life cycle assessment of precious metal recycling out of waste printed circuit board through secondary copper smelting</t>
  </si>
  <si>
    <t>http://dx.doi.org/10.1016/j.envdev.2017.07.001</t>
  </si>
  <si>
    <t xml:space="preserve">Giurco et al., 2006 </t>
  </si>
  <si>
    <t xml:space="preserve">Copper recycling alternatives: an environmental analysis </t>
  </si>
  <si>
    <t>https://www.researchgate.net/profile/Damien_Giurco/publication/238092106_COPPER_RECYCLING_ALTERNATIVES_AN_ENVIRONMENTAL_ANALYSIS/links/56708c1408ae5252e6f1ef36.pdf</t>
  </si>
  <si>
    <t>International Copper Association, n.d.</t>
  </si>
  <si>
    <t xml:space="preserve"> Copper Environmental Profile</t>
  </si>
  <si>
    <t>https://internationalcopper.org/wp-content/uploads/2021/08/ICA-EnvironmentalProfileHESD-201803-FINAL-LOWRES-1.pdf</t>
  </si>
  <si>
    <t>Krishnamoorthy and Kelly, 2022</t>
  </si>
  <si>
    <t xml:space="preserve"> Life-Cycle inventory of critical materials: Nickel, Copper, Titanium, and Rare-Earth Elements</t>
  </si>
  <si>
    <t>https://publications.anl.gov/anlpubs/2022/12/178670.pdf</t>
  </si>
  <si>
    <t xml:space="preserve">Song et al., 2014 </t>
  </si>
  <si>
    <t>Identification and assessment of environmental burdens of Chinese copper production from a life cycle perspective</t>
  </si>
  <si>
    <t>https://doi.org/10.1007/s11783-013-0599-8</t>
  </si>
  <si>
    <t xml:space="preserve">Memary et al., 2012 </t>
  </si>
  <si>
    <t>Life cycle assessment: a time-series analysis of copper</t>
  </si>
  <si>
    <t>https://doi.org/10.1016/j.jclepro.2012.04.025</t>
  </si>
  <si>
    <t xml:space="preserve">Haque et al., 2014 </t>
  </si>
  <si>
    <t xml:space="preserve">Fthenakis et al., 2009 </t>
  </si>
  <si>
    <t>Life cycle inventory analysis of the production of metals used in photovoltaics</t>
  </si>
  <si>
    <t>https://doi.org/10.1016/j.rser.2007.11.012</t>
  </si>
  <si>
    <t xml:space="preserve">Ayres et al., 2002 </t>
  </si>
  <si>
    <t xml:space="preserve"> The Life Cycle of Copper, its Co-Products and By-Products</t>
  </si>
  <si>
    <t>https://www.iied.org/sites/default/files/pdfs/migrate/G00740.pdf</t>
  </si>
  <si>
    <t>Andrae et al., 2008</t>
  </si>
  <si>
    <t>Life Cycle Assessment of Japanese High-Temperature Conductive Adhesives</t>
  </si>
  <si>
    <t>https://doi.org/10.1021/es0709829</t>
  </si>
  <si>
    <t>Zn</t>
  </si>
  <si>
    <t>Nazari and Gharabaghi, 2015</t>
  </si>
  <si>
    <t>Investigation on life cycle assessment of lead and zinc production</t>
  </si>
  <si>
    <t>Qi et al., 2017</t>
  </si>
  <si>
    <t>Life cycle assessment of the hydrometallurgical zinc production chain in China</t>
  </si>
  <si>
    <t>https://doi.org/10.1016/j.jclepro.2017.04.084</t>
  </si>
  <si>
    <t>Liu et al., 2022</t>
  </si>
  <si>
    <t>Environmental impact of typical zinc smelting that implements solid waste collaborative utilization in China</t>
  </si>
  <si>
    <t>https://doi.org/10.1007/s11367-022-02100-6</t>
  </si>
  <si>
    <t>Tao et al., 2019</t>
  </si>
  <si>
    <t>Life cycle assessment on lead–zinc ore mining and beneficiation in China</t>
  </si>
  <si>
    <t>https://doi.org/10.1016/j.jclepro.2019.117833</t>
  </si>
  <si>
    <t>Jia et al., 2022</t>
  </si>
  <si>
    <t>Exploring the potential health and ecological damage of lead–zinc production activities in China: A life cycle assessment perspective</t>
  </si>
  <si>
    <t>https://doi.org/10.1016/j.jclepro.2022.135218</t>
  </si>
  <si>
    <t>Olsson et al., 2021</t>
  </si>
  <si>
    <t>Boliden Mineral AB. Carbon footprint of Boliden Main Metals</t>
  </si>
  <si>
    <t>https://www.boliden.com/48e725/globalassets/operations/products/copper/green-copper/carbon-footprint-of-boliden-main-metals_2021_executive-summary.pdf</t>
  </si>
  <si>
    <t>Van den Tweel, 2002</t>
  </si>
  <si>
    <t>Environmental assessment of metals - Through dynamic modelling of the metal life cycle system</t>
  </si>
  <si>
    <t>Fthenakis et al., 2009</t>
  </si>
  <si>
    <t>Ga</t>
  </si>
  <si>
    <t>Ge</t>
  </si>
  <si>
    <t>Robertz et al., 2015</t>
  </si>
  <si>
    <t>The Primary and Secondary Production of Germanium: A Life-Cycle Assessment of Different Process Alternatives</t>
  </si>
  <si>
    <t>https://doi.org/10.1007/s11837-014-1267-6</t>
  </si>
  <si>
    <t>Van Hoof et al., 2020</t>
  </si>
  <si>
    <t>Moving Towards Sustainable Germanium Sourcing Evaluated by Means of Life Cycle Assessment</t>
  </si>
  <si>
    <t>https://doi.org/10.1007/s40831-020-00277-4</t>
  </si>
  <si>
    <t>As</t>
  </si>
  <si>
    <t>Se</t>
  </si>
  <si>
    <t>Sr</t>
  </si>
  <si>
    <t>Zr</t>
  </si>
  <si>
    <t>Nb</t>
  </si>
  <si>
    <t>da Silva Lima et al., 2022</t>
  </si>
  <si>
    <t>Life cycle assessment of ferroniobium and niobium oxides: Quantifying the reduction of environmental impacts as a result of production process improvements</t>
  </si>
  <si>
    <t>https://doi.org/10.1016/j.jclepro.2022.131327</t>
  </si>
  <si>
    <t>Rossi, 2020</t>
  </si>
  <si>
    <t>Life cycle assessment (LCA). In: Final Technical Report: Study of Critical Materials’ Production Chains: Opportunities and Threats of the Circular Economy, pp. 95–122</t>
  </si>
  <si>
    <t>https://eubrdialogues.com/documentos/proyectos/adjuntos/a02be5_Final%20Tecnical%20Report_WEB_ENG.pdf</t>
  </si>
  <si>
    <t>Alves and Coutinho, 2019</t>
  </si>
  <si>
    <t>Life cycle assessment of niobium: A mining and production case study in Brazil</t>
  </si>
  <si>
    <t>https://doi.org/10.1016/j.mineng.2018.11.041</t>
  </si>
  <si>
    <t>Wang et al., 2019</t>
  </si>
  <si>
    <t>Life cycle assessment of integrated exploitation technology for tailings in Bayan Obo mine, China</t>
  </si>
  <si>
    <t>http://dx.doi.org/10.15666/aeer/1702_43434359</t>
  </si>
  <si>
    <t>Ibn-Mohammed et al., 2016</t>
  </si>
  <si>
    <t>Integrated hybrid life cycle assessment and supply chain environmental profile evaluations of leadbased (lead zirconate titanate) versus lead-free (potassium sodium niobate) piezoelectric ceramics</t>
  </si>
  <si>
    <t>https://doi.org/10.1039/C6EE02429G</t>
  </si>
  <si>
    <t>Eckelman et al., 2014</t>
  </si>
  <si>
    <t>Life cycle carbon benefits of aerospace alloy recycling</t>
  </si>
  <si>
    <t>https://doi.org/10.1016/j.jclepro.2014.05.039</t>
  </si>
  <si>
    <t>Hartikainen et al., 2004</t>
  </si>
  <si>
    <t>A comparative life-cycle assessment between NbTi and copper magnets</t>
  </si>
  <si>
    <t>10.1109/TASC.2004.830891</t>
  </si>
  <si>
    <t>Mo</t>
  </si>
  <si>
    <t>Greig and Carey, 2016</t>
  </si>
  <si>
    <t>International Molybdenum Association (IMOA) life cycle assessment program and perspectives on the LCA harmonization effort</t>
  </si>
  <si>
    <t>https://doi.org/10.1007/s11367-015-0990-8</t>
  </si>
  <si>
    <t>Molinare et al., 2014</t>
  </si>
  <si>
    <t>Sustainability Analysis of Copper Extraction and Processing using Life Cycle Analysis Methods: a Case Study in the North of Chile</t>
  </si>
  <si>
    <t>https://doi.org/10.1016/B978-0-444-63455-9.50145-8</t>
  </si>
  <si>
    <t>Deng et al., 2017</t>
  </si>
  <si>
    <t>Life cycle assessment of high capacity molybdenum disulfide lithium-ion battery for electric vehicles</t>
  </si>
  <si>
    <t>https://doi.org/10.1016/j.energy.2017.01.096</t>
  </si>
  <si>
    <t>Scott and Cullen, 2016</t>
  </si>
  <si>
    <t>Reducing the life cycle environmental impacts of kesterite solar photovoltaics: comparing carbon and molybdenum back contact options</t>
  </si>
  <si>
    <t>https://doi.org/10.1007/s11367-015-0978-4</t>
  </si>
  <si>
    <t>Energy Consumption and Greenhouse Gas Emissions During Ferromolybdenum Production</t>
  </si>
  <si>
    <t>https://doi.org/10.1007/s40831-019-00260-8</t>
  </si>
  <si>
    <t>Benavides et al., 2015</t>
  </si>
  <si>
    <t>Material and Energy Flows Associated with Select Metals in GREET 2. Molybdenum, Platinum, Zinc, Nickel, Silicon</t>
  </si>
  <si>
    <t>https://doi.org/10.2172/1224976</t>
  </si>
  <si>
    <t>Hachhach et al., 2022</t>
  </si>
  <si>
    <t>Life cycle assessment of large-scale production of MoS2 nanomaterials through the solvothermal method</t>
  </si>
  <si>
    <t>https://doi.org/10.1007/s11051-022-05563-8</t>
  </si>
  <si>
    <t>Ag</t>
  </si>
  <si>
    <t>10.1016/j.resconrec.2019.104630</t>
  </si>
  <si>
    <t>Gonzalez-Campo et al., 2020</t>
  </si>
  <si>
    <t>Environmental Life Cycle Assessment for a Large-Scale Gold Mining</t>
  </si>
  <si>
    <t xml:space="preserve">http://dx.doi.org/10.18687/LACCEI2020.1.1.577 </t>
  </si>
  <si>
    <t>Comparison of Life Cycle Environmental Impact between Two Processes for Silver Separation from Copper Anode Slime</t>
  </si>
  <si>
    <t>https://doi.org/10.3390/ijerph19137790</t>
  </si>
  <si>
    <t>Norgate and Haque, 2012</t>
  </si>
  <si>
    <t>Using life cycle assessment to evaluate some environmental impacts of gold production</t>
  </si>
  <si>
    <t>https://doi.org/10.1016/j.jclepro.2012.01.042</t>
  </si>
  <si>
    <t>Cd</t>
  </si>
  <si>
    <t>Kim et al., 2014</t>
  </si>
  <si>
    <t>Life cycle assessment of cadmium telluride photovoltaic (CdTe PV) systems</t>
  </si>
  <si>
    <t>https://doi.org/10.1016/j.solener.2014.02.008</t>
  </si>
  <si>
    <t>Singh et al., 2023</t>
  </si>
  <si>
    <t>End of life management of crystalline silicon and cadmium telluride photovoltaic modules utilising life cycle assessment</t>
  </si>
  <si>
    <t>https://doi.org/10.1016/j.resconrec.2023.107097</t>
  </si>
  <si>
    <t>Fthenakis, 2004</t>
  </si>
  <si>
    <t>Life cycle impact analysis of cadmium in CdTe PV production</t>
  </si>
  <si>
    <t>https://doi.org/10.1016/j.rser.2003.12.001</t>
  </si>
  <si>
    <t>Gonzalez et al., 2022</t>
  </si>
  <si>
    <t>Life cycle assessment of a nanomaterial-based adsorbent developed on the lab scale for cadmium removal: Comparison of the impacts of production, use and recycling</t>
  </si>
  <si>
    <t>https://doi.org/10.1016/j.cesys.2022.100071</t>
  </si>
  <si>
    <t>Kotkunde et al., 2021</t>
  </si>
  <si>
    <t>Life Cycle Assessment of Nickel Cadmium Battery</t>
  </si>
  <si>
    <t>10.1088/1757-899X/1123/1/012022</t>
  </si>
  <si>
    <t>Stolz and Frischknecht, 2018</t>
  </si>
  <si>
    <t>Life Cycle Assesment of Current Photovoltaic Module Recycling</t>
  </si>
  <si>
    <t>https://iea-pvps.org/key-topics/life-cycle-assesment-of-current-photovoltaic-module-recycling-by-task-12-2/</t>
  </si>
  <si>
    <t>In</t>
  </si>
  <si>
    <t>Amarakoon et al., 2017</t>
  </si>
  <si>
    <t>Life cycle assessment of photovoltaic manufacturing consortium (PVMC) copper indium gallium (di)selenide (CIGS) modules</t>
  </si>
  <si>
    <t>https://doi.org/10.1007/s11367-017-1345-4</t>
  </si>
  <si>
    <t>Amato et al., 2016</t>
  </si>
  <si>
    <t>Secondary indium production from end-of-life liquid crystal displays</t>
  </si>
  <si>
    <t>https://doi.org/10.1002/pssc.201600114</t>
  </si>
  <si>
    <t>Rocchetti et al., 2016</t>
  </si>
  <si>
    <t>Recovery of indium from liquid crystal displays</t>
  </si>
  <si>
    <t>https://doi.org/10.1016/j.jclepro.2015.12.080</t>
  </si>
  <si>
    <t>Kawajiri et al., 2022</t>
  </si>
  <si>
    <t>Life cycle assessment of critical material substitution: Indium tin oxide and aluminum zinc oxide in transparent electrodes</t>
  </si>
  <si>
    <t>https://doi.org/10.1016/j.resenv.2022.100047</t>
  </si>
  <si>
    <t>Falke and Höck, 2019</t>
  </si>
  <si>
    <t>Ex-ante Life Cycle Assessment of Bioleaching in Indium Recovery from LCD-Waste</t>
  </si>
  <si>
    <t>https://doi.org/10.1557/adv.2019.218</t>
  </si>
  <si>
    <t>Sn</t>
  </si>
  <si>
    <t>Iannicelli-Zubiani et al., 2017</t>
  </si>
  <si>
    <t>Environmental impacts of a hydrometallurgical process for electronic waste treatment: A life cycle assessment case study</t>
  </si>
  <si>
    <t>https://doi.org/10.1016/j.jclepro.2016.10.040</t>
  </si>
  <si>
    <t>Pokhrel et al., 2020</t>
  </si>
  <si>
    <t>Environmental and economic performance analysis of recycling waste printed circuit boards using life cycle assessment</t>
  </si>
  <si>
    <t>https://doi.org/10.1016/j.jenvman.2020.111276</t>
  </si>
  <si>
    <t>Sb</t>
  </si>
  <si>
    <t>Haarman, 2015</t>
  </si>
  <si>
    <t>The Anthropogenic Antimony Cycle: Dynamic Analysis of Global Flows and Stocks of Antimony and Associated Environmental Impacts</t>
  </si>
  <si>
    <t>http://publicationslist.org/data/arthur.haarman/ref-2/2015_Arthur%20Haarman%20-%20The%20Anthropogenic%20Antimony%20Cycle.pdf</t>
  </si>
  <si>
    <t>Stamp et al., 2013</t>
  </si>
  <si>
    <t>Limitations of applying life cycle assessment to complex co-product systems: The case of an integrated precious metals smelter-refinery</t>
  </si>
  <si>
    <t>https://doi.org/10.1016/j.resconrec.2013.09.003</t>
  </si>
  <si>
    <t>Zhang et al., 2022c</t>
  </si>
  <si>
    <t>Te</t>
  </si>
  <si>
    <t>Ba</t>
  </si>
  <si>
    <t>Vahidi and Zhao, 2017</t>
  </si>
  <si>
    <t>Environmental life cycle assessment on the separation of rare earth oxides through solvent extraction</t>
  </si>
  <si>
    <t>https://doi.org/10.1016/j.jenvman.2017.07.076</t>
  </si>
  <si>
    <t>Ghazi et al., 2011</t>
  </si>
  <si>
    <t>Life-Cycle Impact Assessment of oil drilling mud system in Algerian arid area</t>
  </si>
  <si>
    <t>https://doi.org/10.1016/j.resconrec.2011.05.016</t>
  </si>
  <si>
    <t>Pettersen, 2007</t>
  </si>
  <si>
    <t>Overall evaluation of offshore drilling fluid technology: Development and application of life-cycle inventory and impact assessment methods</t>
  </si>
  <si>
    <t>http://hdl.handle.net/11250/233345</t>
  </si>
  <si>
    <t>Hf</t>
  </si>
  <si>
    <t>W</t>
  </si>
  <si>
    <t>Ma et al., 2017</t>
  </si>
  <si>
    <t>Life cycle assessment of tungsten carbide powder production: A case study in China</t>
  </si>
  <si>
    <t>https://doi.org/10.1016/j.jclepro.2017.02.184</t>
  </si>
  <si>
    <t>Furberg et al., 2019</t>
  </si>
  <si>
    <t>Environmental life cycle assessment of cemented carbide (WC-Co) production</t>
  </si>
  <si>
    <t>https://doi.org/10.1016/j.jclepro.2018.10.272</t>
  </si>
  <si>
    <t>Xiong et al., 2008</t>
  </si>
  <si>
    <t>A streamlined life cycle assessment on the fabrication of WC–Co cermets</t>
  </si>
  <si>
    <t>https://doi.org/10.1016/j.jclepro.2007.05.007</t>
  </si>
  <si>
    <t>Bobba et al., 2016</t>
  </si>
  <si>
    <t>LCA of tungsten disulphide (WS2) nano-particles synthesis: state of art and from-cradle-to-gate LCA</t>
  </si>
  <si>
    <t>https://doi.org/10.1016/j.jclepro.2016.07.091</t>
  </si>
  <si>
    <t>Wigger et al., 2017</t>
  </si>
  <si>
    <t>Environmental benefits of coatings based on nano-tungsten-carbide cobalt ceramics</t>
  </si>
  <si>
    <t>https://doi.org/10.1016/j.jclepro.2017.01.179</t>
  </si>
  <si>
    <t>Almeida et al., 2021</t>
  </si>
  <si>
    <t>Life Cycle Assessment of Electrodialytic Technologies to Recover Raw Materials from Mine Tailings</t>
  </si>
  <si>
    <t>https://doi.org/10.3390/su13073915</t>
  </si>
  <si>
    <t>Syrrakou et al., 2005</t>
  </si>
  <si>
    <t>Environmental assessment of electrochromic glazing production</t>
  </si>
  <si>
    <t>https://doi.org/10.1016/j.solmat.2004.03.005</t>
  </si>
  <si>
    <t>Au</t>
  </si>
  <si>
    <t>Chen et al., 2021</t>
  </si>
  <si>
    <t>Water footprint assessment of gold refining: Case study based on life cycle assessment</t>
  </si>
  <si>
    <t>https://doi.org/10.1016/j.ecolind.2020.107319</t>
  </si>
  <si>
    <t>Cenia et al., 2018</t>
  </si>
  <si>
    <t>Life cycle energy use and CO2 emissions of small-scale gold mining and refining processes in the Philippines</t>
  </si>
  <si>
    <t>https://doi.org/10.1007/s11367-017-1425-5</t>
  </si>
  <si>
    <t>Life cycle assessment of gold production in China</t>
  </si>
  <si>
    <t>https://doi.org/10.1016/j.jclepro.2018.01.114</t>
  </si>
  <si>
    <t>Haque and Norgate, 2014</t>
  </si>
  <si>
    <t>Elomaa et al., 2020</t>
  </si>
  <si>
    <t>Process simulation and gate-to-gate life cycle assessment of hydrometallurgical refractory gold concentrate processing</t>
  </si>
  <si>
    <t>https://doi.org/10.1007/s11367-019-01723-6</t>
  </si>
  <si>
    <t>Kahhat et al., 2019</t>
  </si>
  <si>
    <t>Environmental impacts of the life cycle of alluvial gold mining in the Peruvian Amazon rainforest</t>
  </si>
  <si>
    <t>https://doi.org/10.1016/j.scitotenv.2019.01.246</t>
  </si>
  <si>
    <t>http://dx.doi.org/10.18687/LACCEI2020.1.1.577</t>
  </si>
  <si>
    <t>Hg</t>
  </si>
  <si>
    <t>Tl</t>
  </si>
  <si>
    <t>Pb</t>
  </si>
  <si>
    <t>Sun et al., 2019</t>
  </si>
  <si>
    <t>Life Cycle Assessment of Lead Production in China</t>
  </si>
  <si>
    <t>https://doi.org/10.4028/www.scientific.net/MSF.944.1123</t>
  </si>
  <si>
    <t>Davidson et al., 2016</t>
  </si>
  <si>
    <t>Lead industry life cycle studies: environmental impact and life cycle assessment of lead battery and architectural sheet production</t>
  </si>
  <si>
    <t>https://doi.org/10.1007/s11367-015-1021-5</t>
  </si>
  <si>
    <t>Hong et al., 2017</t>
  </si>
  <si>
    <t>Life cycle environmental and economic assessment of lead refining in China</t>
  </si>
  <si>
    <t>https://doi.org/10.1007/s11367-016-1209-3</t>
  </si>
  <si>
    <t>Chen et al., 2017</t>
  </si>
  <si>
    <t>The Environmental Burdens of Lead-Acid Batteries in China: Insights from an Integrated Material Flow Analysis and Life Cycle Assessment of Lead</t>
  </si>
  <si>
    <t>https://doi.org/10.3390/en10121969</t>
  </si>
  <si>
    <t>Environmental improvement of lead refining: a case study of water footprint assessment in Jiangxi Province, China</t>
  </si>
  <si>
    <t>https://doi.org/10.1007/s11367-018-01578-3</t>
  </si>
  <si>
    <t>Daniel et al., 2003</t>
  </si>
  <si>
    <t>Applying life cycle inventory to reverse supply chains: a case study of lead recovery from batteries</t>
  </si>
  <si>
    <t>https://doi.org/10.1016/S0921-3449(02)00070-8</t>
  </si>
  <si>
    <t>Gao et al., 2023</t>
  </si>
  <si>
    <t>Life cycle assessment of a typical lead smelting process in China</t>
  </si>
  <si>
    <t>https://doi.org/10.1016/j.jclepro.2023.137796</t>
  </si>
  <si>
    <t>Beylot et al., 2021</t>
  </si>
  <si>
    <t>Switch on-switch off small-scale mining: Environmental performance in a life cycle perspective</t>
  </si>
  <si>
    <t>https://doi.org/10.1016/j.jclepro.2021.127647</t>
  </si>
  <si>
    <t>Bi</t>
  </si>
  <si>
    <t>Gordon et al., 2022</t>
  </si>
  <si>
    <t>Sustainable Production of Layered Bismuth Oxyhalides for Photocatalytic H2 Production</t>
  </si>
  <si>
    <t>https://doi.org/10.1021/acssuschemeng.2c05326</t>
  </si>
  <si>
    <t>44-46; 76-78</t>
  </si>
  <si>
    <t>PGM</t>
  </si>
  <si>
    <t>Ghodrat et al., 2017</t>
  </si>
  <si>
    <t>A Comparative Life Cycle Assessment of Recycling the Platinum Group Metals from Automobile Catalytic Converter: An Australian Perspective</t>
  </si>
  <si>
    <t>https://doi.org/10.1007/s40553-017-0109-1</t>
  </si>
  <si>
    <t>Swart and Dewulf, 2013</t>
  </si>
  <si>
    <t>Quantifying the impacts of primary metal resource use in life cycle assessment based on recent mining data</t>
  </si>
  <si>
    <t>https://doi.org/10.1016/j.resconrec.2013.02.007</t>
  </si>
  <si>
    <t>Sutar and Yadav, 2024</t>
  </si>
  <si>
    <t>Exploring the environmental performance of electroless plated palladium alloy membranes for H2 separation: A cradle-to-gate life cycle study</t>
  </si>
  <si>
    <t>https://doi.org/10.1016/j.ijhydene.2024.06.231</t>
  </si>
  <si>
    <t>Amatayakul and Ramnäs, 2001</t>
  </si>
  <si>
    <t>Life cycle assessment of a catalytic converter for passenger cars</t>
  </si>
  <si>
    <t>https://doi.org/10.1016/S0959-6526(00)00082-2</t>
  </si>
  <si>
    <t>Andrae et al., 2007</t>
  </si>
  <si>
    <t>Screening Life Cycle Assessment of Silver-Based Conductive Adhesive vs. Lead-Based Solder and Plating Materials</t>
  </si>
  <si>
    <t>https://doi.org/10.2320/matertrans.MRA2006340</t>
  </si>
  <si>
    <t>Alique et al., 2024</t>
  </si>
  <si>
    <t>Environmental and cost assessments criteria for selection of promising palladium membranes fabrication strategies</t>
  </si>
  <si>
    <t>https://doi.org/10.1016/j.ijhydene.2023.04.292</t>
  </si>
  <si>
    <t>Silvestri et al., 2019</t>
  </si>
  <si>
    <t>Environmental Analysis Based on Life Cycle Assessment: An Empirical Investigation on the Conventional and Hybrid Powertrain</t>
  </si>
  <si>
    <t>https://doi.org/10.4271/2019-24-0245</t>
  </si>
  <si>
    <t>International Platinum Group Metals Association, 2023</t>
  </si>
  <si>
    <t>The Carbon Footprint of Platinum Group Metals</t>
  </si>
  <si>
    <t>https://ipa-news.com/assets/sustainability/LCA%20Fact%20Sheets/IPA%20PGM%20Carbon%20Footprint%20Guidance%20Document_October%202023.pdf</t>
  </si>
  <si>
    <t>International Platinum Group Metals Association, 2017 - 2022</t>
  </si>
  <si>
    <t>The environmental profile of platinum group metals (PGMs)</t>
  </si>
  <si>
    <t>https://ipa-news.com/index/sustainability/environment/pgms-in-the-life-cycle.html</t>
  </si>
  <si>
    <t>Mabiza-ma-Mabiza and Mbohwa, 2016</t>
  </si>
  <si>
    <t>Ore Processing by PGM Concentration Process and Assessment of CO2 Equivalent Emissions and Environmental Damage Directly Involved</t>
  </si>
  <si>
    <t>https://doi.org/10.1007/978-981-10-1088-0_21</t>
  </si>
  <si>
    <t>Schmidt and Fritz, 2022</t>
  </si>
  <si>
    <t>Developing a Model for Determining the Life Cycle Assessment and the Carbon Footprint of Precious Metals</t>
  </si>
  <si>
    <t>https://www.c-hafner.de/fileadmin/user_upload/pdf/Life_Cycle_Assessment_and_Carbon_Footprint_of_precious_metal_recycling_by_C.HANFER_-_Summary_INEC___treeze_en.pdf</t>
  </si>
  <si>
    <t>57-71</t>
  </si>
  <si>
    <t>RE</t>
  </si>
  <si>
    <t>Arshi et al., 2018</t>
  </si>
  <si>
    <t>Behind the Scenes of Clean Energy: The Environmental Footprint of Rare Earth Products</t>
  </si>
  <si>
    <t>https://doi.org/10.1021/acssuschemeng.7b03484</t>
  </si>
  <si>
    <t>Bailey et al., 2020</t>
  </si>
  <si>
    <t>Review and new life cycle assessment for rare earth production from bastnäsite, ion adsorption clays and lateritic monazite</t>
  </si>
  <si>
    <t>https://doi.org/10.1016/j.resconrec.2019.104675</t>
  </si>
  <si>
    <t>Beylot et al., 2019</t>
  </si>
  <si>
    <t>Economic assessment and carbon footprint of recycling rare earths from magnets</t>
  </si>
  <si>
    <t>https://doi.org/10.1111/jiec.12943</t>
  </si>
  <si>
    <t>Deng and Kendall, 2019</t>
  </si>
  <si>
    <t>Life cycle assessment with primary data on heavy rare earth oxides from ion-adsorption clays</t>
  </si>
  <si>
    <t>https://doi.org/10.1007/s11367-019-01582-1</t>
  </si>
  <si>
    <t>Fernandes et al., 2020</t>
  </si>
  <si>
    <t>Simulation-Based Exergetic Analysis of NdFeB Permanent Magnet Production to Understand Large Systems</t>
  </si>
  <si>
    <t>https://doi.org/10.1007/s11837-020-04185-6</t>
  </si>
  <si>
    <t>Haque et al., 2014</t>
  </si>
  <si>
    <t>Rare Earth Elements: Overview of Mining, Mineralogy, Uses, Sustainability and Environmental Impact</t>
  </si>
  <si>
    <t>https://doi.org/10.3390/resources3040614</t>
  </si>
  <si>
    <t>Koltun and Klymenko, 2020</t>
  </si>
  <si>
    <t>Cradle-to-gate life cycle assessment of the production of separated mix of rare earth oxides based on Australian production route</t>
  </si>
  <si>
    <t>https://doi.org/10.33271/mining14.02.001</t>
  </si>
  <si>
    <t>Koltun and Tharumarajah, 2014</t>
  </si>
  <si>
    <t>Life Cycle Impact of Rare Earth Elements</t>
  </si>
  <si>
    <t>https://doi.org/10.1155/2014/907536</t>
  </si>
  <si>
    <t>Langkau and Erdmann, 2021</t>
  </si>
  <si>
    <t>Environmental impacts of the future supply of rare earths for magnet applications</t>
  </si>
  <si>
    <t>https://doi.org/10.1111/jiec.13090</t>
  </si>
  <si>
    <t>Lee and Wen, 2017</t>
  </si>
  <si>
    <t>Rare Earths from Mines to Metals: Comparing Environmental Impacts from China’s Main Production Pathways</t>
  </si>
  <si>
    <t>https://doi.org/10.1111/jiec.12491</t>
  </si>
  <si>
    <t>Marx et al., 2018</t>
  </si>
  <si>
    <t>Comparative Life Cycle Assessment of NdFeB Permanent Magnet Production from Different Rare Earth Deposits</t>
  </si>
  <si>
    <t>https://doi.org/10.1021/acssuschemeng.7b04165</t>
  </si>
  <si>
    <t>Miranda Xicotencatl et al., 2023a</t>
  </si>
  <si>
    <t>Data implementation matters: Effect of software choice and LCI database evolution on a comparative LCA study of permanent magnets</t>
  </si>
  <si>
    <t>https://doi.org/10.1111/jiec.13410</t>
  </si>
  <si>
    <t>Navarro and Zhao, 2014</t>
  </si>
  <si>
    <t>Life-cycle assessment of the production of rare-earth elements for energy applications: a review</t>
  </si>
  <si>
    <t>https://doi.org/10.3389/fenrg.2014.00045</t>
  </si>
  <si>
    <t>Packey and Dudley, 2016</t>
  </si>
  <si>
    <t>The impact of unregulated ionic clay rare earth mining in China</t>
  </si>
  <si>
    <t>https://doi.org/10.1016/j.resourpol.2016.03.003</t>
  </si>
  <si>
    <t>Pell et al., 2019</t>
  </si>
  <si>
    <t>Mineral processing simulation based-environmental life cycle assessment for rare earth project development: A case study on the Songwe Hill project</t>
  </si>
  <si>
    <t>https://doi.org/10.1016/j.jenvman.2019.109353</t>
  </si>
  <si>
    <t>Schreiber et al., 2016</t>
  </si>
  <si>
    <t>Environmental Impacts of Rare Earth Mining and Separation Based on Eudialyte: A New European Way</t>
  </si>
  <si>
    <t>https://doi.org/10.3390/resources5040032</t>
  </si>
  <si>
    <t>Schultze et al., 2017</t>
  </si>
  <si>
    <t>Developing a Life Cycle Inventory for Rare Earth Oxides from Ion-Adsorption Deposits: Key Impacts and Further Research Needs</t>
  </si>
  <si>
    <t>https://doi.org/10.1007/s40831-017-0139-z</t>
  </si>
  <si>
    <t>Schultze et al., 2018</t>
  </si>
  <si>
    <t>An Ex-ante LCA Study of Rare Earth Extraction from NdFeB Magnet Scrap Using Molten Salt Electrolysis</t>
  </si>
  <si>
    <t>https://doi.org/10.1007/s40831-018-0198-9</t>
  </si>
  <si>
    <t>Sprecher et al., 2014</t>
  </si>
  <si>
    <t>Life Cycle Inventory of the Production of Rare Earths and the Subsequent Production of NdFeB Rare Earth Permanent Magnets</t>
  </si>
  <si>
    <t>https://doi.org/10.1021/es404596q</t>
  </si>
  <si>
    <t>Vahidi and Zhao, 2018</t>
  </si>
  <si>
    <t>Assessing the environmental footprint of the production of rare earth metals and alloys via molten salt electrolysis</t>
  </si>
  <si>
    <t>https://doi.org/10.1016/j.resconrec.2018.08.010</t>
  </si>
  <si>
    <t>Vahidi et al., 2016</t>
  </si>
  <si>
    <t>An initial life cycle assessment of rare earth oxides production from ion-adsorption clays</t>
  </si>
  <si>
    <t>https://doi.org/10.1016/j.resconrec.2016.05.006</t>
  </si>
  <si>
    <t>Wang et al., 2020</t>
  </si>
  <si>
    <t>Environmental impacts of scandium oxide production from rare earths tailings of Bayan Obo Mine</t>
  </si>
  <si>
    <t>https://doi.org/10.1016/j.jclepro.2020.122464</t>
  </si>
  <si>
    <t>Weng et al., 2016</t>
  </si>
  <si>
    <t>Assessing the energy requirements and global warming potential of the production of rare earth elements</t>
  </si>
  <si>
    <t>https://doi.org/10.1016/j.jclepro.2016.08.132</t>
  </si>
  <si>
    <t>Wulf et al., 2017</t>
  </si>
  <si>
    <t>Lessons Learned from a Life Cycle Sustainability Assessment of Rare Earth Permanent Magnets</t>
  </si>
  <si>
    <t>https://doi.org/10.1111/jiec.12575</t>
  </si>
  <si>
    <t>Life cycle assessment of rare earths recovery from waste fluorescent powders – A case study in China</t>
  </si>
  <si>
    <t>https://doi.org/10.1016/j.wasman.2019.08.038</t>
  </si>
  <si>
    <t>Zaimes et al., 2015</t>
  </si>
  <si>
    <t>Environmental Life Cycle Perspective on Rare Earth Oxide Production</t>
  </si>
  <si>
    <t>https://doi.org/10.1021/sc500573b</t>
  </si>
  <si>
    <t>Schreiber et al., 2021</t>
  </si>
  <si>
    <t>Life Cycle Assessment studies of rare earths production - Findings from a systematic review</t>
  </si>
  <si>
    <t>https://doi.org/10.1016/j.scitotenv.2021.148257</t>
  </si>
  <si>
    <t>Browning et al., 2016</t>
  </si>
  <si>
    <t>Life Cycle Assessment of Rare Earth Production from Monazite</t>
  </si>
  <si>
    <t>https://doi.org/10.1007/978-3-319-48768-7_12</t>
  </si>
  <si>
    <t>Peiró et al., 2013</t>
  </si>
  <si>
    <t>Material and Energy Requirement for Rare Earth Production</t>
  </si>
  <si>
    <t>https://doi.org/10.1007/s11837-013-0719-8</t>
  </si>
  <si>
    <t>Y</t>
  </si>
  <si>
    <t>Li2CO3 production in Argentina/Salar de Cauchari</t>
  </si>
  <si>
    <t>Data partly used as complement to the Chordia et al. (2022) inventory</t>
  </si>
  <si>
    <t xml:space="preserve">Li2CO3 production in Argentina/Salar de Olaroz </t>
  </si>
  <si>
    <t>-</t>
  </si>
  <si>
    <t xml:space="preserve">Li2CO3 production in China/Chaerhan Salt Lake </t>
  </si>
  <si>
    <t>Li2CO3 production in Argentina/Salar de Hombre Muerto</t>
  </si>
  <si>
    <t xml:space="preserve">Li2CO3 production in Chile/Salar de Atacama </t>
  </si>
  <si>
    <t>Data partly used as complement to the Kelly et al. (2021) inventory</t>
  </si>
  <si>
    <t>Main dataset for this production route, complemented with data from Schenker et al. (2022)</t>
  </si>
  <si>
    <t xml:space="preserve">LiOH.H2O production in Chile/Salar de Atacama </t>
  </si>
  <si>
    <t>Spodumene ore mining in Australia/Greenbushes and Li2CO3 production in China/Shehong</t>
  </si>
  <si>
    <t>Main dataset for this production route, complemented with data from Stamp et al. (2012) and Mas-Fons et al. (2024)</t>
  </si>
  <si>
    <t>Spodumene ore mining in Australia/Greenbushes and LiOH.H2O production in China/Shehong</t>
  </si>
  <si>
    <t xml:space="preserve">Li2CO3 production in China/Zhangjiagang </t>
  </si>
  <si>
    <t>N</t>
  </si>
  <si>
    <t>Excluded due to the availability of more recent data</t>
  </si>
  <si>
    <t>Spodumene ore mining in Australia/Greenbushes and Li2CO3 production in China</t>
  </si>
  <si>
    <t>Excluded due to unavailable LCI</t>
  </si>
  <si>
    <t>Excluded due to limited market relevance</t>
  </si>
  <si>
    <t>Excluded due to lack of original LCI data</t>
  </si>
  <si>
    <t>Excluded due to the availability of more representative data</t>
  </si>
  <si>
    <t>Spodumene ore mining in Australia/Greenbushes/Mt. Cattlin and Li2CO3 production in China/Shehong</t>
  </si>
  <si>
    <t>Excluded due to the level of aggregation of the LCI dataset</t>
  </si>
  <si>
    <t>Bertrandite ore mining and Be metal production in the US</t>
  </si>
  <si>
    <t>Colemanite ore mining and Boric acid production in Turkey</t>
  </si>
  <si>
    <t>Tincal ore mining and Borax pentahydrate production in Turkey</t>
  </si>
  <si>
    <t>Tincal ore mining and Borax decahydrate production in Turkey</t>
  </si>
  <si>
    <t>Tincal ore mining and Sodium perborate production in Turkey</t>
  </si>
  <si>
    <t>Boric acid production from salt-lake brines</t>
  </si>
  <si>
    <t>Szaibelyite ore mining and Borax production in China/Liaoning through CO2-soda process</t>
  </si>
  <si>
    <t>Ludwigite ore mining and Borax production in China/Shenyang through CO2-soda process</t>
  </si>
  <si>
    <t>Borax production in China from iron slags through CO2-soda process</t>
  </si>
  <si>
    <t>Szaibelyite ore mining and Boric acid production in China/Liaoning through floatation</t>
  </si>
  <si>
    <t>Ludwigite ore mining and Boric acid production in China/Shenyang through floatation</t>
  </si>
  <si>
    <t>Ludwigite ore mining and Boric acid production in China/Shenyang through salting-out process</t>
  </si>
  <si>
    <t>Szaibelyite ore mining and Boric acid production in China/Liaoning through two-step process</t>
  </si>
  <si>
    <t>Synthetic graphite production worldwide</t>
  </si>
  <si>
    <t>Excluded due to limited representativeness of data</t>
  </si>
  <si>
    <t>Graphite ore mining in China/Heilongjiang and natural graphite production in China/Shandong</t>
  </si>
  <si>
    <t>Synthetic graphite production in the US</t>
  </si>
  <si>
    <t>Graphite ore mining and natural spherical graphite production in China</t>
  </si>
  <si>
    <t>Excluded due to limited completeness of LCI dataset</t>
  </si>
  <si>
    <t>Synthetic graphite production in China</t>
  </si>
  <si>
    <t>Dolomite ore mining and Mg production in China through Pidgeon process</t>
  </si>
  <si>
    <t>Main dataset for this production route, complemented with data from Cherubini et al. (2008) and Ehrenberger (2020)</t>
  </si>
  <si>
    <t>Magnesite ore mining and Mg production in Australia through AM process</t>
  </si>
  <si>
    <t>Dolomite ore mining and Mg production in Brazil through Bolzano process</t>
  </si>
  <si>
    <t>Dolomite ore mining and Mg production in France through Magnetherm process</t>
  </si>
  <si>
    <t>Data partly used as complement to the Ehrenberger (2020) inventory</t>
  </si>
  <si>
    <t>Excluded due to the availability of more complete dataset</t>
  </si>
  <si>
    <t>Dolomite ore mining and Mg production in South Korea through Pidgeon process</t>
  </si>
  <si>
    <t>Magnesite ore mining and MgO production in China</t>
  </si>
  <si>
    <t>Bauxite mining in Australia</t>
  </si>
  <si>
    <t>Al ingot production in China</t>
  </si>
  <si>
    <t>Al production in China through Al scraps recycling</t>
  </si>
  <si>
    <t>Bauxite mining and Al ingot production in the US</t>
  </si>
  <si>
    <t>Bauxite mining and Al ingot production in China</t>
  </si>
  <si>
    <t>Al production in Gulf Cooperation Council (GCC) countries</t>
  </si>
  <si>
    <t>Bauxite mining and Al ingot production worldwide</t>
  </si>
  <si>
    <t>Data partly used as complement to the other IAI (2022) inventories</t>
  </si>
  <si>
    <t>Bauxite mining and Al ingot production in South America</t>
  </si>
  <si>
    <t>Bauxite mining and Al ingot production in Oceania</t>
  </si>
  <si>
    <t>Al ingot production in North America</t>
  </si>
  <si>
    <t>Al ingot production in Europe</t>
  </si>
  <si>
    <t>Al ingot production in Russia and rest-of-Europe</t>
  </si>
  <si>
    <t>Al ingot production in Gulf Cooperation Council (GCC) countries</t>
  </si>
  <si>
    <t>Al ingot production in Africa</t>
  </si>
  <si>
    <t>Al ingot production in rest-of-Asia</t>
  </si>
  <si>
    <t>Bauxite mining and Al ingot production in North America</t>
  </si>
  <si>
    <t>Al production in North America through Al scraps recycling</t>
  </si>
  <si>
    <t>Bauxite mining and Al ingot production in Europe</t>
  </si>
  <si>
    <t>Al production in Europe through Al scraps recycling</t>
  </si>
  <si>
    <t>Al production in China</t>
  </si>
  <si>
    <t>Al production in China through C&amp;D wastes recycling</t>
  </si>
  <si>
    <t>Al production in China through ELV wastes recycling</t>
  </si>
  <si>
    <t>Al production in China through WEEE recycling</t>
  </si>
  <si>
    <t>Al production in Europe through WEEE recycling</t>
  </si>
  <si>
    <t>Quartz mining and metal-grade Si production in China through Carbon Thermal reduction</t>
  </si>
  <si>
    <t>Quartz mining and high-quality silica sand production in the US</t>
  </si>
  <si>
    <t>Quartz mining and silica sand production in the US through magnetic separation</t>
  </si>
  <si>
    <t>Quartz mining and silica sand production in the US through flotation separation</t>
  </si>
  <si>
    <t>Quartz mining and silica sand production in the US through gravity separation</t>
  </si>
  <si>
    <t>Metal-grade Si production in China</t>
  </si>
  <si>
    <t>Quartz mining and metal-grade Si production in China thourhg carbon thermal reduction</t>
  </si>
  <si>
    <t>Metal-grade Si production in Norway</t>
  </si>
  <si>
    <t>Metal-grade Si production in the US</t>
  </si>
  <si>
    <t>Metal-grade Si production in the Asia/Pacific region</t>
  </si>
  <si>
    <t>Metal-grade Si production in Spain</t>
  </si>
  <si>
    <t>Ilmenite ore mining and Ti sponge production in China through Kroll process</t>
  </si>
  <si>
    <t>Magnetite ore mining and TiO2 production in China through Chloride route</t>
  </si>
  <si>
    <t>Magnetite ore mining and TiO2 production in China through Sulfate route</t>
  </si>
  <si>
    <t>Rutile ore mining in Australia</t>
  </si>
  <si>
    <t>Ilmenite ore mining in Australia</t>
  </si>
  <si>
    <t>Ilmenite recovery from VTM ore mining and V2O5 production in China</t>
  </si>
  <si>
    <t>V2O5 production in China through Na-roasting</t>
  </si>
  <si>
    <t>V2O5 production in China through Ca-roasting</t>
  </si>
  <si>
    <t>V2O5 production in China through Sub-Molten Salt Process</t>
  </si>
  <si>
    <t>VTM ore mining and V2O5 production in China</t>
  </si>
  <si>
    <t>VTM ore mining and V2O5 production in South Africa/Mapochs Mine</t>
  </si>
  <si>
    <t>V2O5 production in China from Roscoelite</t>
  </si>
  <si>
    <t>Excluded due to lack of clarity in original data sources</t>
  </si>
  <si>
    <t>Lima et al., 2021</t>
  </si>
  <si>
    <t>V2O5 production in China from VTM</t>
  </si>
  <si>
    <t>Chromite ore mining and FeCr production in Australia</t>
  </si>
  <si>
    <t>Chromite ore underground mining in South Africa/Finland/Kazakhstan</t>
  </si>
  <si>
    <t>Chromite ore surface mining in South Africa/Finland/Kazakhstan</t>
  </si>
  <si>
    <t>Chromite ore mining and FeCr production in South Africa/Finland/Kazakhstan through Open Furnace Smelting</t>
  </si>
  <si>
    <t>Chromite ore mining and FeCr production in South Africa/Finland/Kazakhstan through Closed Furnace Smelting (without preheating)</t>
  </si>
  <si>
    <t>Chromite ore mining and FeCr production in South Africa/Finland/Kazakhstan through Closed Furnace Smelting (with preheating)</t>
  </si>
  <si>
    <t>Chromite ore mining and Cr metal production in South Africa/Finland/Kazakhstan</t>
  </si>
  <si>
    <t>Mn ore mining and Mn metal production in China</t>
  </si>
  <si>
    <t>Mn ore mining and FeMn production in Australia/Tasmania</t>
  </si>
  <si>
    <t>Mn ore mining and SiMn production in Australia/Tasmania</t>
  </si>
  <si>
    <t>Iron ore mining in Brazil</t>
  </si>
  <si>
    <t>Iron ore mining in Australia</t>
  </si>
  <si>
    <t>Steel production in Italy</t>
  </si>
  <si>
    <t>Iron ore mining in Ukraine</t>
  </si>
  <si>
    <t>Iron ore mining in South Africa</t>
  </si>
  <si>
    <t>Iron ore mining in Canada</t>
  </si>
  <si>
    <t>Steel production in Brazil</t>
  </si>
  <si>
    <t>Steel production in Russia</t>
  </si>
  <si>
    <t>Steel production in South Korea</t>
  </si>
  <si>
    <t>Steel production in India</t>
  </si>
  <si>
    <t>Steel production in Germany</t>
  </si>
  <si>
    <t>Steel production in China</t>
  </si>
  <si>
    <t>Steel production in Canada</t>
  </si>
  <si>
    <t>Steel production in Ukraine</t>
  </si>
  <si>
    <t>Steel production in Turkey</t>
  </si>
  <si>
    <t>Iron ore sintering in China/Jiangxi</t>
  </si>
  <si>
    <t>Iron and steel slag recycling in China/Tangshan</t>
  </si>
  <si>
    <t>Liquid iron production in China</t>
  </si>
  <si>
    <t>Iron ore mining and steel (AHSS) production in China</t>
  </si>
  <si>
    <t>Crude steel production in China through Blast Furnace-Basic Oxygen Furnace (BF-BOF)</t>
  </si>
  <si>
    <t>Iron pellet production in China</t>
  </si>
  <si>
    <t>Steel billet production in China/Shandong</t>
  </si>
  <si>
    <t>Fe recovery from magnetite ore mining and TiO2 production in China through Sulfate Route</t>
  </si>
  <si>
    <t>Fe recovery from ilmenite ore mining and Ti sponge production in China through the Kroll process</t>
  </si>
  <si>
    <t>Fe recovery from VTM ore mining and V2O5 production in China</t>
  </si>
  <si>
    <t>Fe recovery from VTM ore mining and V2O5 production in South Africa/Mapochs Mine</t>
  </si>
  <si>
    <t>Fe recovery from chromite ore mining and Cr metal production in South Africa/Finland/Kazakhstan</t>
  </si>
  <si>
    <t>Fe recovery from Au alluvial mining and Au production in Colombia/Antioquia</t>
  </si>
  <si>
    <t>Fe recovery from bastnaesite-monazite ore mining and REO production in China/Bayan Obo</t>
  </si>
  <si>
    <t>Fe recovery from Cu ore mining in Sweden/Aitik and Cu production in Sweden/Rönnskärsverken</t>
  </si>
  <si>
    <t>Fe production in China through C&amp;D wastes recycling</t>
  </si>
  <si>
    <t>Fe production in China through ELV wastes recycling</t>
  </si>
  <si>
    <t>Fe production in China through WEEE recycling</t>
  </si>
  <si>
    <t>Fe production in Europe through WEEE recycling</t>
  </si>
  <si>
    <t>Cu/Co ore mining in DRC and CoSO4 production in China/Tongxiang</t>
  </si>
  <si>
    <t>Cu/Co ore mining in DRC and Co3O4 production in China/Quzhou</t>
  </si>
  <si>
    <t>Cu/Co ore mining in DRC and Co production</t>
  </si>
  <si>
    <t>Ni/Cu/Co ore mining in China/Xinjiang and CoSO4 production in Southeastern China</t>
  </si>
  <si>
    <t>Co recovery from laterite ore mining and Ni class 1 production in Australia from High Pressure Acid Leaching (HPAL)</t>
  </si>
  <si>
    <t>Co recovery from sulfide ore mining and Ni class 1 production in Australia through Flash Smelting</t>
  </si>
  <si>
    <t>Co recovery from Ni ore mining and Ni class 1 production in China/Gansu through Grind and Flotation Electrolytic Method (GFEM)</t>
  </si>
  <si>
    <t>Co recovery from Ni ore mining and Ni class 1 production in China/Gansu through Leaching Electrowinning Method (LEM)</t>
  </si>
  <si>
    <t>Co recovery from Ni ore mining and NiSO4 production worldwide</t>
  </si>
  <si>
    <t>Co(OH)2 production in Europe through hardmetal scrap recycling</t>
  </si>
  <si>
    <t>Ni ore mining and Ni class 1 production in China/Gansu through Grind and Flotation Electrolytic Method (GFEM)</t>
  </si>
  <si>
    <t>Ni ore mining and Ni class 1 production in China/Gansu through Leaching Electrowinning Method (LEM)</t>
  </si>
  <si>
    <t>Sulfide ore mining and Ni class 1 production in Australia through Flash Smelting</t>
  </si>
  <si>
    <t>Laterite ore mining and NiO production in Indonesia through Rotary-Kiln Electric Furnace (RKEF)</t>
  </si>
  <si>
    <t>Laterite ore mining and FeNi production in Colombia through RKEF</t>
  </si>
  <si>
    <t>Laterite ore mining and NPI production in Indonesia through Blast Furnace Smelting</t>
  </si>
  <si>
    <t>Ni ore mining and Ni class 1 production worldwide</t>
  </si>
  <si>
    <t>Ni ore mining and FeNi production worldwide</t>
  </si>
  <si>
    <t>Ni ore mining and NiSO4 production worldwide</t>
  </si>
  <si>
    <t>Sulfide ore mining and Ni class 1 production in China</t>
  </si>
  <si>
    <t>Laterite ore mining and FeNi production in China through Smelting</t>
  </si>
  <si>
    <t>Laterite ore mining and Ni class 1 production in Australia from High Pressure Acid Leaching (HPAL)</t>
  </si>
  <si>
    <t>Laterite ore mining and FeNi production in Australia</t>
  </si>
  <si>
    <t>Ni ore mining and Ni class 1 production through Pyrometallurgy</t>
  </si>
  <si>
    <t>Excluded due to unclear geographical scope</t>
  </si>
  <si>
    <t>Ni ore mining and Ni class 1 production through Hydrometallurgy</t>
  </si>
  <si>
    <t>Laterite ore mining and Ni class 1 production</t>
  </si>
  <si>
    <t>Ni recovery from Cu ore mining in Sweden/Aitik and Cu production in Sweden/Rönnskärsverken</t>
  </si>
  <si>
    <t>Ni recovery from Cu ore mining and Cu production in China/Anhui/Jiangxi/Henan/Yunan through Pyrometallurgy</t>
  </si>
  <si>
    <t>Ni production in China through WEEE recycling</t>
  </si>
  <si>
    <t>Ni production in Europe through WEEE recycling</t>
  </si>
  <si>
    <t>Ni production in China/Jiangxi through Cu wastes recycling</t>
  </si>
  <si>
    <t>Ni recovery from Cu ore mining and Cu production in China</t>
  </si>
  <si>
    <t>Cu ore mining and Cu production in Zambia/Muliashi through Heap Leaching (Hydrometallurgy)</t>
  </si>
  <si>
    <t>Cu ore mining and Cu production in Zambia/Muliashi through Heap Agitation Leaching (Hydrometallurgy)</t>
  </si>
  <si>
    <t>Cu ore mining in Sweden/Aitik and Cu production in Sweden/Rönnskärsverken</t>
  </si>
  <si>
    <t>Cu ore mining and Cu production in China/Anhui/Jiangxi through Pyrometallurgy</t>
  </si>
  <si>
    <t>Cu production in China/Anhui/Jiangxi through Cu scraps recycling</t>
  </si>
  <si>
    <t>Cu ore mining and Cu production in China/Anhui/Jiangxi/Henan/Yunan through Pyrometallurgy</t>
  </si>
  <si>
    <t>Cu ore mining and Cu production in Iran/Siasteragi through Hydrometallurgy</t>
  </si>
  <si>
    <t>Cu production in China through Cu ashes recycling</t>
  </si>
  <si>
    <t>Cu production in China through Cu slags recycling</t>
  </si>
  <si>
    <t>Cu ore mining in China</t>
  </si>
  <si>
    <t>Cu ore mining in China/Jiangxi</t>
  </si>
  <si>
    <t>Cu production in China through C&amp;D wastes recycling</t>
  </si>
  <si>
    <t>Cu production in China through ELV wastes recycling</t>
  </si>
  <si>
    <t>Cu production in China through WEEE recycling</t>
  </si>
  <si>
    <t>Cu production in China/Jiangxi through Cu wastes recycling</t>
  </si>
  <si>
    <t>Cu ore mining and Cu production in Chile through Pyrometallurgy</t>
  </si>
  <si>
    <t>Cu ore mining and Cu production in Chile through Hydrometallurgy</t>
  </si>
  <si>
    <t>Cu production in Europe through WEEE recycling</t>
  </si>
  <si>
    <t>Cu ore mining and Cu production in China</t>
  </si>
  <si>
    <t>Cu recycling in China</t>
  </si>
  <si>
    <t>Cu ore mining in Australia</t>
  </si>
  <si>
    <t>Cu production in China through Cu scraps recycling</t>
  </si>
  <si>
    <t>Cu ore mining and Cu production through Pyrometallurgy</t>
  </si>
  <si>
    <t>Cu ore mining and Cu production through Hydrometallurgy</t>
  </si>
  <si>
    <t>Cu ore mining and Cu production in the US through Pyrometallurgy</t>
  </si>
  <si>
    <t>Cu production in Germany</t>
  </si>
  <si>
    <t>Cu recovery from Ni ore mining and Ni class 1 production in China/Gansu through Grind and Flotation Electrolytic Method (GFEM)</t>
  </si>
  <si>
    <t>Cu recovery from Ni ore mining and NiSO4 production worldwide</t>
  </si>
  <si>
    <t>Cu recovery from Zn ore mining and Zn production worldwide through Smelting</t>
  </si>
  <si>
    <t>Cu/Co ore mining and Cu production in DRC through Hydrometallurgy</t>
  </si>
  <si>
    <t>Cu production in Sweden</t>
  </si>
  <si>
    <t>Zn ore mining and Zn production worldwide through Smelting</t>
  </si>
  <si>
    <t>Zn ore mining and Zn production in China/Jiangxi through Hydrometallurgy</t>
  </si>
  <si>
    <t>Zn production in China/Yangtze through Hydrometallurgy</t>
  </si>
  <si>
    <t>Zn ore mining in China/Guangdong</t>
  </si>
  <si>
    <t>Zn ore mining and Zn production in China through Smelting</t>
  </si>
  <si>
    <t>Zn ore mining and Zn production in Canada/Kidd Creek</t>
  </si>
  <si>
    <t>Pb/Zn ore mining and Pb/Zn production in Canada/Peru/Chile/the US</t>
  </si>
  <si>
    <t>LCI dataset is aggregated at company level (i.e. aggregation of multiple production routes)</t>
  </si>
  <si>
    <t>Zn production in China through Cu ashes recycling</t>
  </si>
  <si>
    <t>Zn production in China through WEEE recycling</t>
  </si>
  <si>
    <t>Zn production in China/Jiangxi through Cu wastes recycling</t>
  </si>
  <si>
    <t>Ge recovery along with Pb/Zn production in Canada/Peru/Chile/the US</t>
  </si>
  <si>
    <t>Se recovery from Cu production in the US through Pyrometallurgy</t>
  </si>
  <si>
    <t>Se production in China through Cu anode slime processing</t>
  </si>
  <si>
    <t>Se recovery from Cu production in Sweden/Rönnskärsverken</t>
  </si>
  <si>
    <t>Se production in China/Jiangxi through Cu wastes recycling</t>
  </si>
  <si>
    <t>Zircon sand production worldwide</t>
  </si>
  <si>
    <t>Zr metal production</t>
  </si>
  <si>
    <t>Pyrochlore ore mining and FeNb production in Brazil/Araxa</t>
  </si>
  <si>
    <t>LCI dataset is confidential</t>
  </si>
  <si>
    <t xml:space="preserve">Pyrochlore ore mining and Nb2O5 production in Brazil/Araxa </t>
  </si>
  <si>
    <t>Pyrochlore ore mining and Nb2O5 production in Brazil</t>
  </si>
  <si>
    <t>Pyrochlore ore mining and FeNb production in Brazil</t>
  </si>
  <si>
    <t>NbTi production (for Cu wire)</t>
  </si>
  <si>
    <t>Mo recovery from Cu ore mining in the US</t>
  </si>
  <si>
    <t>Mo ore mining and FeMo production in the US</t>
  </si>
  <si>
    <t>Two mines with two distinct inventories are provided for this production route. However, details about the two mines are not available, which do not enable the distinction of the two production routes</t>
  </si>
  <si>
    <t>Mo ore mining and FeMo production in China</t>
  </si>
  <si>
    <t>FeMo recovery from Cu ore mining in the US</t>
  </si>
  <si>
    <t>Mo ore mining and MoS2 production in the US</t>
  </si>
  <si>
    <t>MoS2 recovery from Cu ore mining in the US</t>
  </si>
  <si>
    <t>Ag recovery from Pb/Zn production in Canada/Peru/Chile/the US</t>
  </si>
  <si>
    <t>Ag recovery from Au production in Australia</t>
  </si>
  <si>
    <t>Ag recovery from Au production in South Africa</t>
  </si>
  <si>
    <t>Ag recovery from Au production in Peru</t>
  </si>
  <si>
    <t>Excluded due to the availability of other data</t>
  </si>
  <si>
    <t>Ag production in China/Jiangxi through Cu anode slime processing</t>
  </si>
  <si>
    <t>Ag recovery from Au production</t>
  </si>
  <si>
    <t>Ag production in China through Cu anode slime processing</t>
  </si>
  <si>
    <t>Ag recovery from Cu production in Sweden/Rönnskärsverken</t>
  </si>
  <si>
    <t>Ag production in Europe through WEEE recycling</t>
  </si>
  <si>
    <t>Ag production in China/Jiangxi through Cu wastes recycling</t>
  </si>
  <si>
    <t>Cd recovery from Zn production in Canada/Kidd Creek</t>
  </si>
  <si>
    <t>Cd recovery from Zn production worldwide through Smelting</t>
  </si>
  <si>
    <t>Cd recovery from Zn production in China/Yangtze through Hydrometallurgy</t>
  </si>
  <si>
    <t>Cd production in China through Cu ashes recycling</t>
  </si>
  <si>
    <t>In recovery from Zn production in Canada/Kidd Creek</t>
  </si>
  <si>
    <t>In recovery from Zn production in China/Yangtze through Hydrometallurgy</t>
  </si>
  <si>
    <t>In recovery from Pb/Zn production in Canada/Peru/Chile/the US</t>
  </si>
  <si>
    <t>Stibnite ore mining and Sb production in China</t>
  </si>
  <si>
    <t>Te production in China through Cu anode slime processing</t>
  </si>
  <si>
    <t>Te recovery from Cu production in Sweden/Rönnskärsverken</t>
  </si>
  <si>
    <t>BaCO3 production</t>
  </si>
  <si>
    <t>Hf recovery from Zr metal production</t>
  </si>
  <si>
    <t>W ore mining and WC production in China</t>
  </si>
  <si>
    <t>W ore mining in Canada and WC-Co production in the US</t>
  </si>
  <si>
    <t>W ore mining and WC production in Europe</t>
  </si>
  <si>
    <t>APT production in Europe through hardmetal scrap recycling</t>
  </si>
  <si>
    <t>Au ore mining and Au production in China/Qinghai</t>
  </si>
  <si>
    <t>Au ore mining and refractory Au production</t>
  </si>
  <si>
    <t>Au ore mining and non-refractory Au production</t>
  </si>
  <si>
    <t>Au ore mining and Au production</t>
  </si>
  <si>
    <t>Au alluvial mining and Au production in Colombia/Antioquia</t>
  </si>
  <si>
    <t>Au alluvial mining and Au production in Peru through "Carretilla" method</t>
  </si>
  <si>
    <t>Au alluvial mining and Au production in Peru through "Chupadera/traca" method</t>
  </si>
  <si>
    <t>Au alluvial mining and Au production in Peru through "Caranchera" method</t>
  </si>
  <si>
    <t>Au alluvial mining and Au production in Peru through "Dredge" method</t>
  </si>
  <si>
    <t>Au alluvial mining and Au production in Peru through "Partial chute" method</t>
  </si>
  <si>
    <t>Au alluvial mining and Au production in Peru through "Complete chute" method</t>
  </si>
  <si>
    <t>Au open-pit mining and Au production in Peru</t>
  </si>
  <si>
    <t>Au recovery from Cu ore mining in Sweden/Aitik and Cu production in Sweden/Rönnskärsverken</t>
  </si>
  <si>
    <t>Au production in Europe through WEEE recycling</t>
  </si>
  <si>
    <t>Au production in China through Cu anode slime processing</t>
  </si>
  <si>
    <t>Hg recovery from Au production in Peru</t>
  </si>
  <si>
    <t>Tl recovery from Zn production</t>
  </si>
  <si>
    <t>Pb ore mining and refining in China</t>
  </si>
  <si>
    <t>Pb refining in China/Jiangxi</t>
  </si>
  <si>
    <t>Data partly used as complement to the Yang et al. (2019) inventory</t>
  </si>
  <si>
    <t>Pb production in China/Anhui through Pb scraps recycling</t>
  </si>
  <si>
    <t>Pb ore mining and refining in China/Jiangxi</t>
  </si>
  <si>
    <t>Main dataset for this production route, complemented with data from Hong et al. (2017)</t>
  </si>
  <si>
    <t>Pb refining from South China</t>
  </si>
  <si>
    <t>Pb recovery from Zn ore mining and Zn production worldwide through Smelting</t>
  </si>
  <si>
    <t>Pb ore recovery from Zn ore mining in China/Guangdong</t>
  </si>
  <si>
    <t>Pb recovery from Zn ore mining and Zn production in China through Smelting</t>
  </si>
  <si>
    <t>Pb recovery from Cu ore mining in Sweden/Aitik and Cu production in Sweden/Rönnskärsverken</t>
  </si>
  <si>
    <t>Bi recovery from Pb/Zn production in Canada/Peru/Chile/the US</t>
  </si>
  <si>
    <t>PGM ore mining and PGM production worldwide</t>
  </si>
  <si>
    <t>PGM production worldwide through recycling</t>
  </si>
  <si>
    <t>PGM recovery from Ni ore mining and NiSO4 production worldwide</t>
  </si>
  <si>
    <t>Pd production in Europe through WEEE recycling</t>
  </si>
  <si>
    <t>REO production from ion-adsorption clays in China</t>
  </si>
  <si>
    <t>Monazite ore mining in Australia/Mt. Weld and REO production in Malaysia</t>
  </si>
  <si>
    <t>Bastnaesite-monazite ore mining and REO production in China/Bayan Obo</t>
  </si>
  <si>
    <t>Data are partly included in the Miranda Xicotencatl et al. (2023b) dataset</t>
  </si>
  <si>
    <t xml:space="preserve">Bastnaesite ore mining and REO production in China/Sichuan </t>
  </si>
  <si>
    <t>Bastnaesite-monazite ore mining and Nd metal in China/Bayan Obo</t>
  </si>
  <si>
    <t>Bastnaesite ore mining and Nd2O3 production in the US/Mt. Pass</t>
  </si>
  <si>
    <t>Monazite ore mining in Australia/Mt. Weld and Nd metal production in Malaysia</t>
  </si>
  <si>
    <t>RE metals production in China</t>
  </si>
  <si>
    <t>Excluded due to out of scope process</t>
  </si>
  <si>
    <t>Lithium (Li)</t>
  </si>
  <si>
    <t>Beryllium (Be)</t>
  </si>
  <si>
    <t>Boron (B)</t>
  </si>
  <si>
    <t>Graphite (C)</t>
  </si>
  <si>
    <t>Magnesium (Mg)</t>
  </si>
  <si>
    <t>Aluminium (Al)</t>
  </si>
  <si>
    <t>Silicon metal (Si)</t>
  </si>
  <si>
    <t>Titanium (Ti)</t>
  </si>
  <si>
    <t>Vanadium (V)</t>
  </si>
  <si>
    <t>Chromium (Cr)</t>
  </si>
  <si>
    <t>Manganese (Mn)</t>
  </si>
  <si>
    <t>Iron (Fe)</t>
  </si>
  <si>
    <t>Cobalt (Co)</t>
  </si>
  <si>
    <t>Nickel (Ni)</t>
  </si>
  <si>
    <t>Copper (Cu)</t>
  </si>
  <si>
    <t>Zinc (Zn)</t>
  </si>
  <si>
    <t>Gallium (Ga)</t>
  </si>
  <si>
    <t>Germanium (Ge)</t>
  </si>
  <si>
    <t>Arsenic (As)</t>
  </si>
  <si>
    <t>Selenium (Se)</t>
  </si>
  <si>
    <t>Strontium (Sr)</t>
  </si>
  <si>
    <t>Zirconium (Zr)</t>
  </si>
  <si>
    <t>Niobium (Nb)</t>
  </si>
  <si>
    <t>Molybdenum (Mo)</t>
  </si>
  <si>
    <t>Silver (Ag)</t>
  </si>
  <si>
    <t>Cadmium (Cd)</t>
  </si>
  <si>
    <t>Indium (In)</t>
  </si>
  <si>
    <t>Tin (Sn)</t>
  </si>
  <si>
    <t>Antimony (Sb)</t>
  </si>
  <si>
    <t>Tellurium (Te)</t>
  </si>
  <si>
    <t>Barium (Ba)</t>
  </si>
  <si>
    <t>Hafnium (Hf)</t>
  </si>
  <si>
    <t>Tantalum (Ta)</t>
  </si>
  <si>
    <t>Tungsten (W)</t>
  </si>
  <si>
    <t>Rhenium (Re)</t>
  </si>
  <si>
    <t>Gold (Au)</t>
  </si>
  <si>
    <t>Mercury (Hg)</t>
  </si>
  <si>
    <t>Thallium (Tl)</t>
  </si>
  <si>
    <t>Lead (Pb)</t>
  </si>
  <si>
    <t>Bismuth (Bi)</t>
  </si>
  <si>
    <t>Platinum Group Metals (PGM)</t>
  </si>
  <si>
    <t>Rare Earths (RE)</t>
  </si>
  <si>
    <t>Scandium (Sc)</t>
  </si>
  <si>
    <t>Yttrium (Y)</t>
  </si>
  <si>
    <t>Lanthanum (La)</t>
  </si>
  <si>
    <t>Cerium (Ce)</t>
  </si>
  <si>
    <t>Praseodymium (Pr)</t>
  </si>
  <si>
    <t>Neodymium (Nd)</t>
  </si>
  <si>
    <t>Prométhium (Pm)</t>
  </si>
  <si>
    <t>Samarium (Sm)</t>
  </si>
  <si>
    <t>Europium (Eu)</t>
  </si>
  <si>
    <t>Gadolinium (Gd)</t>
  </si>
  <si>
    <t>Terbium (Tb)</t>
  </si>
  <si>
    <t>Dysprosium (Dy)</t>
  </si>
  <si>
    <t>Holmium (Ho)</t>
  </si>
  <si>
    <t>Erbium (Er)</t>
  </si>
  <si>
    <t>Thulium (Tm)</t>
  </si>
  <si>
    <t>Ytterbium (Yb)</t>
  </si>
  <si>
    <t>Lutetium (Lu)</t>
  </si>
  <si>
    <t>Ruthenium (Ru)</t>
  </si>
  <si>
    <t>Rhodium (Rh)</t>
  </si>
  <si>
    <t>Palladium (Pd)</t>
  </si>
  <si>
    <t>Osmium (Os)</t>
  </si>
  <si>
    <t>Iridium (Ir)</t>
  </si>
  <si>
    <t>Platinum (Pt)</t>
  </si>
  <si>
    <t>Host elements</t>
  </si>
  <si>
    <t>Sc</t>
  </si>
  <si>
    <t>Ru</t>
  </si>
  <si>
    <t>Rh</t>
  </si>
  <si>
    <t>Pd</t>
  </si>
  <si>
    <t>La</t>
  </si>
  <si>
    <t>Ce</t>
  </si>
  <si>
    <t>Pr</t>
  </si>
  <si>
    <t>Nd</t>
  </si>
  <si>
    <t>Sm</t>
  </si>
  <si>
    <t>Eu</t>
  </si>
  <si>
    <t>Gd</t>
  </si>
  <si>
    <t>Tb</t>
  </si>
  <si>
    <t>Dy</t>
  </si>
  <si>
    <t>Ho</t>
  </si>
  <si>
    <t>Er</t>
  </si>
  <si>
    <t>Tm</t>
  </si>
  <si>
    <t>Yb</t>
  </si>
  <si>
    <t>Lu</t>
  </si>
  <si>
    <t>Ta</t>
  </si>
  <si>
    <t>Re</t>
  </si>
  <si>
    <t>Os</t>
  </si>
  <si>
    <t>Ir</t>
  </si>
  <si>
    <t>Pt</t>
  </si>
  <si>
    <t>Th</t>
  </si>
  <si>
    <t>U</t>
  </si>
  <si>
    <t>Other</t>
  </si>
  <si>
    <t>Companion elements</t>
  </si>
  <si>
    <t>Does not correspond to global co-/by-production patterns as identified in the market analysis</t>
  </si>
  <si>
    <t>Host element number</t>
  </si>
  <si>
    <t>Reference</t>
  </si>
  <si>
    <t>Allocated LCI?</t>
  </si>
  <si>
    <t>Comments</t>
  </si>
  <si>
    <t>None</t>
  </si>
  <si>
    <t>Potash (K)</t>
  </si>
  <si>
    <t>Kelly et al., 2021; Schenker et al., 2022</t>
  </si>
  <si>
    <t>Yes</t>
  </si>
  <si>
    <t>Mass</t>
  </si>
  <si>
    <t>- Mass "Concentrated Lithium brine" = 1 t
- Mass "Potash" = 8.52 t</t>
  </si>
  <si>
    <t>- Different allocation approaches are applied in the Kelly et al. (2021) paper, including mass and economic allocations.
- The "Facility-level" approach is here considered as a basis for retracing the unallocated dataset.</t>
  </si>
  <si>
    <t>Na2SO4</t>
  </si>
  <si>
    <t>Kelly et al., 2021; Stamp et al., 2012; Mas-Fons et al., 2024</t>
  </si>
  <si>
    <t>No</t>
  </si>
  <si>
    <t>Fe; Co</t>
  </si>
  <si>
    <t>Magnetite ore mining and TiO2 production in China through sulfate route</t>
  </si>
  <si>
    <t>- Allocation ratios (at mine stage): Ti: Fe: Co = 13: 40: 1</t>
  </si>
  <si>
    <t>- Unallocated dataset can be recovered using the allocation ratios as provided in the paper</t>
  </si>
  <si>
    <t>Magnetite ore mining and TiO2 production in China through chloride route</t>
  </si>
  <si>
    <t>Ilmenite ore mining and Ti sponge production in China through the Kroll process</t>
  </si>
  <si>
    <t>- Unclear allocation approach</t>
  </si>
  <si>
    <t>- Unallocated dataset cannot be recovered as the allocation approach implemented in the paper is not clear</t>
  </si>
  <si>
    <t>- Co-products as mentioned in the paper: Ilmenite and rutile</t>
  </si>
  <si>
    <t>Sodium chromate</t>
  </si>
  <si>
    <t>Zhang et al., 2023</t>
  </si>
  <si>
    <t>Fe; Al</t>
  </si>
  <si>
    <t>Sodium sulfate</t>
  </si>
  <si>
    <t>- Co-products as mentioned in the paper: iron (III) oxide, aluminum oxide</t>
  </si>
  <si>
    <t>V; Ti</t>
  </si>
  <si>
    <t>- Co-products as mentioned in the paper: Ilmenite, Iron, Steel, V2O5</t>
  </si>
  <si>
    <t>- Co-products as mentioned in the paper: Steel, V2O5</t>
  </si>
  <si>
    <t>Ammonium sulphate</t>
  </si>
  <si>
    <t>Heat; Sulfuric acid</t>
  </si>
  <si>
    <t>Heat</t>
  </si>
  <si>
    <t>Cu; Co</t>
  </si>
  <si>
    <t>- Mass balance of the process is detailed</t>
  </si>
  <si>
    <t>- Co-products as mentioned in the paper: Copper concentrate, Secondary alloy, Cobalt slag
- Unallocated dataset can be recovered using the mass balance of the process (as the mass of output products constitute the allocation keys)</t>
  </si>
  <si>
    <t>- Co-products as mentioned in the paper: Leaching tailing containing Copper and Cobalt
- Unallocated dataset can be recovered using the mass balance of the process (as the mass of output products constitute the allocation keys)</t>
  </si>
  <si>
    <t>Gypsum</t>
  </si>
  <si>
    <t>Co; Cu; PGMs; Zn</t>
  </si>
  <si>
    <t>Ammonium sulphate; Sulfuric acid; Sodium sulphate</t>
  </si>
  <si>
    <t>- Co-products as mentioned in the paper: Co, Cu, Ni, Sodium sulphate, Copper sulphide, Ammonium sulphate, PGM containing material, Cobalt sulphate, Co chloride (CoCl2), Zinc sulphide</t>
  </si>
  <si>
    <t>Ni/Cu/Co ore mining in China/Xinjiang and CoSo4 production in Southeastern China</t>
  </si>
  <si>
    <t>Not available</t>
  </si>
  <si>
    <t>- Unallocated dataset cannot be recovered as allocation keys are not provided</t>
  </si>
  <si>
    <t>Ni; Au; Ag; Te; Se; Zn; Pb; Fe</t>
  </si>
  <si>
    <t>Sulfuric acid; SO2; Electricity; Heat</t>
  </si>
  <si>
    <t>Economic</t>
  </si>
  <si>
    <t>- List of allocation factors is provided in SI</t>
  </si>
  <si>
    <t>- Co-products as mentioned in the paper: CuSO4, NiSO4, Au metal, Ag metal, CuTe, Se-salts, ZnO2, Pb metal, Fe sand
- Unallocated dataset can be recovered using the allocation factors as provided in the paper</t>
  </si>
  <si>
    <t>Pyrite concentrate, Sulfuric acid</t>
  </si>
  <si>
    <t>- Allocation factors: 22.76% for pyrite concentrate and 3.15% for sulfuric acid</t>
  </si>
  <si>
    <t>- Unallocated dataset can be recovered using the allocation factors as provided in the paper</t>
  </si>
  <si>
    <t>Au; Ag; Ni</t>
  </si>
  <si>
    <t>Sulfuric acid; Fayalite; Steam</t>
  </si>
  <si>
    <t>- Prices are provided, but no mass balance</t>
  </si>
  <si>
    <t>- Co-products as mentioned in the paper: Fayalite, Steam, Sulfuric acid, Precious metals, Cu sulfate, Ni sulfate
- Unallocated dataset cannot be recovered as allocation keys are not provided</t>
  </si>
  <si>
    <t>Cd; Zn</t>
  </si>
  <si>
    <t xml:space="preserve">Zhang et al., 2023 </t>
  </si>
  <si>
    <t>- Co-products as mentioned in the paper: Sponge cadmium, Zinc sulfate</t>
  </si>
  <si>
    <t>Sulfuric acid</t>
  </si>
  <si>
    <t>Fe, Al</t>
  </si>
  <si>
    <t>Fe, Al, Zn, Ni</t>
  </si>
  <si>
    <t>Pd, Au, Ag, Ni, Al, Fe</t>
  </si>
  <si>
    <t>Pyrite concentrate</t>
  </si>
  <si>
    <t>- Allocation factors are provided</t>
  </si>
  <si>
    <t>- Co-products as mentioned in the paper: Cu concentrate, Mo concentrate, Pyrite concentrate. 
- Dataset aggregating two mining routes, which does not enable recovering the unallocated dataset</t>
  </si>
  <si>
    <t>Ni, Zn, Au, Se, Ag</t>
  </si>
  <si>
    <t>- Co-products as mentioned in the paper: Cu, Nickel sulfate, Cu sulfate, Sodium sulfate, Zn, Au, Ni carbonate, Se, Ag</t>
  </si>
  <si>
    <t>Se; Mo</t>
  </si>
  <si>
    <t>Anode mud</t>
  </si>
  <si>
    <t>- Mass "Electrolytic copper" = 1 t
- Mass "Anode mud" = 7.95 kg
- Mass "Crude nickel sulphate" = 14.34 kg</t>
  </si>
  <si>
    <t>- Co-products as mentioned in the paper: Anode mud, Crude nickel sulphate
- Unallocated dataset can be recovered using the allocation keys as provided in the paper</t>
  </si>
  <si>
    <t>Cu ore mining and Cu production in DRC through Hydrometallurgy</t>
  </si>
  <si>
    <t>Mass; Economic</t>
  </si>
  <si>
    <t xml:space="preserve">- Mass balance is provided </t>
  </si>
  <si>
    <t>- Mass and economic allocations are separately applied
- Unallocated dataset can be recovered using the allocation keys as provided in the paper</t>
  </si>
  <si>
    <t>Au; Ag; Cu; Te; Se</t>
  </si>
  <si>
    <t>- Co-products as mentioned in the paper: Au, Ag, CuTe, Se</t>
  </si>
  <si>
    <t>- Allocation factor for Mo = 3:100</t>
  </si>
  <si>
    <t>Cu production</t>
  </si>
  <si>
    <t>- Allocation factor for As = 0.47%</t>
  </si>
  <si>
    <t>Pb; Cu; Cd; Co; Mn; Al</t>
  </si>
  <si>
    <t>Lime; Sulfuric acid</t>
  </si>
  <si>
    <t xml:space="preserve">- Co-products as mentioned in the paper: Pb and Cu concentrates, Agricultural lime (mine stage), Cu cement, Cd, Mo cement, Mn sludge, Zn alloys, Zn dross, Al dross, Sulfuric acid (refining stage) </t>
  </si>
  <si>
    <t>Cd; In</t>
  </si>
  <si>
    <t>- Co-products as mentioned in the paper: Cd ingots, In ingots and Sulfuric acid</t>
  </si>
  <si>
    <t>Sulfur concentrate</t>
  </si>
  <si>
    <t>- Co-products as mentioned in the paper: Lead concentrate, Lead-zinc bulk concentrate, Sulfur concentrate</t>
  </si>
  <si>
    <t>- Co-products as mentioned in the paper: Refined lead</t>
  </si>
  <si>
    <t>Tl; In; Others</t>
  </si>
  <si>
    <t>Zn production</t>
  </si>
  <si>
    <t>Zn; Pb</t>
  </si>
  <si>
    <t>Ag; Bi; In; Ge</t>
  </si>
  <si>
    <t>Ba; Fe</t>
  </si>
  <si>
    <t>- Co-products as mentioned in the paper: Barite, Magnetite</t>
  </si>
  <si>
    <t>Al; Ba; Ti; Nb, U, Ra, Th, Pb</t>
  </si>
  <si>
    <t>CaO</t>
  </si>
  <si>
    <t>- Co-products as mentioned in the paper: Al2O3, BaO, CaO, Ti, Nb, 238U, 226Ra, 210Pb, 232Th, and 228Ra</t>
  </si>
  <si>
    <t>- Co-products as mentioned in the paper: APT, Co(OH)2</t>
  </si>
  <si>
    <t>- Co-products as mentioned in the paper: Au, Ferrous mineral</t>
  </si>
  <si>
    <t>Ag, Hg</t>
  </si>
  <si>
    <t>Ag; Other</t>
  </si>
  <si>
    <t>- Co-products as mentioned in the paper: Ag, Sulfuric acid, Other metal products</t>
  </si>
  <si>
    <t>Pt; Pd; Rh; Ir; Ru</t>
  </si>
  <si>
    <t>Pt; Pd; Rh</t>
  </si>
  <si>
    <t>PGM recycling worldwide</t>
  </si>
  <si>
    <t>Fe; 15 RE</t>
  </si>
  <si>
    <t>Ammonium chloride</t>
  </si>
  <si>
    <t>15 RE</t>
  </si>
  <si>
    <t>Element</t>
  </si>
  <si>
    <t>Copper  (Cu)</t>
  </si>
  <si>
    <t>Number of LCA studies identified</t>
  </si>
  <si>
    <r>
      <t xml:space="preserve">Number of LCA studies investigated </t>
    </r>
    <r>
      <rPr>
        <b/>
        <i/>
        <sz val="11"/>
        <color theme="1"/>
        <rFont val="Calibri"/>
        <family val="2"/>
        <scheme val="minor"/>
      </rPr>
      <t>(after screening)</t>
    </r>
  </si>
  <si>
    <t>Number of LCI datasets analysed</t>
  </si>
  <si>
    <t>Number of LCI datasets reporting the element as co-/by-product*</t>
  </si>
  <si>
    <t>10**</t>
  </si>
  <si>
    <t>Total (overall)</t>
  </si>
  <si>
    <t>Total (without doublons)***</t>
  </si>
  <si>
    <r>
      <t xml:space="preserve">Number of LCI datasets selected </t>
    </r>
    <r>
      <rPr>
        <b/>
        <i/>
        <sz val="11"/>
        <color rgb="FFFF0000"/>
        <rFont val="Calibri"/>
        <family val="2"/>
        <scheme val="minor"/>
      </rPr>
      <t>(after analysis)</t>
    </r>
  </si>
  <si>
    <t>2**</t>
  </si>
  <si>
    <t>***LCA studies/LCI datasets covering multiple elements are only counted once.</t>
  </si>
  <si>
    <r>
      <t xml:space="preserve">Host element
</t>
    </r>
    <r>
      <rPr>
        <b/>
        <i/>
        <sz val="11"/>
        <color theme="1"/>
        <rFont val="Calibri"/>
        <family val="2"/>
        <scheme val="minor"/>
      </rPr>
      <t>(as defined in the original data source)</t>
    </r>
  </si>
  <si>
    <r>
      <t xml:space="preserve">Companion elements </t>
    </r>
    <r>
      <rPr>
        <b/>
        <i/>
        <sz val="11"/>
        <color theme="1"/>
        <rFont val="Calibri"/>
        <family val="2"/>
        <scheme val="minor"/>
      </rPr>
      <t>(metal)</t>
    </r>
  </si>
  <si>
    <r>
      <t xml:space="preserve">Companion elements </t>
    </r>
    <r>
      <rPr>
        <b/>
        <i/>
        <sz val="11"/>
        <color theme="1"/>
        <rFont val="Calibri"/>
        <family val="2"/>
        <scheme val="minor"/>
      </rPr>
      <t>(non-metal)</t>
    </r>
  </si>
  <si>
    <t>LCI and covered production route</t>
  </si>
  <si>
    <r>
      <t xml:space="preserve">Allocation approach </t>
    </r>
    <r>
      <rPr>
        <b/>
        <i/>
        <sz val="11"/>
        <color theme="1"/>
        <rFont val="Calibri"/>
        <family val="2"/>
        <scheme val="minor"/>
      </rPr>
      <t>(implemented in the original study)</t>
    </r>
  </si>
  <si>
    <r>
      <t xml:space="preserve">Allocation keys/factors
</t>
    </r>
    <r>
      <rPr>
        <b/>
        <i/>
        <sz val="11"/>
        <color theme="1"/>
        <rFont val="Calibri"/>
        <family val="2"/>
        <scheme val="minor"/>
      </rPr>
      <t>(used in the original study)</t>
    </r>
  </si>
  <si>
    <t>Cu ore mining and Cu production in Poland through Shaft/Flash furnace (Pyrometallurgy)</t>
  </si>
  <si>
    <t>- Co-products as mentioned in the paper: Lead, Sulfuric acid</t>
  </si>
  <si>
    <t>Au ore mining and Au production in Colombia/Antioquia</t>
  </si>
  <si>
    <t>Au ore mining and Au production in Australia</t>
  </si>
  <si>
    <t>Au ore mining and Au production in South Africa</t>
  </si>
  <si>
    <t>9 REE</t>
  </si>
  <si>
    <t>8 REE, Fe, Nb</t>
  </si>
  <si>
    <t>- Allocation keys/factors are provided</t>
  </si>
  <si>
    <t>Corresponds to global co-/by-production patterns as identified in the market analysis (see Supporting Information document n°2)</t>
  </si>
  <si>
    <t>Total LCI as companion element</t>
  </si>
  <si>
    <r>
      <t xml:space="preserve">LCA studies investigated?
</t>
    </r>
    <r>
      <rPr>
        <b/>
        <i/>
        <sz val="11"/>
        <color theme="1"/>
        <rFont val="Calibri"/>
        <family val="2"/>
        <scheme val="minor"/>
      </rPr>
      <t xml:space="preserve">(after screening) </t>
    </r>
  </si>
  <si>
    <t>Ilmenite and rutile recovery from Zircon sand production in Australia/South Africa/Kenya/Senegal/USA</t>
  </si>
  <si>
    <t>Data used as complement to the other "steel production" inventories</t>
  </si>
  <si>
    <t>Ni production in China through Ni waste recycling</t>
  </si>
  <si>
    <t>Laterite ore mining and Ni class 1 production in Australia through High Pressure Acid Leaching (HPAL)</t>
  </si>
  <si>
    <t>Cu production in Poland through Shaft Furnace (Pyrometallurgy)</t>
  </si>
  <si>
    <t>Cu production in Poland through Flash Furnace (Pyrometallurgy)</t>
  </si>
  <si>
    <t>Data used as complement to the Liu et al. (2022) inventory</t>
  </si>
  <si>
    <t>ZnO2 recovery from Cu ore mining in Sweden/Aitik</t>
  </si>
  <si>
    <t>As recovery from Cu production worldwide</t>
  </si>
  <si>
    <t>Celestite ore mining and SrCO3 production worldwide</t>
  </si>
  <si>
    <t>Zircon sand production in Australia/South Africa/Kenya/Senegal/USA</t>
  </si>
  <si>
    <t>Pb recovery from Cu production in Poland through Shaft/Flash Furnace (Pyrometallurgy)</t>
  </si>
  <si>
    <t>*See "LCI&amp;Companionality_Overview" and "LCI&amp;Companionality_Details" sheets for details about the co-/by-products mapping in LCI datasets.</t>
  </si>
  <si>
    <t>**Number of LCI datasets here aggregates all PGM and RE elements covered in the different datasets. The breakdown of individual PGM and RE elements is provided in the table below.</t>
  </si>
  <si>
    <t>Silver ( Ag)</t>
  </si>
  <si>
    <t>LCI selected?</t>
  </si>
  <si>
    <t>Comments on the selection or exclusion of the LCI</t>
  </si>
  <si>
    <r>
      <rPr>
        <b/>
        <sz val="14"/>
        <color theme="1"/>
        <rFont val="Calibri"/>
        <family val="2"/>
        <scheme val="minor"/>
      </rPr>
      <t xml:space="preserve">Life cycle inventories of global metal and mineral supply chains: a comprehensive data review, analysis and processing </t>
    </r>
    <r>
      <rPr>
        <b/>
        <sz val="16"/>
        <color theme="1"/>
        <rFont val="Calibri"/>
        <family val="2"/>
        <scheme val="minor"/>
      </rPr>
      <t xml:space="preserve">
</t>
    </r>
    <r>
      <rPr>
        <sz val="11"/>
        <color theme="1"/>
        <rFont val="Calibri"/>
        <family val="2"/>
        <scheme val="minor"/>
      </rPr>
      <t xml:space="preserve">
Frédéric Lai</t>
    </r>
    <r>
      <rPr>
        <vertAlign val="superscript"/>
        <sz val="11"/>
        <color theme="1"/>
        <rFont val="Calibri"/>
        <family val="2"/>
        <scheme val="minor"/>
      </rPr>
      <t>a*</t>
    </r>
    <r>
      <rPr>
        <sz val="11"/>
        <color theme="1"/>
        <rFont val="Calibri"/>
        <family val="2"/>
        <scheme val="minor"/>
      </rPr>
      <t>, Stéphanie Muller</t>
    </r>
    <r>
      <rPr>
        <vertAlign val="superscript"/>
        <sz val="11"/>
        <color theme="1"/>
        <rFont val="Calibri"/>
        <family val="2"/>
        <scheme val="minor"/>
      </rPr>
      <t>a</t>
    </r>
    <r>
      <rPr>
        <sz val="11"/>
        <color theme="1"/>
        <rFont val="Calibri"/>
        <family val="2"/>
        <scheme val="minor"/>
      </rPr>
      <t>, Audrey Philippe</t>
    </r>
    <r>
      <rPr>
        <vertAlign val="superscript"/>
        <sz val="11"/>
        <color theme="1"/>
        <rFont val="Calibri"/>
        <family val="2"/>
        <scheme val="minor"/>
      </rPr>
      <t>a</t>
    </r>
    <r>
      <rPr>
        <sz val="11"/>
        <color theme="1"/>
        <rFont val="Calibri"/>
        <family val="2"/>
        <scheme val="minor"/>
      </rPr>
      <t>, Robert Istrate</t>
    </r>
    <r>
      <rPr>
        <vertAlign val="superscript"/>
        <sz val="11"/>
        <color theme="1"/>
        <rFont val="Calibri"/>
        <family val="2"/>
        <scheme val="minor"/>
      </rPr>
      <t>b</t>
    </r>
    <r>
      <rPr>
        <sz val="11"/>
        <color theme="1"/>
        <rFont val="Calibri"/>
        <family val="2"/>
        <scheme val="minor"/>
      </rPr>
      <t>, Brenda Miranda Xicotencatl</t>
    </r>
    <r>
      <rPr>
        <vertAlign val="superscript"/>
        <sz val="11"/>
        <color theme="1"/>
        <rFont val="Calibri"/>
        <family val="2"/>
        <scheme val="minor"/>
      </rPr>
      <t>b</t>
    </r>
    <r>
      <rPr>
        <sz val="11"/>
        <color theme="1"/>
        <rFont val="Calibri"/>
        <family val="2"/>
        <scheme val="minor"/>
      </rPr>
      <t>, Afsoon Mansouri Aski</t>
    </r>
    <r>
      <rPr>
        <vertAlign val="superscript"/>
        <sz val="11"/>
        <color theme="1"/>
        <rFont val="Calibri"/>
        <family val="2"/>
        <scheme val="minor"/>
      </rPr>
      <t>c</t>
    </r>
    <r>
      <rPr>
        <sz val="11"/>
        <color theme="1"/>
        <rFont val="Calibri"/>
        <family val="2"/>
        <scheme val="minor"/>
      </rPr>
      <t>, Aina Mas Fons</t>
    </r>
    <r>
      <rPr>
        <vertAlign val="superscript"/>
        <sz val="11"/>
        <color theme="1"/>
        <rFont val="Calibri"/>
        <family val="2"/>
        <scheme val="minor"/>
      </rPr>
      <t>d,a</t>
    </r>
    <r>
      <rPr>
        <sz val="11"/>
        <color theme="1"/>
        <rFont val="Calibri"/>
        <family val="2"/>
        <scheme val="minor"/>
      </rPr>
      <t>, Juliana Segura-Salazar</t>
    </r>
    <r>
      <rPr>
        <vertAlign val="superscript"/>
        <sz val="11"/>
        <color theme="1"/>
        <rFont val="Calibri"/>
        <family val="2"/>
        <scheme val="minor"/>
      </rPr>
      <t>e</t>
    </r>
    <r>
      <rPr>
        <sz val="11"/>
        <color theme="1"/>
        <rFont val="Calibri"/>
        <family val="2"/>
        <scheme val="minor"/>
      </rPr>
      <t>, Jair Santillán Saldivar</t>
    </r>
    <r>
      <rPr>
        <vertAlign val="superscript"/>
        <sz val="11"/>
        <color theme="1"/>
        <rFont val="Calibri"/>
        <family val="2"/>
        <scheme val="minor"/>
      </rPr>
      <t>a</t>
    </r>
    <r>
      <rPr>
        <sz val="11"/>
        <color theme="1"/>
        <rFont val="Calibri"/>
        <family val="2"/>
        <scheme val="minor"/>
      </rPr>
      <t>, Alex Cimprich</t>
    </r>
    <r>
      <rPr>
        <vertAlign val="superscript"/>
        <sz val="11"/>
        <color theme="1"/>
        <rFont val="Calibri"/>
        <family val="2"/>
        <scheme val="minor"/>
      </rPr>
      <t>f</t>
    </r>
    <r>
      <rPr>
        <sz val="11"/>
        <color theme="1"/>
        <rFont val="Calibri"/>
        <family val="2"/>
        <scheme val="minor"/>
      </rPr>
      <t>, Stephen Northey</t>
    </r>
    <r>
      <rPr>
        <vertAlign val="superscript"/>
        <sz val="11"/>
        <color theme="1"/>
        <rFont val="Calibri"/>
        <family val="2"/>
        <scheme val="minor"/>
      </rPr>
      <t>g</t>
    </r>
    <r>
      <rPr>
        <sz val="11"/>
        <color theme="1"/>
        <rFont val="Calibri"/>
        <family val="2"/>
        <scheme val="minor"/>
      </rPr>
      <t>, Lígia da Silva Lima</t>
    </r>
    <r>
      <rPr>
        <vertAlign val="superscript"/>
        <sz val="11"/>
        <color theme="1"/>
        <rFont val="Calibri"/>
        <family val="2"/>
        <scheme val="minor"/>
      </rPr>
      <t>h</t>
    </r>
    <r>
      <rPr>
        <sz val="11"/>
        <color theme="1"/>
        <rFont val="Calibri"/>
        <family val="2"/>
        <scheme val="minor"/>
      </rPr>
      <t>, Lieselot Boone</t>
    </r>
    <r>
      <rPr>
        <vertAlign val="superscript"/>
        <sz val="11"/>
        <color theme="1"/>
        <rFont val="Calibri"/>
        <family val="2"/>
        <scheme val="minor"/>
      </rPr>
      <t>h</t>
    </r>
    <r>
      <rPr>
        <sz val="11"/>
        <color theme="1"/>
        <rFont val="Calibri"/>
        <family val="2"/>
        <scheme val="minor"/>
      </rPr>
      <t>, Ryosuke Yokoi</t>
    </r>
    <r>
      <rPr>
        <vertAlign val="superscript"/>
        <sz val="11"/>
        <color theme="1"/>
        <rFont val="Calibri"/>
        <family val="2"/>
        <scheme val="minor"/>
      </rPr>
      <t>i</t>
    </r>
    <r>
      <rPr>
        <sz val="11"/>
        <color theme="1"/>
        <rFont val="Calibri"/>
        <family val="2"/>
        <scheme val="minor"/>
      </rPr>
      <t>, Kamrul Islam</t>
    </r>
    <r>
      <rPr>
        <vertAlign val="superscript"/>
        <sz val="11"/>
        <color theme="1"/>
        <rFont val="Calibri"/>
        <family val="2"/>
        <scheme val="minor"/>
      </rPr>
      <t>i</t>
    </r>
    <r>
      <rPr>
        <sz val="11"/>
        <color theme="1"/>
        <rFont val="Calibri"/>
        <family val="2"/>
        <scheme val="minor"/>
      </rPr>
      <t>, Ioanna Paschalidou</t>
    </r>
    <r>
      <rPr>
        <vertAlign val="superscript"/>
        <sz val="11"/>
        <color theme="1"/>
        <rFont val="Calibri"/>
        <family val="2"/>
        <scheme val="minor"/>
      </rPr>
      <t>j</t>
    </r>
    <r>
      <rPr>
        <sz val="11"/>
        <color theme="1"/>
        <rFont val="Calibri"/>
        <family val="2"/>
        <scheme val="minor"/>
      </rPr>
      <t>, Felipe Cerdas</t>
    </r>
    <r>
      <rPr>
        <vertAlign val="superscript"/>
        <sz val="11"/>
        <color theme="1"/>
        <rFont val="Calibri"/>
        <family val="2"/>
        <scheme val="minor"/>
      </rPr>
      <t>k,l</t>
    </r>
    <r>
      <rPr>
        <sz val="11"/>
        <color theme="1"/>
        <rFont val="Calibri"/>
        <family val="2"/>
        <scheme val="minor"/>
      </rPr>
      <t>, Victor Balboa-Espinoza</t>
    </r>
    <r>
      <rPr>
        <vertAlign val="superscript"/>
        <sz val="11"/>
        <color theme="1"/>
        <rFont val="Calibri"/>
        <family val="2"/>
        <scheme val="minor"/>
      </rPr>
      <t>e</t>
    </r>
    <r>
      <rPr>
        <sz val="11"/>
        <color theme="1"/>
        <rFont val="Calibri"/>
        <family val="2"/>
        <scheme val="minor"/>
      </rPr>
      <t>, Anish Koyamparambath</t>
    </r>
    <r>
      <rPr>
        <vertAlign val="superscript"/>
        <sz val="11"/>
        <color theme="1"/>
        <rFont val="Calibri"/>
        <family val="2"/>
        <scheme val="minor"/>
      </rPr>
      <t>d</t>
    </r>
    <r>
      <rPr>
        <sz val="11"/>
        <color theme="1"/>
        <rFont val="Calibri"/>
        <family val="2"/>
        <scheme val="minor"/>
      </rPr>
      <t>, Diae Hennioui</t>
    </r>
    <r>
      <rPr>
        <vertAlign val="superscript"/>
        <sz val="11"/>
        <color theme="1"/>
        <rFont val="Calibri"/>
        <family val="2"/>
        <scheme val="minor"/>
      </rPr>
      <t>a</t>
    </r>
    <r>
      <rPr>
        <sz val="11"/>
        <color theme="1"/>
        <rFont val="Calibri"/>
        <family val="2"/>
        <scheme val="minor"/>
      </rPr>
      <t>, Victoire Collignon</t>
    </r>
    <r>
      <rPr>
        <vertAlign val="superscript"/>
        <sz val="11"/>
        <color theme="1"/>
        <rFont val="Calibri"/>
        <family val="2"/>
        <scheme val="minor"/>
      </rPr>
      <t>a</t>
    </r>
    <r>
      <rPr>
        <sz val="11"/>
        <color theme="1"/>
        <rFont val="Calibri"/>
        <family val="2"/>
        <scheme val="minor"/>
      </rPr>
      <t>, Aurélien Reys</t>
    </r>
    <r>
      <rPr>
        <vertAlign val="superscript"/>
        <sz val="11"/>
        <color theme="1"/>
        <rFont val="Calibri"/>
        <family val="2"/>
        <scheme val="minor"/>
      </rPr>
      <t>a</t>
    </r>
    <r>
      <rPr>
        <sz val="11"/>
        <color theme="1"/>
        <rFont val="Calibri"/>
        <family val="2"/>
        <scheme val="minor"/>
      </rPr>
      <t>, Gyslain Ngadi Sakatadi</t>
    </r>
    <r>
      <rPr>
        <vertAlign val="superscript"/>
        <sz val="11"/>
        <color theme="1"/>
        <rFont val="Calibri"/>
        <family val="2"/>
        <scheme val="minor"/>
      </rPr>
      <t>m</t>
    </r>
    <r>
      <rPr>
        <sz val="11"/>
        <color theme="1"/>
        <rFont val="Calibri"/>
        <family val="2"/>
        <scheme val="minor"/>
      </rPr>
      <t>, Jo Dewulf</t>
    </r>
    <r>
      <rPr>
        <vertAlign val="superscript"/>
        <sz val="11"/>
        <color theme="1"/>
        <rFont val="Calibri"/>
        <family val="2"/>
        <scheme val="minor"/>
      </rPr>
      <t>h</t>
    </r>
    <r>
      <rPr>
        <sz val="11"/>
        <color theme="1"/>
        <rFont val="Calibri"/>
        <family val="2"/>
        <scheme val="minor"/>
      </rPr>
      <t>, Bernhard Steubing</t>
    </r>
    <r>
      <rPr>
        <vertAlign val="superscript"/>
        <sz val="11"/>
        <color theme="1"/>
        <rFont val="Calibri"/>
        <family val="2"/>
        <scheme val="minor"/>
      </rPr>
      <t>b</t>
    </r>
    <r>
      <rPr>
        <sz val="11"/>
        <color theme="1"/>
        <rFont val="Calibri"/>
        <family val="2"/>
        <scheme val="minor"/>
      </rPr>
      <t>, Christoph Helbig</t>
    </r>
    <r>
      <rPr>
        <vertAlign val="superscript"/>
        <sz val="11"/>
        <color theme="1"/>
        <rFont val="Calibri"/>
        <family val="2"/>
        <scheme val="minor"/>
      </rPr>
      <t>c</t>
    </r>
    <r>
      <rPr>
        <sz val="11"/>
        <color theme="1"/>
        <rFont val="Calibri"/>
        <family val="2"/>
        <scheme val="minor"/>
      </rPr>
      <t>, Gaétan Lefebvre</t>
    </r>
    <r>
      <rPr>
        <vertAlign val="superscript"/>
        <sz val="11"/>
        <color theme="1"/>
        <rFont val="Calibri"/>
        <family val="2"/>
        <scheme val="minor"/>
      </rPr>
      <t>a</t>
    </r>
    <r>
      <rPr>
        <sz val="11"/>
        <color theme="1"/>
        <rFont val="Calibri"/>
        <family val="2"/>
        <scheme val="minor"/>
      </rPr>
      <t>, Gian Andrea Blengini</t>
    </r>
    <r>
      <rPr>
        <vertAlign val="superscript"/>
        <sz val="11"/>
        <color theme="1"/>
        <rFont val="Calibri"/>
        <family val="2"/>
        <scheme val="minor"/>
      </rPr>
      <t>n,m</t>
    </r>
    <r>
      <rPr>
        <sz val="11"/>
        <color theme="1"/>
        <rFont val="Calibri"/>
        <family val="2"/>
        <scheme val="minor"/>
      </rPr>
      <t>, Valeria Superti</t>
    </r>
    <r>
      <rPr>
        <vertAlign val="superscript"/>
        <sz val="11"/>
        <color theme="1"/>
        <rFont val="Calibri"/>
        <family val="2"/>
        <scheme val="minor"/>
      </rPr>
      <t>o</t>
    </r>
    <r>
      <rPr>
        <sz val="11"/>
        <color theme="1"/>
        <rFont val="Calibri"/>
        <family val="2"/>
        <scheme val="minor"/>
      </rPr>
      <t>, Masaharu Motoshita</t>
    </r>
    <r>
      <rPr>
        <vertAlign val="superscript"/>
        <sz val="11"/>
        <color theme="1"/>
        <rFont val="Calibri"/>
        <family val="2"/>
        <scheme val="minor"/>
      </rPr>
      <t>i</t>
    </r>
    <r>
      <rPr>
        <sz val="11"/>
        <color theme="1"/>
        <rFont val="Calibri"/>
        <family val="2"/>
        <scheme val="minor"/>
      </rPr>
      <t>, Guido Sonnemann</t>
    </r>
    <r>
      <rPr>
        <vertAlign val="superscript"/>
        <sz val="11"/>
        <color theme="1"/>
        <rFont val="Calibri"/>
        <family val="2"/>
        <scheme val="minor"/>
      </rPr>
      <t>d</t>
    </r>
    <r>
      <rPr>
        <sz val="11"/>
        <color theme="1"/>
        <rFont val="Calibri"/>
        <family val="2"/>
        <scheme val="minor"/>
      </rPr>
      <t>, Kwame Awuah-Offei</t>
    </r>
    <r>
      <rPr>
        <vertAlign val="superscript"/>
        <sz val="11"/>
        <color theme="1"/>
        <rFont val="Calibri"/>
        <family val="2"/>
        <scheme val="minor"/>
      </rPr>
      <t>j</t>
    </r>
    <r>
      <rPr>
        <sz val="11"/>
        <color theme="1"/>
        <rFont val="Calibri"/>
        <family val="2"/>
        <scheme val="minor"/>
      </rPr>
      <t>, Steven B. Young</t>
    </r>
    <r>
      <rPr>
        <vertAlign val="superscript"/>
        <sz val="11"/>
        <color theme="1"/>
        <rFont val="Calibri"/>
        <family val="2"/>
        <scheme val="minor"/>
      </rPr>
      <t>f</t>
    </r>
    <r>
      <rPr>
        <sz val="11"/>
        <color theme="1"/>
        <rFont val="Calibri"/>
        <family val="2"/>
        <scheme val="minor"/>
      </rPr>
      <t>, Shinsuke Murakami</t>
    </r>
    <r>
      <rPr>
        <vertAlign val="superscript"/>
        <sz val="11"/>
        <color theme="1"/>
        <rFont val="Calibri"/>
        <family val="2"/>
        <scheme val="minor"/>
      </rPr>
      <t>p</t>
    </r>
    <r>
      <rPr>
        <sz val="11"/>
        <color theme="1"/>
        <rFont val="Calibri"/>
        <family val="2"/>
        <scheme val="minor"/>
      </rPr>
      <t>, Antoine Beylot</t>
    </r>
    <r>
      <rPr>
        <vertAlign val="superscript"/>
        <sz val="11"/>
        <color theme="1"/>
        <rFont val="Calibri"/>
        <family val="2"/>
        <scheme val="minor"/>
      </rPr>
      <t>a</t>
    </r>
    <r>
      <rPr>
        <sz val="11"/>
        <color theme="1"/>
        <rFont val="Calibri"/>
        <family val="2"/>
        <scheme val="minor"/>
      </rPr>
      <t xml:space="preserve">
</t>
    </r>
    <r>
      <rPr>
        <vertAlign val="superscript"/>
        <sz val="11"/>
        <color theme="1"/>
        <rFont val="Calibri"/>
        <family val="2"/>
        <scheme val="minor"/>
      </rPr>
      <t>a</t>
    </r>
    <r>
      <rPr>
        <sz val="11"/>
        <color theme="1"/>
        <rFont val="Calibri"/>
        <family val="2"/>
        <scheme val="minor"/>
      </rPr>
      <t xml:space="preserve">BRGM, F-45060 Orléans, France
</t>
    </r>
    <r>
      <rPr>
        <vertAlign val="superscript"/>
        <sz val="11"/>
        <color theme="1"/>
        <rFont val="Calibri"/>
        <family val="2"/>
        <scheme val="minor"/>
      </rPr>
      <t>b</t>
    </r>
    <r>
      <rPr>
        <sz val="11"/>
        <color theme="1"/>
        <rFont val="Calibri"/>
        <family val="2"/>
        <scheme val="minor"/>
      </rPr>
      <t xml:space="preserve">Institute of Environmental Sciences (CML), Leiden University, Einsteinweg 2, 2333 CC Leiden, NL
</t>
    </r>
    <r>
      <rPr>
        <vertAlign val="superscript"/>
        <sz val="11"/>
        <color theme="1"/>
        <rFont val="Calibri"/>
        <family val="2"/>
        <scheme val="minor"/>
      </rPr>
      <t>c</t>
    </r>
    <r>
      <rPr>
        <sz val="11"/>
        <color theme="1"/>
        <rFont val="Calibri"/>
        <family val="2"/>
        <scheme val="minor"/>
      </rPr>
      <t xml:space="preserve">Ecological Resource Technology, University of Bayreuth, Universitätstr. 30, 95447 Bayreuth, Germany
</t>
    </r>
    <r>
      <rPr>
        <vertAlign val="superscript"/>
        <sz val="11"/>
        <color theme="1"/>
        <rFont val="Calibri"/>
        <family val="2"/>
        <scheme val="minor"/>
      </rPr>
      <t>d</t>
    </r>
    <r>
      <rPr>
        <sz val="11"/>
        <color theme="1"/>
        <rFont val="Calibri"/>
        <family val="2"/>
        <scheme val="minor"/>
      </rPr>
      <t xml:space="preserve">Univ. Bordeaux, CNRS, Bordeaux INP, ISM, UMR 5255, F-33400 Talence, France
</t>
    </r>
    <r>
      <rPr>
        <vertAlign val="superscript"/>
        <sz val="11"/>
        <color theme="1"/>
        <rFont val="Calibri"/>
        <family val="2"/>
        <scheme val="minor"/>
      </rPr>
      <t>e</t>
    </r>
    <r>
      <rPr>
        <sz val="11"/>
        <color theme="1"/>
        <rFont val="Calibri"/>
        <family val="2"/>
        <scheme val="minor"/>
      </rPr>
      <t xml:space="preserve">Sustainable Minerals Institute, The University of Queensland, QLD, 4072, Australia
</t>
    </r>
    <r>
      <rPr>
        <vertAlign val="superscript"/>
        <sz val="11"/>
        <color theme="1"/>
        <rFont val="Calibri"/>
        <family val="2"/>
        <scheme val="minor"/>
      </rPr>
      <t>f</t>
    </r>
    <r>
      <rPr>
        <sz val="11"/>
        <color theme="1"/>
        <rFont val="Calibri"/>
        <family val="2"/>
        <scheme val="minor"/>
      </rPr>
      <t xml:space="preserve">School of Environment, Enterprise and Development, University of Waterloo, 200 University Avenue West, Waterloo, Ontario N2L 3G1, Canada
</t>
    </r>
    <r>
      <rPr>
        <vertAlign val="superscript"/>
        <sz val="11"/>
        <color theme="1"/>
        <rFont val="Calibri"/>
        <family val="2"/>
        <scheme val="minor"/>
      </rPr>
      <t>g</t>
    </r>
    <r>
      <rPr>
        <sz val="11"/>
        <color theme="1"/>
        <rFont val="Calibri"/>
        <family val="2"/>
        <scheme val="minor"/>
      </rPr>
      <t xml:space="preserve">University of Technology Sydney, Institute for Sustainable Futures, Australia
</t>
    </r>
    <r>
      <rPr>
        <vertAlign val="superscript"/>
        <sz val="11"/>
        <color theme="1"/>
        <rFont val="Calibri"/>
        <family val="2"/>
        <scheme val="minor"/>
      </rPr>
      <t>h</t>
    </r>
    <r>
      <rPr>
        <sz val="11"/>
        <color theme="1"/>
        <rFont val="Calibri"/>
        <family val="2"/>
        <scheme val="minor"/>
      </rPr>
      <t xml:space="preserve">Ghent University, 9000 Ghent, Belgium
</t>
    </r>
    <r>
      <rPr>
        <vertAlign val="superscript"/>
        <sz val="11"/>
        <color theme="1"/>
        <rFont val="Calibri"/>
        <family val="2"/>
        <scheme val="minor"/>
      </rPr>
      <t>i</t>
    </r>
    <r>
      <rPr>
        <sz val="11"/>
        <color theme="1"/>
        <rFont val="Calibri"/>
        <family val="2"/>
        <scheme val="minor"/>
      </rPr>
      <t xml:space="preserve">AIST, 305-8569 Tsukuba, Japan
</t>
    </r>
    <r>
      <rPr>
        <vertAlign val="superscript"/>
        <sz val="11"/>
        <color theme="1"/>
        <rFont val="Calibri"/>
        <family val="2"/>
        <scheme val="minor"/>
      </rPr>
      <t>j</t>
    </r>
    <r>
      <rPr>
        <sz val="11"/>
        <color theme="1"/>
        <rFont val="Calibri"/>
        <family val="2"/>
        <scheme val="minor"/>
      </rPr>
      <t xml:space="preserve">Mining &amp; Explosives Engineering, Missouri University of Science &amp; Technology, Rolla, MO, USA 65409
</t>
    </r>
    <r>
      <rPr>
        <vertAlign val="superscript"/>
        <sz val="11"/>
        <color theme="1"/>
        <rFont val="Calibri"/>
        <family val="2"/>
        <scheme val="minor"/>
      </rPr>
      <t>k</t>
    </r>
    <r>
      <rPr>
        <sz val="11"/>
        <color theme="1"/>
        <rFont val="Calibri"/>
        <family val="2"/>
        <scheme val="minor"/>
      </rPr>
      <t xml:space="preserve">Institute for Sustainable Energy Systems (INSYS), Technical University of Applied Sciences Würzburg-Schweinfurt (THWS), Ignaz-Schön-Straße 11, Schweinfurt, Germany 
</t>
    </r>
    <r>
      <rPr>
        <vertAlign val="superscript"/>
        <sz val="11"/>
        <color theme="1"/>
        <rFont val="Calibri"/>
        <family val="2"/>
        <scheme val="minor"/>
      </rPr>
      <t>l</t>
    </r>
    <r>
      <rPr>
        <sz val="11"/>
        <color theme="1"/>
        <rFont val="Calibri"/>
        <family val="2"/>
        <scheme val="minor"/>
      </rPr>
      <t xml:space="preserve">Fraunhofer Institute for Surface Engineering and Thin Films IST, Riedenkamp 2, Braunschweig 38108, Germany
</t>
    </r>
    <r>
      <rPr>
        <vertAlign val="superscript"/>
        <sz val="11"/>
        <color theme="1"/>
        <rFont val="Calibri"/>
        <family val="2"/>
        <scheme val="minor"/>
      </rPr>
      <t>m</t>
    </r>
    <r>
      <rPr>
        <sz val="11"/>
        <color theme="1"/>
        <rFont val="Calibri"/>
        <family val="2"/>
        <scheme val="minor"/>
      </rPr>
      <t xml:space="preserve">Department of Environment, Land and Infrastructure Engineering, Politecnico di Torino, Corso Duca degli Abruzzi, 24, 10129 Torino, Italy
</t>
    </r>
    <r>
      <rPr>
        <vertAlign val="superscript"/>
        <sz val="11"/>
        <color theme="1"/>
        <rFont val="Calibri"/>
        <family val="2"/>
        <scheme val="minor"/>
      </rPr>
      <t>n</t>
    </r>
    <r>
      <rPr>
        <sz val="11"/>
        <color theme="1"/>
        <rFont val="Calibri"/>
        <family val="2"/>
        <scheme val="minor"/>
      </rPr>
      <t xml:space="preserve">University of Turin, Earth Sciences Department (DST), Via Valperga Caluso, 35 – 10125 Torino, Italy
</t>
    </r>
    <r>
      <rPr>
        <vertAlign val="superscript"/>
        <sz val="11"/>
        <color theme="1"/>
        <rFont val="Calibri"/>
        <family val="2"/>
        <scheme val="minor"/>
      </rPr>
      <t>o</t>
    </r>
    <r>
      <rPr>
        <sz val="11"/>
        <color theme="1"/>
        <rFont val="Calibri"/>
        <family val="2"/>
        <scheme val="minor"/>
      </rPr>
      <t xml:space="preserve">ecoinvent association, Technopark, Technoparkstrasse 1, 8005 Zürich, Switzerland 
</t>
    </r>
    <r>
      <rPr>
        <vertAlign val="superscript"/>
        <sz val="11"/>
        <color theme="1"/>
        <rFont val="Calibri"/>
        <family val="2"/>
        <scheme val="minor"/>
      </rPr>
      <t>p</t>
    </r>
    <r>
      <rPr>
        <sz val="11"/>
        <color theme="1"/>
        <rFont val="Calibri"/>
        <family val="2"/>
        <scheme val="minor"/>
      </rPr>
      <t xml:space="preserve">Graduate School of Engineering, The University of Tokyo, Tokyo 113-8656, Japan
*Corresponding author: </t>
    </r>
    <r>
      <rPr>
        <u/>
        <sz val="11"/>
        <color theme="1"/>
        <rFont val="Calibri"/>
        <family val="2"/>
        <scheme val="minor"/>
      </rPr>
      <t xml:space="preserve">f.lai@brgm.fr
</t>
    </r>
    <r>
      <rPr>
        <b/>
        <sz val="11"/>
        <color theme="1"/>
        <rFont val="Calibri"/>
        <family val="2"/>
        <scheme val="minor"/>
      </rPr>
      <t>This supporting information (SI) document n°3 provides additional details regarding the literature review and LCI datasets analysis performed in this study: 
- Full list of LCA studies identified in the literature search ("References_FullList" sheet);
- Overview and full details about the literature review as well as LCI datasets analysis and selection ("LCI_Review&amp;Analysis_Overview" and "LCI_Review&amp;Analysis_Details" sheets);
- Overview and full details about the mapping of co-/by-products across the analysed LCI datasets ("LCI&amp;Companionality_Overview" and "LCI&amp;Companionality_Details" sheets).</t>
    </r>
  </si>
  <si>
    <t>- Co-products as mentioned in the paper: Iron ore (from beneficiation)</t>
  </si>
  <si>
    <t>- Price for barite  = 0.18 US$/kg;
- Price for magnetite = 0.09 US$/kg;
- Price for Ferroniobium/FeNb = 36.00 $/kg;
- Price for Nb2O5 = 40.00 $/kg:</t>
  </si>
  <si>
    <t>- Price for magnetite = 0.08 $/kg;
- Price for barite = 0.19 $/kg;
- Price for Pyrochlore concentrate/FeNb = 13.05 $/kg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</si>
</sst>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b/>
      <i/>
      <sz val="11"/>
      <color theme="1"/>
      <name val="Calibri"/>
      <family val="2"/>
      <scheme val="minor"/>
    </font>
    <font>
      <u/>
      <sz val="11"/>
      <color theme="10"/>
      <name val="Calibri"/>
      <family val="2"/>
      <scheme val="minor"/>
    </font>
    <font>
      <b/>
      <sz val="11"/>
      <name val="Calibri"/>
      <family val="2"/>
      <scheme val="minor"/>
    </font>
    <font>
      <sz val="11"/>
      <color rgb="FFFF0000"/>
      <name val="Calibri"/>
      <family val="2"/>
      <scheme val="minor"/>
    </font>
    <font>
      <b/>
      <sz val="14"/>
      <color theme="1"/>
      <name val="Calibri"/>
      <family val="2"/>
      <scheme val="minor"/>
    </font>
    <font>
      <b/>
      <sz val="16"/>
      <color theme="1"/>
      <name val="Calibri"/>
      <family val="2"/>
      <scheme val="minor"/>
    </font>
    <font>
      <vertAlign val="superscript"/>
      <sz val="11"/>
      <color theme="1"/>
      <name val="Calibri"/>
      <family val="2"/>
      <scheme val="minor"/>
    </font>
    <font>
      <u/>
      <sz val="11"/>
      <color theme="1"/>
      <name val="Calibri"/>
      <family val="2"/>
      <scheme val="minor"/>
    </font>
    <font>
      <i/>
      <sz val="11"/>
      <color theme="1"/>
      <name val="Calibri"/>
      <family val="2"/>
      <scheme val="minor"/>
    </font>
    <font>
      <b/>
      <sz val="11"/>
      <color rgb="FFFF0000"/>
      <name val="Calibri"/>
      <family val="2"/>
      <scheme val="minor"/>
    </font>
    <font>
      <b/>
      <i/>
      <sz val="11"/>
      <color rgb="FFFF0000"/>
      <name val="Calibri"/>
      <family val="2"/>
      <scheme val="minor"/>
    </font>
  </fonts>
  <fills count="14">
    <fill>
      <patternFill patternType="none"/>
    </fill>
    <fill>
      <patternFill patternType="gray125"/>
    </fill>
    <fill>
      <patternFill patternType="solid">
        <fgColor theme="8" tint="0.59999389629810485"/>
        <bgColor indexed="65"/>
      </patternFill>
    </fill>
    <fill>
      <patternFill patternType="solid">
        <fgColor theme="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tint="0.59999389629810485"/>
        <bgColor indexed="65"/>
      </patternFill>
    </fill>
    <fill>
      <patternFill patternType="solid">
        <fgColor theme="8"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0" fontId="3" fillId="2" borderId="0" applyNumberFormat="0" applyBorder="0" applyAlignment="0" applyProtection="0"/>
    <xf numFmtId="0" fontId="5" fillId="0" borderId="0" applyNumberFormat="0" applyFill="0" applyBorder="0" applyAlignment="0" applyProtection="0"/>
    <xf numFmtId="9" fontId="3" fillId="0" borderId="0" applyFont="0" applyFill="0" applyBorder="0" applyAlignment="0" applyProtection="0"/>
    <xf numFmtId="0" fontId="3" fillId="6" borderId="0" applyNumberFormat="0" applyBorder="0" applyAlignment="0" applyProtection="0"/>
  </cellStyleXfs>
  <cellXfs count="123">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0" xfId="0" applyAlignment="1">
      <alignment wrapText="1"/>
    </xf>
    <xf numFmtId="0" fontId="1" fillId="2" borderId="1" xfId="1" applyFont="1" applyBorder="1" applyAlignment="1">
      <alignment horizontal="center" vertical="center" wrapText="1"/>
    </xf>
    <xf numFmtId="0" fontId="0" fillId="0" borderId="0" xfId="0" applyAlignment="1">
      <alignment vertical="center" wrapText="1"/>
    </xf>
    <xf numFmtId="0" fontId="0" fillId="0" borderId="1" xfId="0" applyBorder="1" applyAlignment="1">
      <alignment vertical="center" wrapText="1"/>
    </xf>
    <xf numFmtId="0" fontId="0" fillId="0" borderId="2" xfId="0" applyBorder="1" applyAlignment="1">
      <alignment horizontal="center" vertical="center" wrapText="1"/>
    </xf>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vertical="center" wrapText="1"/>
    </xf>
    <xf numFmtId="0" fontId="0" fillId="0" borderId="4" xfId="0" applyBorder="1" applyAlignment="1">
      <alignment vertical="center" wrapText="1"/>
    </xf>
    <xf numFmtId="0" fontId="0" fillId="0" borderId="5" xfId="0" applyBorder="1" applyAlignment="1">
      <alignment horizontal="center" vertical="center" wrapText="1"/>
    </xf>
    <xf numFmtId="0" fontId="0" fillId="0" borderId="5" xfId="0" applyBorder="1" applyAlignment="1">
      <alignment vertical="center" wrapText="1"/>
    </xf>
    <xf numFmtId="0" fontId="0" fillId="3" borderId="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1" xfId="0" applyFill="1" applyBorder="1" applyAlignment="1">
      <alignment horizontal="center" vertical="center" wrapText="1"/>
    </xf>
    <xf numFmtId="0" fontId="0" fillId="4" borderId="2" xfId="0" applyFill="1" applyBorder="1" applyAlignment="1">
      <alignment horizontal="center" vertical="center" wrapText="1"/>
    </xf>
    <xf numFmtId="0" fontId="0" fillId="0" borderId="7" xfId="0" applyBorder="1" applyAlignment="1">
      <alignment horizontal="center" vertical="center" wrapText="1"/>
    </xf>
    <xf numFmtId="0" fontId="0" fillId="0" borderId="4" xfId="0" quotePrefix="1" applyBorder="1" applyAlignment="1">
      <alignment horizontal="center" vertical="center" wrapText="1"/>
    </xf>
    <xf numFmtId="0" fontId="0" fillId="4" borderId="5" xfId="0" applyFill="1" applyBorder="1" applyAlignment="1">
      <alignment horizontal="center" vertical="center" wrapText="1"/>
    </xf>
    <xf numFmtId="0" fontId="0" fillId="3" borderId="5" xfId="0" applyFill="1" applyBorder="1" applyAlignment="1">
      <alignment horizontal="center" vertical="center" wrapText="1"/>
    </xf>
    <xf numFmtId="0" fontId="0" fillId="0" borderId="1" xfId="0" applyBorder="1" applyAlignment="1">
      <alignment horizontal="left" vertical="center" wrapText="1"/>
    </xf>
    <xf numFmtId="0" fontId="2"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0" fillId="5" borderId="2" xfId="0" applyFill="1" applyBorder="1" applyAlignment="1">
      <alignment horizontal="center" vertical="center" wrapText="1"/>
    </xf>
    <xf numFmtId="0" fontId="0" fillId="5" borderId="1" xfId="0" applyFill="1" applyBorder="1" applyAlignment="1">
      <alignment horizontal="center" vertical="center" wrapText="1"/>
    </xf>
    <xf numFmtId="0" fontId="0" fillId="5" borderId="4" xfId="0" applyFill="1" applyBorder="1" applyAlignment="1">
      <alignment horizontal="center" vertical="center" wrapText="1"/>
    </xf>
    <xf numFmtId="0" fontId="0" fillId="5" borderId="5" xfId="0" applyFill="1" applyBorder="1" applyAlignment="1">
      <alignment horizontal="center" vertical="center" wrapText="1"/>
    </xf>
    <xf numFmtId="0" fontId="2" fillId="5" borderId="5"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0" fillId="0" borderId="1" xfId="0" quotePrefix="1" applyBorder="1" applyAlignment="1">
      <alignment horizontal="center" vertical="center" wrapText="1"/>
    </xf>
    <xf numFmtId="0" fontId="1"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0" fillId="0" borderId="2" xfId="0" quotePrefix="1" applyBorder="1" applyAlignment="1">
      <alignment horizontal="center" vertical="center" wrapText="1"/>
    </xf>
    <xf numFmtId="0" fontId="1" fillId="5" borderId="2"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0" fillId="0" borderId="5" xfId="0" quotePrefix="1" applyBorder="1" applyAlignment="1">
      <alignment horizontal="center" vertical="center" wrapText="1"/>
    </xf>
    <xf numFmtId="0" fontId="1" fillId="0" borderId="4" xfId="0" applyFont="1" applyBorder="1" applyAlignment="1">
      <alignment horizontal="center" vertical="center" wrapText="1"/>
    </xf>
    <xf numFmtId="0" fontId="1" fillId="4" borderId="5"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left" vertical="center" wrapText="1"/>
    </xf>
    <xf numFmtId="0" fontId="5" fillId="0" borderId="1" xfId="2" applyBorder="1" applyAlignment="1">
      <alignment horizontal="center" vertical="center" wrapText="1"/>
    </xf>
    <xf numFmtId="0" fontId="5" fillId="0" borderId="4" xfId="2" applyBorder="1" applyAlignment="1">
      <alignment horizontal="center" vertical="center" wrapText="1"/>
    </xf>
    <xf numFmtId="0" fontId="5" fillId="0" borderId="2" xfId="2" applyBorder="1" applyAlignment="1">
      <alignment horizontal="center" vertical="center" wrapText="1"/>
    </xf>
    <xf numFmtId="0" fontId="5" fillId="0" borderId="1" xfId="2" applyFill="1" applyBorder="1" applyAlignment="1">
      <alignment horizontal="center" vertical="center" wrapText="1"/>
    </xf>
    <xf numFmtId="0" fontId="5" fillId="0" borderId="4" xfId="2" applyFill="1" applyBorder="1" applyAlignment="1">
      <alignment horizontal="center" vertical="center" wrapText="1"/>
    </xf>
    <xf numFmtId="0" fontId="5" fillId="0" borderId="5" xfId="2" applyBorder="1" applyAlignment="1">
      <alignment horizontal="center" vertical="center" wrapText="1"/>
    </xf>
    <xf numFmtId="0" fontId="5" fillId="0" borderId="2" xfId="2" applyFill="1" applyBorder="1" applyAlignment="1">
      <alignment horizontal="center" vertical="center" wrapText="1"/>
    </xf>
    <xf numFmtId="0" fontId="5" fillId="0" borderId="5" xfId="2" applyFill="1" applyBorder="1" applyAlignment="1">
      <alignment horizontal="center" vertical="center" wrapText="1"/>
    </xf>
    <xf numFmtId="0" fontId="0" fillId="0" borderId="0" xfId="0" applyAlignment="1">
      <alignment horizontal="center" wrapText="1"/>
    </xf>
    <xf numFmtId="0" fontId="0" fillId="0" borderId="3" xfId="0" applyBorder="1" applyAlignment="1">
      <alignment horizontal="center" vertical="center" wrapText="1"/>
    </xf>
    <xf numFmtId="0" fontId="2" fillId="0" borderId="1" xfId="2" applyFont="1" applyBorder="1" applyAlignment="1">
      <alignment horizontal="center" vertical="center" wrapText="1"/>
    </xf>
    <xf numFmtId="0" fontId="0" fillId="5" borderId="1" xfId="0" applyFill="1" applyBorder="1" applyAlignment="1">
      <alignment horizontal="center" vertical="center"/>
    </xf>
    <xf numFmtId="0" fontId="0" fillId="5" borderId="6" xfId="0" applyFill="1" applyBorder="1" applyAlignment="1">
      <alignment horizontal="center" vertical="center"/>
    </xf>
    <xf numFmtId="0" fontId="1" fillId="5" borderId="1" xfId="0" applyFont="1" applyFill="1" applyBorder="1" applyAlignment="1">
      <alignment horizontal="center" vertical="center"/>
    </xf>
    <xf numFmtId="0" fontId="0" fillId="9" borderId="1" xfId="0" applyFill="1" applyBorder="1" applyAlignment="1">
      <alignment horizontal="center" vertical="center"/>
    </xf>
    <xf numFmtId="1" fontId="0" fillId="10" borderId="1" xfId="3" applyNumberFormat="1" applyFont="1" applyFill="1" applyBorder="1" applyAlignment="1">
      <alignment horizontal="center" vertical="center"/>
    </xf>
    <xf numFmtId="1" fontId="0" fillId="0" borderId="1" xfId="3" applyNumberFormat="1" applyFont="1" applyBorder="1" applyAlignment="1">
      <alignment horizontal="center" vertical="center"/>
    </xf>
    <xf numFmtId="1" fontId="0" fillId="0" borderId="1" xfId="3" applyNumberFormat="1" applyFont="1" applyFill="1" applyBorder="1" applyAlignment="1">
      <alignment horizontal="center" vertical="center"/>
    </xf>
    <xf numFmtId="1" fontId="1" fillId="0" borderId="1" xfId="3" applyNumberFormat="1" applyFont="1" applyFill="1" applyBorder="1" applyAlignment="1">
      <alignment horizontal="center" vertical="center"/>
    </xf>
    <xf numFmtId="1" fontId="0" fillId="11" borderId="1" xfId="3" applyNumberFormat="1" applyFont="1" applyFill="1" applyBorder="1" applyAlignment="1">
      <alignment horizontal="center" vertical="center"/>
    </xf>
    <xf numFmtId="1" fontId="0" fillId="12" borderId="1" xfId="3" applyNumberFormat="1" applyFont="1" applyFill="1" applyBorder="1" applyAlignment="1">
      <alignment horizontal="center" vertical="center"/>
    </xf>
    <xf numFmtId="0" fontId="0" fillId="0" borderId="0" xfId="0" applyAlignment="1">
      <alignment horizontal="left"/>
    </xf>
    <xf numFmtId="0" fontId="1" fillId="6" borderId="1" xfId="4" applyFont="1" applyBorder="1" applyAlignment="1">
      <alignment horizontal="center" vertical="center" wrapText="1"/>
    </xf>
    <xf numFmtId="0" fontId="0" fillId="0" borderId="1" xfId="0" quotePrefix="1" applyBorder="1" applyAlignment="1">
      <alignment horizontal="left" vertical="center" wrapText="1"/>
    </xf>
    <xf numFmtId="0" fontId="1" fillId="0" borderId="2" xfId="0" applyFont="1" applyBorder="1" applyAlignment="1">
      <alignment horizontal="center" vertical="center" wrapText="1"/>
    </xf>
    <xf numFmtId="0" fontId="0" fillId="0" borderId="4" xfId="0" quotePrefix="1" applyBorder="1" applyAlignment="1">
      <alignment horizontal="left" vertical="center" wrapText="1"/>
    </xf>
    <xf numFmtId="0" fontId="0" fillId="0" borderId="2" xfId="0" quotePrefix="1" applyBorder="1" applyAlignment="1">
      <alignment horizontal="left" vertical="center" wrapText="1"/>
    </xf>
    <xf numFmtId="0" fontId="0" fillId="0" borderId="5" xfId="0" quotePrefix="1" applyBorder="1" applyAlignment="1">
      <alignment horizontal="left" vertical="center" wrapText="1"/>
    </xf>
    <xf numFmtId="0" fontId="0" fillId="0" borderId="7" xfId="0" quotePrefix="1" applyBorder="1" applyAlignment="1">
      <alignment horizontal="left" vertical="center" wrapText="1"/>
    </xf>
    <xf numFmtId="1" fontId="0" fillId="0" borderId="1" xfId="0" applyNumberFormat="1" applyBorder="1" applyAlignment="1">
      <alignment horizontal="center" vertical="center" wrapText="1"/>
    </xf>
    <xf numFmtId="1" fontId="0" fillId="0" borderId="3" xfId="0" applyNumberFormat="1" applyBorder="1" applyAlignment="1">
      <alignment horizontal="center" vertical="center" wrapText="1"/>
    </xf>
    <xf numFmtId="0" fontId="0" fillId="0" borderId="0" xfId="0" applyAlignment="1">
      <alignment horizontal="right" vertical="center" wrapText="1"/>
    </xf>
    <xf numFmtId="0" fontId="12" fillId="0" borderId="0" xfId="0" applyFont="1" applyAlignment="1">
      <alignment horizontal="left" vertical="center"/>
    </xf>
    <xf numFmtId="20" fontId="13" fillId="2" borderId="1" xfId="1" applyNumberFormat="1" applyFont="1" applyBorder="1" applyAlignment="1">
      <alignment horizontal="center" vertical="center" wrapText="1"/>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13" fillId="0" borderId="1" xfId="0" applyFont="1" applyBorder="1" applyAlignment="1">
      <alignment horizontal="center" vertical="center" wrapText="1"/>
    </xf>
    <xf numFmtId="0" fontId="1" fillId="9"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0" fillId="11" borderId="1" xfId="0" applyFill="1" applyBorder="1" applyAlignment="1">
      <alignment horizontal="center" vertical="center" wrapText="1"/>
    </xf>
    <xf numFmtId="0" fontId="1" fillId="11" borderId="1" xfId="0" applyFont="1" applyFill="1" applyBorder="1" applyAlignment="1">
      <alignment horizontal="center" vertical="center" wrapText="1"/>
    </xf>
    <xf numFmtId="0" fontId="0" fillId="11" borderId="4" xfId="0" applyFill="1" applyBorder="1" applyAlignment="1">
      <alignment horizontal="center" vertical="center" wrapText="1"/>
    </xf>
    <xf numFmtId="0" fontId="1" fillId="11" borderId="4" xfId="0" applyFont="1" applyFill="1" applyBorder="1" applyAlignment="1">
      <alignment horizontal="center" vertical="center" wrapText="1"/>
    </xf>
    <xf numFmtId="0" fontId="0" fillId="11" borderId="2" xfId="0" applyFill="1" applyBorder="1" applyAlignment="1">
      <alignment horizontal="center" vertical="center" wrapText="1"/>
    </xf>
    <xf numFmtId="0" fontId="1" fillId="11" borderId="2" xfId="0" applyFont="1" applyFill="1" applyBorder="1" applyAlignment="1">
      <alignment horizontal="center" vertical="center" wrapText="1"/>
    </xf>
    <xf numFmtId="0" fontId="0" fillId="11" borderId="5" xfId="0" applyFill="1" applyBorder="1" applyAlignment="1">
      <alignment horizontal="center" vertical="center" wrapText="1"/>
    </xf>
    <xf numFmtId="0" fontId="1" fillId="11" borderId="5" xfId="0" applyFont="1" applyFill="1" applyBorder="1" applyAlignment="1">
      <alignment horizontal="center" vertical="center" wrapText="1"/>
    </xf>
    <xf numFmtId="0" fontId="0" fillId="11" borderId="7" xfId="0" applyFill="1" applyBorder="1" applyAlignment="1">
      <alignment horizontal="center" vertical="center" wrapText="1"/>
    </xf>
    <xf numFmtId="0" fontId="1" fillId="11" borderId="7" xfId="0" applyFont="1" applyFill="1" applyBorder="1" applyAlignment="1">
      <alignment horizontal="center" vertical="center" wrapText="1"/>
    </xf>
    <xf numFmtId="0" fontId="6" fillId="0" borderId="2" xfId="0" applyFont="1" applyBorder="1" applyAlignment="1">
      <alignment horizontal="center" vertical="center" wrapText="1"/>
    </xf>
    <xf numFmtId="0" fontId="2" fillId="0" borderId="1" xfId="0" quotePrefix="1" applyFont="1" applyBorder="1" applyAlignment="1">
      <alignment horizontal="left" vertical="center" wrapText="1"/>
    </xf>
    <xf numFmtId="0" fontId="2" fillId="0" borderId="2" xfId="0" quotePrefix="1" applyFont="1" applyBorder="1" applyAlignment="1">
      <alignment horizontal="left" vertical="center" wrapText="1"/>
    </xf>
    <xf numFmtId="0" fontId="6" fillId="0" borderId="1" xfId="0" applyFont="1" applyBorder="1" applyAlignment="1">
      <alignment horizontal="center" vertical="center" wrapText="1"/>
    </xf>
    <xf numFmtId="0" fontId="0" fillId="13" borderId="1" xfId="0" applyFill="1" applyBorder="1" applyAlignment="1">
      <alignment horizontal="center"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0" xfId="0" applyAlignment="1">
      <alignment horizontal="left"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1" fillId="7" borderId="6" xfId="0" applyFont="1" applyFill="1" applyBorder="1" applyAlignment="1">
      <alignment horizontal="center" vertical="center"/>
    </xf>
    <xf numFmtId="0" fontId="1" fillId="7" borderId="8" xfId="0" applyFont="1" applyFill="1" applyBorder="1" applyAlignment="1">
      <alignment horizontal="center" vertical="center"/>
    </xf>
    <xf numFmtId="0" fontId="1" fillId="7" borderId="9" xfId="0" applyFont="1" applyFill="1" applyBorder="1" applyAlignment="1">
      <alignment horizontal="center" vertical="center"/>
    </xf>
    <xf numFmtId="0" fontId="1" fillId="8" borderId="1" xfId="0" applyFont="1" applyFill="1" applyBorder="1" applyAlignment="1">
      <alignment horizontal="center" vertical="center" textRotation="90"/>
    </xf>
  </cellXfs>
  <cellStyles count="5">
    <cellStyle name="40 % - Accent2" xfId="4" builtinId="35"/>
    <cellStyle name="40 % - Accent5" xfId="1" builtinId="47"/>
    <cellStyle name="Lien hypertexte" xfId="2" builtinId="8"/>
    <cellStyle name="Normal" xfId="0" builtinId="0"/>
    <cellStyle name="Pourcentag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doi.org/10.1016/j.jclepro.2018.08.225" TargetMode="External"/><Relationship Id="rId299" Type="http://schemas.openxmlformats.org/officeDocument/2006/relationships/hyperlink" Target="https://doi.org/10.1111/jiec.13258" TargetMode="External"/><Relationship Id="rId21" Type="http://schemas.openxmlformats.org/officeDocument/2006/relationships/hyperlink" Target="https://doi.org/10.1016/j.jclepro.2012.08.010" TargetMode="External"/><Relationship Id="rId63" Type="http://schemas.openxmlformats.org/officeDocument/2006/relationships/hyperlink" Target="https://doi.org/10.3390/su8080719" TargetMode="External"/><Relationship Id="rId159" Type="http://schemas.openxmlformats.org/officeDocument/2006/relationships/hyperlink" Target="https://doi.org/10.1016/j.jclepro.2023.137796" TargetMode="External"/><Relationship Id="rId324" Type="http://schemas.openxmlformats.org/officeDocument/2006/relationships/hyperlink" Target="https://doi.org/10.1007/s11367-016-1131-8" TargetMode="External"/><Relationship Id="rId366" Type="http://schemas.openxmlformats.org/officeDocument/2006/relationships/hyperlink" Target="https://doi.org/10.1016/j.jclepro.2020.125256" TargetMode="External"/><Relationship Id="rId170" Type="http://schemas.openxmlformats.org/officeDocument/2006/relationships/hyperlink" Target="https://doi.org/10.4271/2019-24-0245" TargetMode="External"/><Relationship Id="rId226" Type="http://schemas.openxmlformats.org/officeDocument/2006/relationships/hyperlink" Target="https://doi.org/10.1007/978-981-10-1088-0_21" TargetMode="External"/><Relationship Id="rId268" Type="http://schemas.openxmlformats.org/officeDocument/2006/relationships/hyperlink" Target="https://doi.org/10.1016/j.jclepro.2017.07.021" TargetMode="External"/><Relationship Id="rId32" Type="http://schemas.openxmlformats.org/officeDocument/2006/relationships/hyperlink" Target="https://doi.org/10.1016/j.jclepro.2019.04.186" TargetMode="External"/><Relationship Id="rId74" Type="http://schemas.openxmlformats.org/officeDocument/2006/relationships/hyperlink" Target="https://doi.org/10.1007/s11367-019-01714-7" TargetMode="External"/><Relationship Id="rId128" Type="http://schemas.openxmlformats.org/officeDocument/2006/relationships/hyperlink" Target="https://doi.org/10.1007/s11367-012-0429-4" TargetMode="External"/><Relationship Id="rId335" Type="http://schemas.openxmlformats.org/officeDocument/2006/relationships/hyperlink" Target="https://doi.org/10.1016/j.scitotenv.2018.12.318" TargetMode="External"/><Relationship Id="rId377" Type="http://schemas.openxmlformats.org/officeDocument/2006/relationships/hyperlink" Target="https://zenodo.org/doi/10.5281/zenodo.7521124" TargetMode="External"/><Relationship Id="rId5" Type="http://schemas.openxmlformats.org/officeDocument/2006/relationships/hyperlink" Target="https://doi.org/10.1016/j.jclepro.2011.10.026" TargetMode="External"/><Relationship Id="rId181" Type="http://schemas.openxmlformats.org/officeDocument/2006/relationships/hyperlink" Target="https://doi.org/10.1016/S0098-1354(99)00308-7" TargetMode="External"/><Relationship Id="rId237" Type="http://schemas.openxmlformats.org/officeDocument/2006/relationships/hyperlink" Target="https://doi.org/10.1016/j.jclepro.2003.12.022" TargetMode="External"/><Relationship Id="rId279" Type="http://schemas.openxmlformats.org/officeDocument/2006/relationships/hyperlink" Target="https://doi.org/10.3390/pr10122715" TargetMode="External"/><Relationship Id="rId43" Type="http://schemas.openxmlformats.org/officeDocument/2006/relationships/hyperlink" Target="https://doi.org/10.1177/0734242X13476364" TargetMode="External"/><Relationship Id="rId139" Type="http://schemas.openxmlformats.org/officeDocument/2006/relationships/hyperlink" Target="https://iea-pvps.org/wp-content/uploads/2020/01/IEA-PVPS_Task_12_LCI_LCA.pdf" TargetMode="External"/><Relationship Id="rId290" Type="http://schemas.openxmlformats.org/officeDocument/2006/relationships/hyperlink" Target="http://dx.doi.org/10.1016/j.envdev.2017.07.001" TargetMode="External"/><Relationship Id="rId304" Type="http://schemas.openxmlformats.org/officeDocument/2006/relationships/hyperlink" Target="https://doi.org/10.1007/s11367-021-01976-0" TargetMode="External"/><Relationship Id="rId346" Type="http://schemas.openxmlformats.org/officeDocument/2006/relationships/hyperlink" Target="https://www.c-hafner.de/fileadmin/user_upload/pdf/Life_Cycle_Assessment_and_Carbon_Footprint_of_precious_metal_recycling_by_C.HANFER_-_Summary_INEC___treeze_en.pdf" TargetMode="External"/><Relationship Id="rId85" Type="http://schemas.openxmlformats.org/officeDocument/2006/relationships/hyperlink" Target="https://doi.org/10.1021/acssuschemeng.7b03484" TargetMode="External"/><Relationship Id="rId150" Type="http://schemas.openxmlformats.org/officeDocument/2006/relationships/hyperlink" Target="https://doi.org/10.1016/j.jclepro.2022.135218" TargetMode="External"/><Relationship Id="rId192" Type="http://schemas.openxmlformats.org/officeDocument/2006/relationships/hyperlink" Target="https://doi.org/10.1016/j.jclepro.2007.05.007" TargetMode="External"/><Relationship Id="rId206" Type="http://schemas.openxmlformats.org/officeDocument/2006/relationships/hyperlink" Target="https://doi.org/10.1016/j.rser.2007.11.012" TargetMode="External"/><Relationship Id="rId248" Type="http://schemas.openxmlformats.org/officeDocument/2006/relationships/hyperlink" Target="https://doi.org/10.1016/j.jclepro.2013.09.033" TargetMode="External"/><Relationship Id="rId12" Type="http://schemas.openxmlformats.org/officeDocument/2006/relationships/hyperlink" Target="https://doi.org/10.1111/jiec.12942" TargetMode="External"/><Relationship Id="rId108" Type="http://schemas.openxmlformats.org/officeDocument/2006/relationships/hyperlink" Target="https://doi.org/10.1016/j.jclepro.2016.08.132" TargetMode="External"/><Relationship Id="rId315" Type="http://schemas.openxmlformats.org/officeDocument/2006/relationships/hyperlink" Target="https://doi.org/10.3390/en13215664" TargetMode="External"/><Relationship Id="rId357" Type="http://schemas.openxmlformats.org/officeDocument/2006/relationships/hyperlink" Target="https://doi.org/10.1016/j.jclepro.2020.125256" TargetMode="External"/><Relationship Id="rId54" Type="http://schemas.openxmlformats.org/officeDocument/2006/relationships/hyperlink" Target="https://doi.org/10.1016/j.jclepro.2013.04.031" TargetMode="External"/><Relationship Id="rId96" Type="http://schemas.openxmlformats.org/officeDocument/2006/relationships/hyperlink" Target="https://doi.org/10.1111/jiec.13410" TargetMode="External"/><Relationship Id="rId161" Type="http://schemas.openxmlformats.org/officeDocument/2006/relationships/hyperlink" Target="https://doi.org/10.1007/s11367-015-0995-3" TargetMode="External"/><Relationship Id="rId217" Type="http://schemas.openxmlformats.org/officeDocument/2006/relationships/hyperlink" Target="https://iea-pvps.org/key-topics/life-cycle-assesment-of-current-photovoltaic-module-recycling-by-task-12-2/" TargetMode="External"/><Relationship Id="rId259" Type="http://schemas.openxmlformats.org/officeDocument/2006/relationships/hyperlink" Target="https://doi.org/10.1016/S0921-3449(01)00122-7" TargetMode="External"/><Relationship Id="rId23" Type="http://schemas.openxmlformats.org/officeDocument/2006/relationships/hyperlink" Target="https://doi.org/10.1016/j.resconrec.2009.08.008" TargetMode="External"/><Relationship Id="rId119" Type="http://schemas.openxmlformats.org/officeDocument/2006/relationships/hyperlink" Target="https://doi.org/10.1007/978-3-319-48231-6_4" TargetMode="External"/><Relationship Id="rId270" Type="http://schemas.openxmlformats.org/officeDocument/2006/relationships/hyperlink" Target="https://doi.org/10.1016/j.cesys.2021.100052" TargetMode="External"/><Relationship Id="rId326" Type="http://schemas.openxmlformats.org/officeDocument/2006/relationships/hyperlink" Target="https://doi.org/10.1111/j.1530-9290.2010.00292.x" TargetMode="External"/><Relationship Id="rId65" Type="http://schemas.openxmlformats.org/officeDocument/2006/relationships/hyperlink" Target="https://doi.org/10.1016/j.apenergy.2018.03.043" TargetMode="External"/><Relationship Id="rId130" Type="http://schemas.openxmlformats.org/officeDocument/2006/relationships/hyperlink" Target="https://doi.org/10.1016/j.procir.2023.02.054" TargetMode="External"/><Relationship Id="rId368" Type="http://schemas.openxmlformats.org/officeDocument/2006/relationships/hyperlink" Target="https://doi.org/10.1016/j.rser.2007.11.012" TargetMode="External"/><Relationship Id="rId172" Type="http://schemas.openxmlformats.org/officeDocument/2006/relationships/hyperlink" Target="https://ipa-news.com/index/sustainability/environment/pgms-in-the-life-cycle.html" TargetMode="External"/><Relationship Id="rId228" Type="http://schemas.openxmlformats.org/officeDocument/2006/relationships/hyperlink" Target="https://doi.org/10.1016/j.jclepro.2004.12.021" TargetMode="External"/><Relationship Id="rId281" Type="http://schemas.openxmlformats.org/officeDocument/2006/relationships/hyperlink" Target="https://doi.org/10.1016/j.jclepro.2013.09.033" TargetMode="External"/><Relationship Id="rId337" Type="http://schemas.openxmlformats.org/officeDocument/2006/relationships/hyperlink" Target="https://doi.org/10.1016/B978-0-444-63455-9.50145-8" TargetMode="External"/><Relationship Id="rId34" Type="http://schemas.openxmlformats.org/officeDocument/2006/relationships/hyperlink" Target="https://doi.org/10.4028/www.scientific.net/MSF.913.985" TargetMode="External"/><Relationship Id="rId76" Type="http://schemas.openxmlformats.org/officeDocument/2006/relationships/hyperlink" Target="http://dx.doi.org/10.15666/aeer/1702_43434359" TargetMode="External"/><Relationship Id="rId141" Type="http://schemas.openxmlformats.org/officeDocument/2006/relationships/hyperlink" Target="https://doi.org/10.1007/s12633-018-9937-6" TargetMode="External"/><Relationship Id="rId379" Type="http://schemas.openxmlformats.org/officeDocument/2006/relationships/hyperlink" Target="https://doi.org/10.1016/j.wasman.2022.04.006" TargetMode="External"/><Relationship Id="rId7" Type="http://schemas.openxmlformats.org/officeDocument/2006/relationships/hyperlink" Target="https://doi.org/10.1016/j.procir.2023.02.102" TargetMode="External"/><Relationship Id="rId183" Type="http://schemas.openxmlformats.org/officeDocument/2006/relationships/hyperlink" Target="https://doi.org/10.1016/j.jclepro.2016.10.040" TargetMode="External"/><Relationship Id="rId239" Type="http://schemas.openxmlformats.org/officeDocument/2006/relationships/hyperlink" Target="https://international-aluminium.org/resource/2019-life-cycle-inventory-lci-data-and-environmental-metrics/" TargetMode="External"/><Relationship Id="rId250" Type="http://schemas.openxmlformats.org/officeDocument/2006/relationships/hyperlink" Target="https://doi.org/10.1007/s11367-019-01723-6" TargetMode="External"/><Relationship Id="rId292" Type="http://schemas.openxmlformats.org/officeDocument/2006/relationships/hyperlink" Target="https://internationalcopper.org/wp-content/uploads/2021/08/ICA-EnvironmentalProfileHESD-201803-FINAL-LOWRES-1.pdf" TargetMode="External"/><Relationship Id="rId306" Type="http://schemas.openxmlformats.org/officeDocument/2006/relationships/hyperlink" Target="https://doi.org/10.1007/s11367-021-01925-x" TargetMode="External"/><Relationship Id="rId45" Type="http://schemas.openxmlformats.org/officeDocument/2006/relationships/hyperlink" Target="https://doi.org/10.1016/j.jclepro.2015.05.140" TargetMode="External"/><Relationship Id="rId87" Type="http://schemas.openxmlformats.org/officeDocument/2006/relationships/hyperlink" Target="https://doi.org/10.1111/jiec.12943" TargetMode="External"/><Relationship Id="rId110" Type="http://schemas.openxmlformats.org/officeDocument/2006/relationships/hyperlink" Target="https://doi.org/10.1016/j.wasman.2019.08.038" TargetMode="External"/><Relationship Id="rId348" Type="http://schemas.openxmlformats.org/officeDocument/2006/relationships/hyperlink" Target="https://greet.anl.gov/files/update_cobalt" TargetMode="External"/><Relationship Id="rId152" Type="http://schemas.openxmlformats.org/officeDocument/2006/relationships/hyperlink" Target="https://doi.org/10.4028/www.scientific.net/MSF.944.1123" TargetMode="External"/><Relationship Id="rId194" Type="http://schemas.openxmlformats.org/officeDocument/2006/relationships/hyperlink" Target="https://doi.org/10.1016/j.jclepro.2017.01.179" TargetMode="External"/><Relationship Id="rId208" Type="http://schemas.openxmlformats.org/officeDocument/2006/relationships/hyperlink" Target="https://doi.org/10.1016/j.rser.2007.11.012" TargetMode="External"/><Relationship Id="rId261" Type="http://schemas.openxmlformats.org/officeDocument/2006/relationships/hyperlink" Target="https://doi.org/10.1007/s11367-021-02018-5" TargetMode="External"/><Relationship Id="rId14" Type="http://schemas.openxmlformats.org/officeDocument/2006/relationships/hyperlink" Target="https://doi.org/10.1016/j.jenvman.2022.114949" TargetMode="External"/><Relationship Id="rId56" Type="http://schemas.openxmlformats.org/officeDocument/2006/relationships/hyperlink" Target="https://doi.org/10.1016/j.jclepro.2017.02.023" TargetMode="External"/><Relationship Id="rId317" Type="http://schemas.openxmlformats.org/officeDocument/2006/relationships/hyperlink" Target="https://doi.org/10.1016/j.eiar.2023.107412" TargetMode="External"/><Relationship Id="rId359" Type="http://schemas.openxmlformats.org/officeDocument/2006/relationships/hyperlink" Target="https://doi.org/10.1016/j.jclepro.2022.133458" TargetMode="External"/><Relationship Id="rId98" Type="http://schemas.openxmlformats.org/officeDocument/2006/relationships/hyperlink" Target="https://doi.org/10.1016/j.resourpol.2016.03.003" TargetMode="External"/><Relationship Id="rId121" Type="http://schemas.openxmlformats.org/officeDocument/2006/relationships/hyperlink" Target="https://doi.org/10.3390/su12218822" TargetMode="External"/><Relationship Id="rId163" Type="http://schemas.openxmlformats.org/officeDocument/2006/relationships/hyperlink" Target="https://doi.org/10.1016/j.neuro.2016.09.015" TargetMode="External"/><Relationship Id="rId219" Type="http://schemas.openxmlformats.org/officeDocument/2006/relationships/hyperlink" Target="https://doi.org/10.1021/acssuschemeng.2c05326" TargetMode="External"/><Relationship Id="rId370" Type="http://schemas.openxmlformats.org/officeDocument/2006/relationships/hyperlink" Target="https://doi.org/10.1007/s11367-021-02018-5" TargetMode="External"/><Relationship Id="rId230" Type="http://schemas.openxmlformats.org/officeDocument/2006/relationships/hyperlink" Target="https://doi.org/10.1007/s11367-015-1003-7" TargetMode="External"/><Relationship Id="rId25" Type="http://schemas.openxmlformats.org/officeDocument/2006/relationships/hyperlink" Target="https://doi.org/10.1016/j.jclepro.2006.06.018" TargetMode="External"/><Relationship Id="rId67" Type="http://schemas.openxmlformats.org/officeDocument/2006/relationships/hyperlink" Target="https://doi.org/10.1007/s11367-010-0160-y" TargetMode="External"/><Relationship Id="rId272" Type="http://schemas.openxmlformats.org/officeDocument/2006/relationships/hyperlink" Target="https://doi.org/10.1016/j.scitotenv.2018.12.318" TargetMode="External"/><Relationship Id="rId328" Type="http://schemas.openxmlformats.org/officeDocument/2006/relationships/hyperlink" Target="https://doi.org/10.1016/j.jclepro.2015.03.076" TargetMode="External"/><Relationship Id="rId132" Type="http://schemas.openxmlformats.org/officeDocument/2006/relationships/hyperlink" Target="https://pubs.acs.org/doi/10.1021/acs.est.8b06800" TargetMode="External"/><Relationship Id="rId174" Type="http://schemas.openxmlformats.org/officeDocument/2006/relationships/hyperlink" Target="https://doi.org/10.1016/j.resconrec.2013.09.003" TargetMode="External"/><Relationship Id="rId381" Type="http://schemas.openxmlformats.org/officeDocument/2006/relationships/hyperlink" Target="https://doi.org/10.1007/s11367-022-02100-6" TargetMode="External"/><Relationship Id="rId241" Type="http://schemas.openxmlformats.org/officeDocument/2006/relationships/hyperlink" Target="https://legacy-assets.eenews.net/open_files/assets/2014/01/11/document_cw_01.pdf" TargetMode="External"/><Relationship Id="rId36" Type="http://schemas.openxmlformats.org/officeDocument/2006/relationships/hyperlink" Target="https://doi.org/10.1016/j.resconrec.2023.106926" TargetMode="External"/><Relationship Id="rId283" Type="http://schemas.openxmlformats.org/officeDocument/2006/relationships/hyperlink" Target="https://doi.org/10.1016/j.gloenvcha.2018.02.008" TargetMode="External"/><Relationship Id="rId339" Type="http://schemas.openxmlformats.org/officeDocument/2006/relationships/hyperlink" Target="https://doi.org/10.1007/s11367-015-0978-4" TargetMode="External"/><Relationship Id="rId78" Type="http://schemas.openxmlformats.org/officeDocument/2006/relationships/hyperlink" Target="https://doi.org/10.1371/journal.pone.0101298" TargetMode="External"/><Relationship Id="rId101" Type="http://schemas.openxmlformats.org/officeDocument/2006/relationships/hyperlink" Target="https://doi.org/10.1007/s40831-017-0139-z" TargetMode="External"/><Relationship Id="rId143" Type="http://schemas.openxmlformats.org/officeDocument/2006/relationships/hyperlink" Target="https://doi.org/10.1016/j.jclepro.2015.02.003" TargetMode="External"/><Relationship Id="rId185" Type="http://schemas.openxmlformats.org/officeDocument/2006/relationships/hyperlink" Target="https://doi.org/10.1016/j.jclepro.2012.08.010" TargetMode="External"/><Relationship Id="rId350" Type="http://schemas.openxmlformats.org/officeDocument/2006/relationships/hyperlink" Target="https://doi.org/10.1021/es0709829" TargetMode="External"/><Relationship Id="rId9" Type="http://schemas.openxmlformats.org/officeDocument/2006/relationships/hyperlink" Target="https://doi.org/10.1016/j.resconrec.2022.106634" TargetMode="External"/><Relationship Id="rId210" Type="http://schemas.openxmlformats.org/officeDocument/2006/relationships/hyperlink" Target="https://doi.org/10.1016/j.rser.2007.11.012" TargetMode="External"/><Relationship Id="rId252" Type="http://schemas.openxmlformats.org/officeDocument/2006/relationships/hyperlink" Target="https://doi.org/10.1016/j.ecolind.2019.105600" TargetMode="External"/><Relationship Id="rId294" Type="http://schemas.openxmlformats.org/officeDocument/2006/relationships/hyperlink" Target="https://doi.org/10.1007/s11783-013-0599-8" TargetMode="External"/><Relationship Id="rId308" Type="http://schemas.openxmlformats.org/officeDocument/2006/relationships/hyperlink" Target="https://doi.org/10.1007/s11367-022-02084-3" TargetMode="External"/><Relationship Id="rId47" Type="http://schemas.openxmlformats.org/officeDocument/2006/relationships/hyperlink" Target="https://doi.org/10.1016/j.jclepro.2006.06.018" TargetMode="External"/><Relationship Id="rId68" Type="http://schemas.openxmlformats.org/officeDocument/2006/relationships/hyperlink" Target="https://doi.org/10.1016/j.jclepro.2020.125075" TargetMode="External"/><Relationship Id="rId89" Type="http://schemas.openxmlformats.org/officeDocument/2006/relationships/hyperlink" Target="https://doi.org/10.1007/s11837-020-04185-6" TargetMode="External"/><Relationship Id="rId112" Type="http://schemas.openxmlformats.org/officeDocument/2006/relationships/hyperlink" Target="https://zenodo.org/doi/10.5281/zenodo.7521124" TargetMode="External"/><Relationship Id="rId133" Type="http://schemas.openxmlformats.org/officeDocument/2006/relationships/hyperlink" Target="https://doi.org/10.1016/j.jclepro.2018.06.156" TargetMode="External"/><Relationship Id="rId154" Type="http://schemas.openxmlformats.org/officeDocument/2006/relationships/hyperlink" Target="https://doi.org/10.1007/s11367-016-1209-3" TargetMode="External"/><Relationship Id="rId175" Type="http://schemas.openxmlformats.org/officeDocument/2006/relationships/hyperlink" Target="https://doi.org/10.1016/j.energy.2022.125148" TargetMode="External"/><Relationship Id="rId340" Type="http://schemas.openxmlformats.org/officeDocument/2006/relationships/hyperlink" Target="https://doi.org/10.1007/s40831-019-00260-8" TargetMode="External"/><Relationship Id="rId361" Type="http://schemas.openxmlformats.org/officeDocument/2006/relationships/hyperlink" Target="https://doi.org/10.1016/j.jhazmat.2011.10.001" TargetMode="External"/><Relationship Id="rId196" Type="http://schemas.openxmlformats.org/officeDocument/2006/relationships/hyperlink" Target="https://doi.org/10.3390/su13073915" TargetMode="External"/><Relationship Id="rId200" Type="http://schemas.openxmlformats.org/officeDocument/2006/relationships/hyperlink" Target="https://doi.org/10.1016/j.rser.2007.11.012" TargetMode="External"/><Relationship Id="rId382" Type="http://schemas.openxmlformats.org/officeDocument/2006/relationships/hyperlink" Target="https://doi.org/10.1016/j.resconrec.2023.106875" TargetMode="External"/><Relationship Id="rId16" Type="http://schemas.openxmlformats.org/officeDocument/2006/relationships/hyperlink" Target="https://doi.org/10.4028/www.scientific.net/MSF.913.1004" TargetMode="External"/><Relationship Id="rId221" Type="http://schemas.openxmlformats.org/officeDocument/2006/relationships/hyperlink" Target="https://doi.org/10.1016/j.jclepro.2009.09.020" TargetMode="External"/><Relationship Id="rId242" Type="http://schemas.openxmlformats.org/officeDocument/2006/relationships/hyperlink" Target="https://doi.org/10.1016/j.ecolind.2020.107319" TargetMode="External"/><Relationship Id="rId263" Type="http://schemas.openxmlformats.org/officeDocument/2006/relationships/hyperlink" Target="https://doi.org/10.1016/j.jclepro.2022.133458" TargetMode="External"/><Relationship Id="rId284" Type="http://schemas.openxmlformats.org/officeDocument/2006/relationships/hyperlink" Target="https://www.ausimm.com/globalassets/pdf-files/publications/5-00_minprex/5-00_norgate.pdf" TargetMode="External"/><Relationship Id="rId319" Type="http://schemas.openxmlformats.org/officeDocument/2006/relationships/hyperlink" Target="https://doi.org/10.1021/acssuschemeng.2c01969" TargetMode="External"/><Relationship Id="rId37" Type="http://schemas.openxmlformats.org/officeDocument/2006/relationships/hyperlink" Target="https://doi.org/10.1016/j.jclepro.2015.03.076" TargetMode="External"/><Relationship Id="rId58" Type="http://schemas.openxmlformats.org/officeDocument/2006/relationships/hyperlink" Target="https://doi.org/10.1016/j.susmat.2023.e00607" TargetMode="External"/><Relationship Id="rId79" Type="http://schemas.openxmlformats.org/officeDocument/2006/relationships/hyperlink" Target="https://doi.org/10.1016/j.jclepro.2014.05.039" TargetMode="External"/><Relationship Id="rId102" Type="http://schemas.openxmlformats.org/officeDocument/2006/relationships/hyperlink" Target="https://doi.org/10.1007/s40831-018-0198-9" TargetMode="External"/><Relationship Id="rId123" Type="http://schemas.openxmlformats.org/officeDocument/2006/relationships/hyperlink" Target="https://doi.org/10.1016/j.jclepro.2009.08.013" TargetMode="External"/><Relationship Id="rId144" Type="http://schemas.openxmlformats.org/officeDocument/2006/relationships/hyperlink" Target="https://doi.org/10.1007/s11367-016-1131-8" TargetMode="External"/><Relationship Id="rId330" Type="http://schemas.openxmlformats.org/officeDocument/2006/relationships/hyperlink" Target="https://www.netl.doe.gov/LCA" TargetMode="External"/><Relationship Id="rId90" Type="http://schemas.openxmlformats.org/officeDocument/2006/relationships/hyperlink" Target="https://doi.org/10.3390/resources3040614" TargetMode="External"/><Relationship Id="rId165" Type="http://schemas.openxmlformats.org/officeDocument/2006/relationships/hyperlink" Target="https://doi.org/10.1016/j.resconrec.2013.02.007" TargetMode="External"/><Relationship Id="rId186" Type="http://schemas.openxmlformats.org/officeDocument/2006/relationships/hyperlink" Target="https://doi.org/10.1016/j.jhazmat.2011.05.040" TargetMode="External"/><Relationship Id="rId351" Type="http://schemas.openxmlformats.org/officeDocument/2006/relationships/hyperlink" Target="https://doi.org/10.1021/es0709829" TargetMode="External"/><Relationship Id="rId372" Type="http://schemas.openxmlformats.org/officeDocument/2006/relationships/hyperlink" Target="https://doi.org/10.1016/j.wasman.2022.04.006" TargetMode="External"/><Relationship Id="rId211" Type="http://schemas.openxmlformats.org/officeDocument/2006/relationships/hyperlink" Target="https://doi.org/10.1016/j.solmat.2004.03.005" TargetMode="External"/><Relationship Id="rId232" Type="http://schemas.openxmlformats.org/officeDocument/2006/relationships/hyperlink" Target="https://doi.org/10.1016/j.jclepro.2014.03.062" TargetMode="External"/><Relationship Id="rId253" Type="http://schemas.openxmlformats.org/officeDocument/2006/relationships/hyperlink" Target="http://dx.doi.org/10.18687/LACCEI2020.1.1.577" TargetMode="External"/><Relationship Id="rId274" Type="http://schemas.openxmlformats.org/officeDocument/2006/relationships/hyperlink" Target="https://doi.org/10.1007/s11356-022-21317-4" TargetMode="External"/><Relationship Id="rId295" Type="http://schemas.openxmlformats.org/officeDocument/2006/relationships/hyperlink" Target="https://doi.org/10.1016/j.jclepro.2012.04.025" TargetMode="External"/><Relationship Id="rId309" Type="http://schemas.openxmlformats.org/officeDocument/2006/relationships/hyperlink" Target="https://hdl.handle.net/11250/3023809" TargetMode="External"/><Relationship Id="rId27" Type="http://schemas.openxmlformats.org/officeDocument/2006/relationships/hyperlink" Target="https://doi.org/10.1016/j.energy.2013.03.089" TargetMode="External"/><Relationship Id="rId48" Type="http://schemas.openxmlformats.org/officeDocument/2006/relationships/hyperlink" Target="https://doi.org/10.1016/j.jenvman.2022.115567" TargetMode="External"/><Relationship Id="rId69" Type="http://schemas.openxmlformats.org/officeDocument/2006/relationships/hyperlink" Target="https://doi.org/10.1016/j.jclepro.2019.06.180" TargetMode="External"/><Relationship Id="rId113" Type="http://schemas.openxmlformats.org/officeDocument/2006/relationships/hyperlink" Target="https://doi.org/10.1016/j.scitotenv.2021.148257" TargetMode="External"/><Relationship Id="rId134" Type="http://schemas.openxmlformats.org/officeDocument/2006/relationships/hyperlink" Target="https://doi.org/10.1007/s11367-019-01619-5" TargetMode="External"/><Relationship Id="rId320" Type="http://schemas.openxmlformats.org/officeDocument/2006/relationships/hyperlink" Target="https://doi.org/10.1016/j.jenvman.2022.114949" TargetMode="External"/><Relationship Id="rId80" Type="http://schemas.openxmlformats.org/officeDocument/2006/relationships/hyperlink" Target="https://doi.org/10.1371/journal.pone.0101298" TargetMode="External"/><Relationship Id="rId155" Type="http://schemas.openxmlformats.org/officeDocument/2006/relationships/hyperlink" Target="https://doi.org/10.3390/en10121969" TargetMode="External"/><Relationship Id="rId176" Type="http://schemas.openxmlformats.org/officeDocument/2006/relationships/hyperlink" Target="https://doi.org/10.1371/journal.pone.0101298" TargetMode="External"/><Relationship Id="rId197" Type="http://schemas.openxmlformats.org/officeDocument/2006/relationships/hyperlink" Target="https://doi.org/10.1007/s11837-014-1267-6" TargetMode="External"/><Relationship Id="rId341" Type="http://schemas.openxmlformats.org/officeDocument/2006/relationships/hyperlink" Target="https://doi.org/10.2172/1224976" TargetMode="External"/><Relationship Id="rId362" Type="http://schemas.openxmlformats.org/officeDocument/2006/relationships/hyperlink" Target="https://doi.org/10.1016/j.jclepro.2020.125256" TargetMode="External"/><Relationship Id="rId383" Type="http://schemas.openxmlformats.org/officeDocument/2006/relationships/hyperlink" Target="https://doi.org/10.1016/j.energy.2022.125148" TargetMode="External"/><Relationship Id="rId201" Type="http://schemas.openxmlformats.org/officeDocument/2006/relationships/hyperlink" Target="https://doi.org/10.1016/j.jclepro.2015.12.080" TargetMode="External"/><Relationship Id="rId222" Type="http://schemas.openxmlformats.org/officeDocument/2006/relationships/hyperlink" Target="https://doi.org/10.1016/j.jclepro.2016.04.137" TargetMode="External"/><Relationship Id="rId243" Type="http://schemas.openxmlformats.org/officeDocument/2006/relationships/hyperlink" Target="https://doi.org/10.1007/s11367-017-1425-5" TargetMode="External"/><Relationship Id="rId264" Type="http://schemas.openxmlformats.org/officeDocument/2006/relationships/hyperlink" Target="https://doi.org/10.1002/ieam.4857" TargetMode="External"/><Relationship Id="rId285" Type="http://schemas.openxmlformats.org/officeDocument/2006/relationships/hyperlink" Target="https://doi.org/10.1007/s11367-017-1405-9" TargetMode="External"/><Relationship Id="rId17" Type="http://schemas.openxmlformats.org/officeDocument/2006/relationships/hyperlink" Target="https://doi.org/10.1007/s11367-019-01600-2" TargetMode="External"/><Relationship Id="rId38" Type="http://schemas.openxmlformats.org/officeDocument/2006/relationships/hyperlink" Target="https://doi.org/10.1111/jiec.13328" TargetMode="External"/><Relationship Id="rId59" Type="http://schemas.openxmlformats.org/officeDocument/2006/relationships/hyperlink" Target="https://doi.org/10.1016/j.rcradv.2022.200108" TargetMode="External"/><Relationship Id="rId103" Type="http://schemas.openxmlformats.org/officeDocument/2006/relationships/hyperlink" Target="https://doi.org/10.1021/es404596q" TargetMode="External"/><Relationship Id="rId124" Type="http://schemas.openxmlformats.org/officeDocument/2006/relationships/hyperlink" Target="https://doi.org/10.1016/j.energy.2006.10.020" TargetMode="External"/><Relationship Id="rId310" Type="http://schemas.openxmlformats.org/officeDocument/2006/relationships/hyperlink" Target="https://doi.org/10.1016/j.susmat.2022.e00415" TargetMode="External"/><Relationship Id="rId70" Type="http://schemas.openxmlformats.org/officeDocument/2006/relationships/hyperlink" Target="https://doi.org/10.1016/j.jenvman.2018.07.027" TargetMode="External"/><Relationship Id="rId91" Type="http://schemas.openxmlformats.org/officeDocument/2006/relationships/hyperlink" Target="https://doi.org/10.33271/mining14.02.001" TargetMode="External"/><Relationship Id="rId145" Type="http://schemas.openxmlformats.org/officeDocument/2006/relationships/hyperlink" Target="https://doi.org/10.1016/j.jclepro.2017.04.084" TargetMode="External"/><Relationship Id="rId166" Type="http://schemas.openxmlformats.org/officeDocument/2006/relationships/hyperlink" Target="https://doi.org/10.1016/j.ijhydene.2024.06.231" TargetMode="External"/><Relationship Id="rId187" Type="http://schemas.openxmlformats.org/officeDocument/2006/relationships/hyperlink" Target="https://doi.org/10.1016/j.jclepro.2005.05.026" TargetMode="External"/><Relationship Id="rId331" Type="http://schemas.openxmlformats.org/officeDocument/2006/relationships/hyperlink" Target="https://doi.org/10.1016/S0360-3199(00)00053-7" TargetMode="External"/><Relationship Id="rId352" Type="http://schemas.openxmlformats.org/officeDocument/2006/relationships/hyperlink" Target="https://doi.org/10.1016/j.resconrec.2023.106875" TargetMode="External"/><Relationship Id="rId373" Type="http://schemas.openxmlformats.org/officeDocument/2006/relationships/hyperlink" Target="https://doi.org/10.1016/j.jclepro.2020.125256" TargetMode="External"/><Relationship Id="rId1" Type="http://schemas.openxmlformats.org/officeDocument/2006/relationships/hyperlink" Target="https://doi.org/10.1016/j.resconrec.2022.106611" TargetMode="External"/><Relationship Id="rId212" Type="http://schemas.openxmlformats.org/officeDocument/2006/relationships/hyperlink" Target="https://doi.org/10.1371/journal.pone.0101298" TargetMode="External"/><Relationship Id="rId233" Type="http://schemas.openxmlformats.org/officeDocument/2006/relationships/hyperlink" Target="https://doi.org/10.1016/j.jclepro.2019.118004" TargetMode="External"/><Relationship Id="rId254" Type="http://schemas.openxmlformats.org/officeDocument/2006/relationships/hyperlink" Target="http://dx.doi.org/10.18687/LACCEI2020.1.1.577" TargetMode="External"/><Relationship Id="rId28" Type="http://schemas.openxmlformats.org/officeDocument/2006/relationships/hyperlink" Target="https://doi.org/10.1111/jiec.13234" TargetMode="External"/><Relationship Id="rId49" Type="http://schemas.openxmlformats.org/officeDocument/2006/relationships/hyperlink" Target="https://doi.org/10.1016/j.jclepro.2012.08.010" TargetMode="External"/><Relationship Id="rId114" Type="http://schemas.openxmlformats.org/officeDocument/2006/relationships/hyperlink" Target="https://doi.org/10.1007/978-3-319-48768-7_12" TargetMode="External"/><Relationship Id="rId275" Type="http://schemas.openxmlformats.org/officeDocument/2006/relationships/hyperlink" Target="https://doi.org/10.1016/j.wasman.2022.04.006" TargetMode="External"/><Relationship Id="rId296" Type="http://schemas.openxmlformats.org/officeDocument/2006/relationships/hyperlink" Target="https://doi.org/10.1016/j.jclepro.2013.09.033" TargetMode="External"/><Relationship Id="rId300" Type="http://schemas.openxmlformats.org/officeDocument/2006/relationships/hyperlink" Target="https://doi.org/10.1021/es103607c" TargetMode="External"/><Relationship Id="rId60" Type="http://schemas.openxmlformats.org/officeDocument/2006/relationships/hyperlink" Target="https://doi.org/10.1007/s10098-016-1306-9" TargetMode="External"/><Relationship Id="rId81" Type="http://schemas.openxmlformats.org/officeDocument/2006/relationships/hyperlink" Target="https://doi.org/10.1016/j.jenvman.2017.07.076" TargetMode="External"/><Relationship Id="rId135" Type="http://schemas.openxmlformats.org/officeDocument/2006/relationships/hyperlink" Target="https://doi.org/10.1007/s12633-020-00670-4" TargetMode="External"/><Relationship Id="rId156" Type="http://schemas.openxmlformats.org/officeDocument/2006/relationships/hyperlink" Target="https://doi.org/10.1007/s11367-018-01578-3" TargetMode="External"/><Relationship Id="rId177" Type="http://schemas.openxmlformats.org/officeDocument/2006/relationships/hyperlink" Target="https://doi.org/10.3390/su14031787" TargetMode="External"/><Relationship Id="rId198" Type="http://schemas.openxmlformats.org/officeDocument/2006/relationships/hyperlink" Target="https://doi.org/10.1007/s11367-017-1345-4" TargetMode="External"/><Relationship Id="rId321" Type="http://schemas.openxmlformats.org/officeDocument/2006/relationships/hyperlink" Target="https://doi.org/10.1016/j.ijggc.2020.103104" TargetMode="External"/><Relationship Id="rId342" Type="http://schemas.openxmlformats.org/officeDocument/2006/relationships/hyperlink" Target="https://doi.org/10.1007/s11051-022-05563-8" TargetMode="External"/><Relationship Id="rId363" Type="http://schemas.openxmlformats.org/officeDocument/2006/relationships/hyperlink" Target="https://doi.org/10.1007/s11367-017-1405-9" TargetMode="External"/><Relationship Id="rId384" Type="http://schemas.openxmlformats.org/officeDocument/2006/relationships/hyperlink" Target="https://doi.org/10.1016/j.wasman.2022.04.006" TargetMode="External"/><Relationship Id="rId202" Type="http://schemas.openxmlformats.org/officeDocument/2006/relationships/hyperlink" Target="https://doi.org/10.1016/j.resenv.2022.100047" TargetMode="External"/><Relationship Id="rId223" Type="http://schemas.openxmlformats.org/officeDocument/2006/relationships/hyperlink" Target="https://doi.org/10.1016/j.scitotenv.2019.01.400" TargetMode="External"/><Relationship Id="rId244" Type="http://schemas.openxmlformats.org/officeDocument/2006/relationships/hyperlink" Target="https://doi.org/10.1016/j.resconrec.2019.104630" TargetMode="External"/><Relationship Id="rId18" Type="http://schemas.openxmlformats.org/officeDocument/2006/relationships/hyperlink" Target="https://doi.org/10.1016/j.jclepro.2016.11.111" TargetMode="External"/><Relationship Id="rId39" Type="http://schemas.openxmlformats.org/officeDocument/2006/relationships/hyperlink" Target="https://doi.org/10.1016/j.jenvman.2023.118442" TargetMode="External"/><Relationship Id="rId265" Type="http://schemas.openxmlformats.org/officeDocument/2006/relationships/hyperlink" Target="https://doi.org/10.1016/j.resconrec.2023.106875" TargetMode="External"/><Relationship Id="rId286" Type="http://schemas.openxmlformats.org/officeDocument/2006/relationships/hyperlink" Target="https://doi.org/10.1016/j.jclepro.2009.09.020" TargetMode="External"/><Relationship Id="rId50" Type="http://schemas.openxmlformats.org/officeDocument/2006/relationships/hyperlink" Target="https://doi.org/10.1016/j.jclepro.2021.128030" TargetMode="External"/><Relationship Id="rId104" Type="http://schemas.openxmlformats.org/officeDocument/2006/relationships/hyperlink" Target="https://doi.org/10.1016/j.jenvman.2017.07.076" TargetMode="External"/><Relationship Id="rId125" Type="http://schemas.openxmlformats.org/officeDocument/2006/relationships/hyperlink" Target="https://doi.org/10.1016/j.jclepro.2014.12.043" TargetMode="External"/><Relationship Id="rId146" Type="http://schemas.openxmlformats.org/officeDocument/2006/relationships/hyperlink" Target="https://doi.org/10.1007/s11367-022-02100-6" TargetMode="External"/><Relationship Id="rId167" Type="http://schemas.openxmlformats.org/officeDocument/2006/relationships/hyperlink" Target="https://doi.org/10.1016/S0959-6526(00)00082-2" TargetMode="External"/><Relationship Id="rId188" Type="http://schemas.openxmlformats.org/officeDocument/2006/relationships/hyperlink" Target="https://doi.org/10.1039/D3EW00344B" TargetMode="External"/><Relationship Id="rId311" Type="http://schemas.openxmlformats.org/officeDocument/2006/relationships/hyperlink" Target="https://doi.org/10.1016/j.mineng.2023.108444" TargetMode="External"/><Relationship Id="rId332" Type="http://schemas.openxmlformats.org/officeDocument/2006/relationships/hyperlink" Target="https://doi.org/10.1016/j.est.2024.112356" TargetMode="External"/><Relationship Id="rId353" Type="http://schemas.openxmlformats.org/officeDocument/2006/relationships/hyperlink" Target="https://doi.org/10.1016/j.jhazmat.2011.10.001" TargetMode="External"/><Relationship Id="rId374" Type="http://schemas.openxmlformats.org/officeDocument/2006/relationships/hyperlink" Target="https://doi.org/10.1016/j.jclepro.2022.135218" TargetMode="External"/><Relationship Id="rId71" Type="http://schemas.openxmlformats.org/officeDocument/2006/relationships/hyperlink" Target="https://doi.org/10.1061/(ASCE)HZ.2153-5515.0000385" TargetMode="External"/><Relationship Id="rId92" Type="http://schemas.openxmlformats.org/officeDocument/2006/relationships/hyperlink" Target="https://doi.org/10.1155/2014/907536" TargetMode="External"/><Relationship Id="rId213" Type="http://schemas.openxmlformats.org/officeDocument/2006/relationships/hyperlink" Target="https://doi.org/10.1016/j.solener.2014.02.008" TargetMode="External"/><Relationship Id="rId234" Type="http://schemas.openxmlformats.org/officeDocument/2006/relationships/hyperlink" Target="https://doi.org/10.1016/j.jclepro.2012.05.030" TargetMode="External"/><Relationship Id="rId2" Type="http://schemas.openxmlformats.org/officeDocument/2006/relationships/hyperlink" Target="https://doi.org/10.1016/j.resconrec.2021.105762" TargetMode="External"/><Relationship Id="rId29" Type="http://schemas.openxmlformats.org/officeDocument/2006/relationships/hyperlink" Target="https://doi.org/10.1016/j.jclepro.2022.130474" TargetMode="External"/><Relationship Id="rId255" Type="http://schemas.openxmlformats.org/officeDocument/2006/relationships/hyperlink" Target="https://doi.org/10.1016/j.jclepro.2024.142108" TargetMode="External"/><Relationship Id="rId276" Type="http://schemas.openxmlformats.org/officeDocument/2006/relationships/hyperlink" Target="https://doi.org/10.1016/j.jclepro.2020.125256" TargetMode="External"/><Relationship Id="rId297" Type="http://schemas.openxmlformats.org/officeDocument/2006/relationships/hyperlink" Target="https://doi.org/10.1016/j.rser.2007.11.012" TargetMode="External"/><Relationship Id="rId40" Type="http://schemas.openxmlformats.org/officeDocument/2006/relationships/hyperlink" Target="https://doi.org/10.1021/acssuschemeng.9b02066" TargetMode="External"/><Relationship Id="rId115" Type="http://schemas.openxmlformats.org/officeDocument/2006/relationships/hyperlink" Target="https://doi.org/10.1007/s11837-013-0719-8" TargetMode="External"/><Relationship Id="rId136" Type="http://schemas.openxmlformats.org/officeDocument/2006/relationships/hyperlink" Target="https://doi.org/10.1016/j.jclepro.2014.07.057" TargetMode="External"/><Relationship Id="rId157" Type="http://schemas.openxmlformats.org/officeDocument/2006/relationships/hyperlink" Target="https://doi.org/10.1016/j.scitotenv.2018.12.318" TargetMode="External"/><Relationship Id="rId178" Type="http://schemas.openxmlformats.org/officeDocument/2006/relationships/hyperlink" Target="https://doi.org/10.1007/s10098-021-02092-1" TargetMode="External"/><Relationship Id="rId301" Type="http://schemas.openxmlformats.org/officeDocument/2006/relationships/hyperlink" Target="https://greet.anl.gov/files/update_cobalt" TargetMode="External"/><Relationship Id="rId322" Type="http://schemas.openxmlformats.org/officeDocument/2006/relationships/hyperlink" Target="https://doi.org/10.1016/j.eiar.2023.107412" TargetMode="External"/><Relationship Id="rId343" Type="http://schemas.openxmlformats.org/officeDocument/2006/relationships/hyperlink" Target="https://doi.org/10.1016/j.ecolind.2019.105600" TargetMode="External"/><Relationship Id="rId364" Type="http://schemas.openxmlformats.org/officeDocument/2006/relationships/hyperlink" Target="https://doi.org/10.1007/s11367-021-02018-5" TargetMode="External"/><Relationship Id="rId61" Type="http://schemas.openxmlformats.org/officeDocument/2006/relationships/hyperlink" Target="https://doi.org/10.1016/j.jclepro.2016.07.014" TargetMode="External"/><Relationship Id="rId82" Type="http://schemas.openxmlformats.org/officeDocument/2006/relationships/hyperlink" Target="https://doi.org/10.1016/j.resconrec.2011.05.016" TargetMode="External"/><Relationship Id="rId199" Type="http://schemas.openxmlformats.org/officeDocument/2006/relationships/hyperlink" Target="https://doi.org/10.1002/pssc.201600114" TargetMode="External"/><Relationship Id="rId203" Type="http://schemas.openxmlformats.org/officeDocument/2006/relationships/hyperlink" Target="https://doi.org/10.1557/adv.2019.218" TargetMode="External"/><Relationship Id="rId385" Type="http://schemas.openxmlformats.org/officeDocument/2006/relationships/hyperlink" Target="https://doi.org/10.1016/j.jhazmat.2011.10.001" TargetMode="External"/><Relationship Id="rId19" Type="http://schemas.openxmlformats.org/officeDocument/2006/relationships/hyperlink" Target="https://doi.org/10.1007/s11367-016-1085-x" TargetMode="External"/><Relationship Id="rId224" Type="http://schemas.openxmlformats.org/officeDocument/2006/relationships/hyperlink" Target="https://doi.org/10.1111/jiec.13146" TargetMode="External"/><Relationship Id="rId245" Type="http://schemas.openxmlformats.org/officeDocument/2006/relationships/hyperlink" Target="https://doi.org/10.1016/j.mineng.2014.07.006" TargetMode="External"/><Relationship Id="rId266" Type="http://schemas.openxmlformats.org/officeDocument/2006/relationships/hyperlink" Target="https://doi.org/10.1111/jiec.12369" TargetMode="External"/><Relationship Id="rId287" Type="http://schemas.openxmlformats.org/officeDocument/2006/relationships/hyperlink" Target="https://doi.org/10.1016/j.resconrec.2019.03.020" TargetMode="External"/><Relationship Id="rId30" Type="http://schemas.openxmlformats.org/officeDocument/2006/relationships/hyperlink" Target="https://doi.org/10.2172/1891640" TargetMode="External"/><Relationship Id="rId105" Type="http://schemas.openxmlformats.org/officeDocument/2006/relationships/hyperlink" Target="https://doi.org/10.1016/j.resconrec.2018.08.010" TargetMode="External"/><Relationship Id="rId126" Type="http://schemas.openxmlformats.org/officeDocument/2006/relationships/hyperlink" Target="https://doi.org/10.1016/j.jclepro.2006.06.018" TargetMode="External"/><Relationship Id="rId147" Type="http://schemas.openxmlformats.org/officeDocument/2006/relationships/hyperlink" Target="https://doi.org/10.1016/j.jenvman.2022.115567" TargetMode="External"/><Relationship Id="rId168" Type="http://schemas.openxmlformats.org/officeDocument/2006/relationships/hyperlink" Target="https://doi.org/10.2320/matertrans.MRA2006340" TargetMode="External"/><Relationship Id="rId312" Type="http://schemas.openxmlformats.org/officeDocument/2006/relationships/hyperlink" Target="https://metals.co/wp-content/uploads/2023/03/TMC_NORI-D_LCA_Final_Report_March2023.pdf" TargetMode="External"/><Relationship Id="rId333" Type="http://schemas.openxmlformats.org/officeDocument/2006/relationships/hyperlink" Target="https://doi.org/10.3390/ijerph19137790" TargetMode="External"/><Relationship Id="rId354" Type="http://schemas.openxmlformats.org/officeDocument/2006/relationships/hyperlink" Target="https://doi.org/10.1016/j.jclepro.2020.125256" TargetMode="External"/><Relationship Id="rId51" Type="http://schemas.openxmlformats.org/officeDocument/2006/relationships/hyperlink" Target="https://doi.org/10.1016/j.jclepro.2020.122239" TargetMode="External"/><Relationship Id="rId72" Type="http://schemas.openxmlformats.org/officeDocument/2006/relationships/hyperlink" Target="https://doi.org/10.1016/j.jclepro.2022.131327" TargetMode="External"/><Relationship Id="rId93" Type="http://schemas.openxmlformats.org/officeDocument/2006/relationships/hyperlink" Target="https://doi.org/10.1111/jiec.13090" TargetMode="External"/><Relationship Id="rId189" Type="http://schemas.openxmlformats.org/officeDocument/2006/relationships/hyperlink" Target="https://www.netl.doe.gov/LCA" TargetMode="External"/><Relationship Id="rId375" Type="http://schemas.openxmlformats.org/officeDocument/2006/relationships/hyperlink" Target="https://doi.org/10.1007/s11367-021-02018-5" TargetMode="External"/><Relationship Id="rId3" Type="http://schemas.openxmlformats.org/officeDocument/2006/relationships/hyperlink" Target="https://doi.org/10.1016/j.jenvman.2020.110253" TargetMode="External"/><Relationship Id="rId214" Type="http://schemas.openxmlformats.org/officeDocument/2006/relationships/hyperlink" Target="https://doi.org/10.1016/j.resconrec.2023.107097" TargetMode="External"/><Relationship Id="rId235" Type="http://schemas.openxmlformats.org/officeDocument/2006/relationships/hyperlink" Target="https://doi.org/10.1016/j.procir.2016.01.104" TargetMode="External"/><Relationship Id="rId256" Type="http://schemas.openxmlformats.org/officeDocument/2006/relationships/hyperlink" Target="https://doi.org/10.1016/j.resconrec.2024.107583" TargetMode="External"/><Relationship Id="rId277" Type="http://schemas.openxmlformats.org/officeDocument/2006/relationships/hyperlink" Target="https://doi.org/10.1016/j.jclepro.2006.06.018" TargetMode="External"/><Relationship Id="rId298" Type="http://schemas.openxmlformats.org/officeDocument/2006/relationships/hyperlink" Target="https://www.iied.org/sites/default/files/pdfs/migrate/G00740.pdf" TargetMode="External"/><Relationship Id="rId116" Type="http://schemas.openxmlformats.org/officeDocument/2006/relationships/hyperlink" Target="http://dx.doi.org/10.13140/RG.2.2.32386.50883" TargetMode="External"/><Relationship Id="rId137" Type="http://schemas.openxmlformats.org/officeDocument/2006/relationships/hyperlink" Target="https://doi.org/10.1016/j.resconrec.2022.106171" TargetMode="External"/><Relationship Id="rId158" Type="http://schemas.openxmlformats.org/officeDocument/2006/relationships/hyperlink" Target="https://doi.org/10.1016/S0921-3449(02)00070-8" TargetMode="External"/><Relationship Id="rId302" Type="http://schemas.openxmlformats.org/officeDocument/2006/relationships/hyperlink" Target="https://odr.chalmers.se/handle/20.500.12380/300644" TargetMode="External"/><Relationship Id="rId323" Type="http://schemas.openxmlformats.org/officeDocument/2006/relationships/hyperlink" Target="https://doi.org/10.1021/es0709829" TargetMode="External"/><Relationship Id="rId344" Type="http://schemas.openxmlformats.org/officeDocument/2006/relationships/hyperlink" Target="https://doi.org/10.1016/j.jclepro.2015.03.076" TargetMode="External"/><Relationship Id="rId20" Type="http://schemas.openxmlformats.org/officeDocument/2006/relationships/hyperlink" Target="https://doi.org/10.1016/j.resconrec.2015.10.016" TargetMode="External"/><Relationship Id="rId41" Type="http://schemas.openxmlformats.org/officeDocument/2006/relationships/hyperlink" Target="https://doi.org/10.1016/j.seta.2021.101286" TargetMode="External"/><Relationship Id="rId62" Type="http://schemas.openxmlformats.org/officeDocument/2006/relationships/hyperlink" Target="https://doi.org/10.1088/1742-6596/1699/1/012005" TargetMode="External"/><Relationship Id="rId83" Type="http://schemas.openxmlformats.org/officeDocument/2006/relationships/hyperlink" Target="http://hdl.handle.net/11250/233345" TargetMode="External"/><Relationship Id="rId179" Type="http://schemas.openxmlformats.org/officeDocument/2006/relationships/hyperlink" Target="https://doi.org/10.1016/j.jclepro.2013.10.020" TargetMode="External"/><Relationship Id="rId365" Type="http://schemas.openxmlformats.org/officeDocument/2006/relationships/hyperlink" Target="https://doi.org/10.1016/j.jhazmat.2011.10.001" TargetMode="External"/><Relationship Id="rId386" Type="http://schemas.openxmlformats.org/officeDocument/2006/relationships/hyperlink" Target="https://doi.org/10.1016/j.jhazmat.2011.10.001" TargetMode="External"/><Relationship Id="rId190" Type="http://schemas.openxmlformats.org/officeDocument/2006/relationships/hyperlink" Target="https://doi.org/10.1016/j.jclepro.2017.02.184" TargetMode="External"/><Relationship Id="rId204" Type="http://schemas.openxmlformats.org/officeDocument/2006/relationships/hyperlink" Target="https://doi.org/10.1007/s11367-022-02100-6" TargetMode="External"/><Relationship Id="rId225" Type="http://schemas.openxmlformats.org/officeDocument/2006/relationships/hyperlink" Target="https://doi.org/10.1007/s11367-023-02257-8" TargetMode="External"/><Relationship Id="rId246" Type="http://schemas.openxmlformats.org/officeDocument/2006/relationships/hyperlink" Target="https://doi.org/10.1016/j.jclepro.2018.01.114" TargetMode="External"/><Relationship Id="rId267" Type="http://schemas.openxmlformats.org/officeDocument/2006/relationships/hyperlink" Target="https://www.academia.edu/11956998/The_Real_Cost_of_the_Global_Warming_Mania_Hydrometallurgy_Versus_Pyrometallurgy" TargetMode="External"/><Relationship Id="rId288" Type="http://schemas.openxmlformats.org/officeDocument/2006/relationships/hyperlink" Target="https://doi.org/10.1016/j.mineng.2014.07.006" TargetMode="External"/><Relationship Id="rId106" Type="http://schemas.openxmlformats.org/officeDocument/2006/relationships/hyperlink" Target="https://doi.org/10.1016/j.resconrec.2016.05.006" TargetMode="External"/><Relationship Id="rId127" Type="http://schemas.openxmlformats.org/officeDocument/2006/relationships/hyperlink" Target="https://doi.org/10.1016/j.jclepro.2017.09.240" TargetMode="External"/><Relationship Id="rId313" Type="http://schemas.openxmlformats.org/officeDocument/2006/relationships/hyperlink" Target="https://doi.org/10.3390/su16051910" TargetMode="External"/><Relationship Id="rId10" Type="http://schemas.openxmlformats.org/officeDocument/2006/relationships/hyperlink" Target="https://doi.org/10.1016/j.jclepro.2022.133588" TargetMode="External"/><Relationship Id="rId31" Type="http://schemas.openxmlformats.org/officeDocument/2006/relationships/hyperlink" Target="https://doi.org/10.3390/batteries7030057" TargetMode="External"/><Relationship Id="rId52" Type="http://schemas.openxmlformats.org/officeDocument/2006/relationships/hyperlink" Target="https://doi.org/10.1016/j.jclepro.2015.09.139" TargetMode="External"/><Relationship Id="rId73" Type="http://schemas.openxmlformats.org/officeDocument/2006/relationships/hyperlink" Target="https://eubrdialogues.com/documentos/proyectos/adjuntos/a02be5_Final%20Tecnical%20Report_WEB_ENG.pdf" TargetMode="External"/><Relationship Id="rId94" Type="http://schemas.openxmlformats.org/officeDocument/2006/relationships/hyperlink" Target="https://doi.org/10.1111/jiec.12491" TargetMode="External"/><Relationship Id="rId148" Type="http://schemas.openxmlformats.org/officeDocument/2006/relationships/hyperlink" Target="https://doi.org/10.1016/j.jclepro.2006.06.018" TargetMode="External"/><Relationship Id="rId169" Type="http://schemas.openxmlformats.org/officeDocument/2006/relationships/hyperlink" Target="https://doi.org/10.1016/j.ijhydene.2023.04.292" TargetMode="External"/><Relationship Id="rId334" Type="http://schemas.openxmlformats.org/officeDocument/2006/relationships/hyperlink" Target="https://doi.org/10.1016/j.jclepro.2012.01.042" TargetMode="External"/><Relationship Id="rId355" Type="http://schemas.openxmlformats.org/officeDocument/2006/relationships/hyperlink" Target="https://doi.org/10.1016/j.rser.2007.11.012" TargetMode="External"/><Relationship Id="rId376" Type="http://schemas.openxmlformats.org/officeDocument/2006/relationships/hyperlink" Target="https://doi.org/10.1111/jiec.12369" TargetMode="External"/><Relationship Id="rId4" Type="http://schemas.openxmlformats.org/officeDocument/2006/relationships/hyperlink" Target="https://doi.org/10.1021/es1029156" TargetMode="External"/><Relationship Id="rId180" Type="http://schemas.openxmlformats.org/officeDocument/2006/relationships/hyperlink" Target="https://doi.org/10.1016/j.ijhydene.2020.11.182" TargetMode="External"/><Relationship Id="rId215" Type="http://schemas.openxmlformats.org/officeDocument/2006/relationships/hyperlink" Target="https://doi.org/10.1016/j.rser.2003.12.001" TargetMode="External"/><Relationship Id="rId236" Type="http://schemas.openxmlformats.org/officeDocument/2006/relationships/hyperlink" Target="https://doi.org/10.1016/j.egypro.2019.01.849" TargetMode="External"/><Relationship Id="rId257" Type="http://schemas.openxmlformats.org/officeDocument/2006/relationships/hyperlink" Target="https://www.diva-portal.org/smash/get/diva2:1347729/FULLTEXT03.pdf" TargetMode="External"/><Relationship Id="rId278" Type="http://schemas.openxmlformats.org/officeDocument/2006/relationships/hyperlink" Target="https://www.jstage.jst.go.jp/article/shigentosozai/117/4/117_4_271/_pdf/-char/en" TargetMode="External"/><Relationship Id="rId303" Type="http://schemas.openxmlformats.org/officeDocument/2006/relationships/hyperlink" Target="https://doi.org/10.1016/j.jsm.2019.03.002" TargetMode="External"/><Relationship Id="rId42" Type="http://schemas.openxmlformats.org/officeDocument/2006/relationships/hyperlink" Target="https://doi.org/10.1021/acs.est.8b02073" TargetMode="External"/><Relationship Id="rId84" Type="http://schemas.openxmlformats.org/officeDocument/2006/relationships/hyperlink" Target="https://doi.org/10.1371/journal.pone.0101298" TargetMode="External"/><Relationship Id="rId138" Type="http://schemas.openxmlformats.org/officeDocument/2006/relationships/hyperlink" Target="https://doi.org/10.1016/j.solener.2016.12.038" TargetMode="External"/><Relationship Id="rId345" Type="http://schemas.openxmlformats.org/officeDocument/2006/relationships/hyperlink" Target="https://doi.org/10.1007/s11367-019-01619-5" TargetMode="External"/><Relationship Id="rId387" Type="http://schemas.openxmlformats.org/officeDocument/2006/relationships/printerSettings" Target="../printerSettings/printerSettings1.bin"/><Relationship Id="rId191" Type="http://schemas.openxmlformats.org/officeDocument/2006/relationships/hyperlink" Target="https://doi.org/10.1016/j.jclepro.2018.10.272" TargetMode="External"/><Relationship Id="rId205" Type="http://schemas.openxmlformats.org/officeDocument/2006/relationships/hyperlink" Target="https://doi.org/10.1007/s40831-020-00277-4" TargetMode="External"/><Relationship Id="rId247" Type="http://schemas.openxmlformats.org/officeDocument/2006/relationships/hyperlink" Target="https://doi.org/10.1016/j.jclepro.2012.01.042" TargetMode="External"/><Relationship Id="rId107" Type="http://schemas.openxmlformats.org/officeDocument/2006/relationships/hyperlink" Target="https://doi.org/10.1016/j.jclepro.2020.122464" TargetMode="External"/><Relationship Id="rId289" Type="http://schemas.openxmlformats.org/officeDocument/2006/relationships/hyperlink" Target="https://www.academia.edu/40861013/An%C3%A1lisis_de_ciclo_de_vida_para_la_producci%C3%B3n_chilena_de_cobre_mediante_el_proceso_de_Hidrometalurgia" TargetMode="External"/><Relationship Id="rId11" Type="http://schemas.openxmlformats.org/officeDocument/2006/relationships/hyperlink" Target="https://doi.org/10.1016/j.procir.2022.02.112" TargetMode="External"/><Relationship Id="rId53" Type="http://schemas.openxmlformats.org/officeDocument/2006/relationships/hyperlink" Target="https://doi.org/10.1016/B978-0-12-820226-5.00007-0" TargetMode="External"/><Relationship Id="rId149" Type="http://schemas.openxmlformats.org/officeDocument/2006/relationships/hyperlink" Target="https://doi.org/10.1016/j.jclepro.2019.117833" TargetMode="External"/><Relationship Id="rId314" Type="http://schemas.openxmlformats.org/officeDocument/2006/relationships/hyperlink" Target="https://doi.org/10.1016/j.jclepro.2016.11.111" TargetMode="External"/><Relationship Id="rId356" Type="http://schemas.openxmlformats.org/officeDocument/2006/relationships/hyperlink" Target="https://doi.org/10.1007/s11367-021-02018-5" TargetMode="External"/><Relationship Id="rId95" Type="http://schemas.openxmlformats.org/officeDocument/2006/relationships/hyperlink" Target="https://doi.org/10.1021/acssuschemeng.7b04165" TargetMode="External"/><Relationship Id="rId160" Type="http://schemas.openxmlformats.org/officeDocument/2006/relationships/hyperlink" Target="https://doi.org/10.1016/j.jclepro.2019.119951" TargetMode="External"/><Relationship Id="rId216" Type="http://schemas.openxmlformats.org/officeDocument/2006/relationships/hyperlink" Target="https://doi.org/10.1016/j.cesys.2022.100071" TargetMode="External"/><Relationship Id="rId258" Type="http://schemas.openxmlformats.org/officeDocument/2006/relationships/hyperlink" Target="https://doi.org/10.1016/j.energy.2022.125148" TargetMode="External"/><Relationship Id="rId22" Type="http://schemas.openxmlformats.org/officeDocument/2006/relationships/hyperlink" Target="https://doi.org/10.1016/j.mineng.2010.10.002" TargetMode="External"/><Relationship Id="rId64" Type="http://schemas.openxmlformats.org/officeDocument/2006/relationships/hyperlink" Target="https://doi.org/10.1007/s11367-019-01714-7" TargetMode="External"/><Relationship Id="rId118" Type="http://schemas.openxmlformats.org/officeDocument/2006/relationships/hyperlink" Target="https://doi.org/10.1016/j.resconrec.2008.05.001" TargetMode="External"/><Relationship Id="rId325" Type="http://schemas.openxmlformats.org/officeDocument/2006/relationships/hyperlink" Target="https://doi.org/10.1016/j.jclepro.2019.117833" TargetMode="External"/><Relationship Id="rId367" Type="http://schemas.openxmlformats.org/officeDocument/2006/relationships/hyperlink" Target="https://doi.org/10.1016/j.resconrec.2023.106875" TargetMode="External"/><Relationship Id="rId171" Type="http://schemas.openxmlformats.org/officeDocument/2006/relationships/hyperlink" Target="https://ipa-news.com/assets/sustainability/LCA%20Fact%20Sheets/IPA%20PGM%20Carbon%20Footprint%20Guidance%20Document_October%202023.pdf" TargetMode="External"/><Relationship Id="rId227" Type="http://schemas.openxmlformats.org/officeDocument/2006/relationships/hyperlink" Target="https://doi.org/10.1007/s11367-015-0997-1" TargetMode="External"/><Relationship Id="rId269" Type="http://schemas.openxmlformats.org/officeDocument/2006/relationships/hyperlink" Target="https://doi.org/10.1016/j.jenvman.2023.118178" TargetMode="External"/><Relationship Id="rId33" Type="http://schemas.openxmlformats.org/officeDocument/2006/relationships/hyperlink" Target="https://doi.org/10.4028/www.scientific.net/MSF.913.1011" TargetMode="External"/><Relationship Id="rId129" Type="http://schemas.openxmlformats.org/officeDocument/2006/relationships/hyperlink" Target="https://doi.org/10.1016/j.jclepro.2014.11.019" TargetMode="External"/><Relationship Id="rId280" Type="http://schemas.openxmlformats.org/officeDocument/2006/relationships/hyperlink" Target="https://doi.org/10.1016/j.jhazmat.2011.10.001" TargetMode="External"/><Relationship Id="rId336" Type="http://schemas.openxmlformats.org/officeDocument/2006/relationships/hyperlink" Target="https://doi.org/10.1007/s11367-015-0990-8" TargetMode="External"/><Relationship Id="rId75" Type="http://schemas.openxmlformats.org/officeDocument/2006/relationships/hyperlink" Target="https://doi.org/10.1016/j.mineng.2018.11.041" TargetMode="External"/><Relationship Id="rId140" Type="http://schemas.openxmlformats.org/officeDocument/2006/relationships/hyperlink" Target="https://iea-pvps.org/wp-content/uploads/2020/12/IEA-PVPS-LCI-report-2020.pdf" TargetMode="External"/><Relationship Id="rId182" Type="http://schemas.openxmlformats.org/officeDocument/2006/relationships/hyperlink" Target="https://doi.org/10.1016/j.clet.2022.100539" TargetMode="External"/><Relationship Id="rId378" Type="http://schemas.openxmlformats.org/officeDocument/2006/relationships/hyperlink" Target="https://doi.org/10.1007/s11367-021-02018-5" TargetMode="External"/><Relationship Id="rId6" Type="http://schemas.openxmlformats.org/officeDocument/2006/relationships/hyperlink" Target="https://www.jadecove.com/research/liohco2impact" TargetMode="External"/><Relationship Id="rId238" Type="http://schemas.openxmlformats.org/officeDocument/2006/relationships/hyperlink" Target="https://doi.org/10.1016/S1003-6326(19)65086-7" TargetMode="External"/><Relationship Id="rId291" Type="http://schemas.openxmlformats.org/officeDocument/2006/relationships/hyperlink" Target="https://www.researchgate.net/profile/Damien_Giurco/publication/238092106_COPPER_RECYCLING_ALTERNATIVES_AN_ENVIRONMENTAL_ANALYSIS/links/56708c1408ae5252e6f1ef36.pdf" TargetMode="External"/><Relationship Id="rId305" Type="http://schemas.openxmlformats.org/officeDocument/2006/relationships/hyperlink" Target="https://doi.org/10.1007/s11367-021-01965-3" TargetMode="External"/><Relationship Id="rId347" Type="http://schemas.openxmlformats.org/officeDocument/2006/relationships/hyperlink" Target="https://doi.org/10.1007/s11367-016-1131-8" TargetMode="External"/><Relationship Id="rId44" Type="http://schemas.openxmlformats.org/officeDocument/2006/relationships/hyperlink" Target="https://www.cabidigitallibrary.org/doi/full/10.5555/20220273402" TargetMode="External"/><Relationship Id="rId86" Type="http://schemas.openxmlformats.org/officeDocument/2006/relationships/hyperlink" Target="https://doi.org/10.1016/j.resconrec.2019.104675" TargetMode="External"/><Relationship Id="rId151" Type="http://schemas.openxmlformats.org/officeDocument/2006/relationships/hyperlink" Target="https://www.boliden.com/48e725/globalassets/operations/products/copper/green-copper/carbon-footprint-of-boliden-main-metals_2021_executive-summary.pdf" TargetMode="External"/><Relationship Id="rId193" Type="http://schemas.openxmlformats.org/officeDocument/2006/relationships/hyperlink" Target="https://doi.org/10.1016/j.jclepro.2016.07.091" TargetMode="External"/><Relationship Id="rId207" Type="http://schemas.openxmlformats.org/officeDocument/2006/relationships/hyperlink" Target="https://doi.org/10.1016/j.rser.2007.11.012" TargetMode="External"/><Relationship Id="rId249" Type="http://schemas.openxmlformats.org/officeDocument/2006/relationships/hyperlink" Target="https://doi.org/10.1016/j.ecolind.2019.105600" TargetMode="External"/><Relationship Id="rId13" Type="http://schemas.openxmlformats.org/officeDocument/2006/relationships/hyperlink" Target="https://doi.org/10.3390/batteries7030057" TargetMode="External"/><Relationship Id="rId109" Type="http://schemas.openxmlformats.org/officeDocument/2006/relationships/hyperlink" Target="https://doi.org/10.1111/jiec.12575" TargetMode="External"/><Relationship Id="rId260" Type="http://schemas.openxmlformats.org/officeDocument/2006/relationships/hyperlink" Target="https://doi.org/10.1016/j.jenvman.2022.114689" TargetMode="External"/><Relationship Id="rId316" Type="http://schemas.openxmlformats.org/officeDocument/2006/relationships/hyperlink" Target="https://doi.org/10.1016/j.jenvman.2022.114949" TargetMode="External"/><Relationship Id="rId55" Type="http://schemas.openxmlformats.org/officeDocument/2006/relationships/hyperlink" Target="https://doi.org/10.1016/S1006-706X(15)30029-7" TargetMode="External"/><Relationship Id="rId97" Type="http://schemas.openxmlformats.org/officeDocument/2006/relationships/hyperlink" Target="https://doi.org/10.3389/fenrg.2014.00045" TargetMode="External"/><Relationship Id="rId120" Type="http://schemas.openxmlformats.org/officeDocument/2006/relationships/hyperlink" Target="https://doi.org/10.1007/s11367-009-0101-9" TargetMode="External"/><Relationship Id="rId358" Type="http://schemas.openxmlformats.org/officeDocument/2006/relationships/hyperlink" Target="https://doi.org/10.1007/s11367-021-02018-5" TargetMode="External"/><Relationship Id="rId162" Type="http://schemas.openxmlformats.org/officeDocument/2006/relationships/hyperlink" Target="https://doi.org/10.1016/j.scitotenv.2019.06.184" TargetMode="External"/><Relationship Id="rId218" Type="http://schemas.openxmlformats.org/officeDocument/2006/relationships/hyperlink" Target="https://doi.org/10.1007/s11367-016-1131-8" TargetMode="External"/><Relationship Id="rId271" Type="http://schemas.openxmlformats.org/officeDocument/2006/relationships/hyperlink" Target="https://doi.org/10.1016/j.jclepro.2020.122825" TargetMode="External"/><Relationship Id="rId24" Type="http://schemas.openxmlformats.org/officeDocument/2006/relationships/hyperlink" Target="https://doi.org/10.1016/j.oregeorev.2010.05.003" TargetMode="External"/><Relationship Id="rId66" Type="http://schemas.openxmlformats.org/officeDocument/2006/relationships/hyperlink" Target="https://doi.org/10.1016/j.resconrec.2019.104497" TargetMode="External"/><Relationship Id="rId131" Type="http://schemas.openxmlformats.org/officeDocument/2006/relationships/hyperlink" Target="https://doi.org/10.1016/j.eiar.2023.107412" TargetMode="External"/><Relationship Id="rId327" Type="http://schemas.openxmlformats.org/officeDocument/2006/relationships/hyperlink" Target="https://doi.org/10.1016/j.jclepro.2017.09.240" TargetMode="External"/><Relationship Id="rId369" Type="http://schemas.openxmlformats.org/officeDocument/2006/relationships/hyperlink" Target="https://doi.org/10.1021/es0709829" TargetMode="External"/><Relationship Id="rId173" Type="http://schemas.openxmlformats.org/officeDocument/2006/relationships/hyperlink" Target="http://publicationslist.org/data/arthur.haarman/ref-2/2015_Arthur%20Haarman%20-%20The%20Anthropogenic%20Antimony%20Cycle.pdf" TargetMode="External"/><Relationship Id="rId229" Type="http://schemas.openxmlformats.org/officeDocument/2006/relationships/hyperlink" Target="https://doi.org/10.1111/jiec.13051" TargetMode="External"/><Relationship Id="rId380" Type="http://schemas.openxmlformats.org/officeDocument/2006/relationships/hyperlink" Target="https://doi.org/10.1016/j.jhazmat.2011.10.001" TargetMode="External"/><Relationship Id="rId240" Type="http://schemas.openxmlformats.org/officeDocument/2006/relationships/hyperlink" Target="https://www.aluminum.org/sites/default/files/2022-01/2022_Semi-Fab_LCA_Report.pdf" TargetMode="External"/><Relationship Id="rId35" Type="http://schemas.openxmlformats.org/officeDocument/2006/relationships/hyperlink" Target="https://doi.org/10.2172/1224963" TargetMode="External"/><Relationship Id="rId77" Type="http://schemas.openxmlformats.org/officeDocument/2006/relationships/hyperlink" Target="https://doi.org/10.1039/C6EE02429G" TargetMode="External"/><Relationship Id="rId100" Type="http://schemas.openxmlformats.org/officeDocument/2006/relationships/hyperlink" Target="https://doi.org/10.3390/resources5040032" TargetMode="External"/><Relationship Id="rId282" Type="http://schemas.openxmlformats.org/officeDocument/2006/relationships/hyperlink" Target="https://www.jstage.jst.go.jp/article/shigentosozai/117/8/117_8_671/_pdf/-char/ja" TargetMode="External"/><Relationship Id="rId338" Type="http://schemas.openxmlformats.org/officeDocument/2006/relationships/hyperlink" Target="https://doi.org/10.1016/j.energy.2017.01.096" TargetMode="External"/><Relationship Id="rId8" Type="http://schemas.openxmlformats.org/officeDocument/2006/relationships/hyperlink" Target="https://doi.org/10.1016/j.procir.2023.02.122" TargetMode="External"/><Relationship Id="rId142" Type="http://schemas.openxmlformats.org/officeDocument/2006/relationships/hyperlink" Target="https://doi.org/10.1016/j.scitotenv.2021.147969" TargetMode="External"/><Relationship Id="rId184" Type="http://schemas.openxmlformats.org/officeDocument/2006/relationships/hyperlink" Target="https://doi.org/10.1016/j.jenvman.2020.111276" TargetMode="External"/><Relationship Id="rId251" Type="http://schemas.openxmlformats.org/officeDocument/2006/relationships/hyperlink" Target="https://doi.org/10.1016/j.scitotenv.2019.01.246" TargetMode="External"/><Relationship Id="rId46" Type="http://schemas.openxmlformats.org/officeDocument/2006/relationships/hyperlink" Target="https://doi.org/10.1016/j.jclepro.2009.09.020" TargetMode="External"/><Relationship Id="rId293" Type="http://schemas.openxmlformats.org/officeDocument/2006/relationships/hyperlink" Target="https://publications.anl.gov/anlpubs/2022/12/178670.pdf" TargetMode="External"/><Relationship Id="rId307" Type="http://schemas.openxmlformats.org/officeDocument/2006/relationships/hyperlink" Target="https://doi.org/10.1016/j.resconrec.2021.105619" TargetMode="External"/><Relationship Id="rId349" Type="http://schemas.openxmlformats.org/officeDocument/2006/relationships/hyperlink" Target="http://dx.doi.org/10.18687/LACCEI2020.1.1.577" TargetMode="External"/><Relationship Id="rId88" Type="http://schemas.openxmlformats.org/officeDocument/2006/relationships/hyperlink" Target="https://doi.org/10.1007/s11367-019-01582-1" TargetMode="External"/><Relationship Id="rId111" Type="http://schemas.openxmlformats.org/officeDocument/2006/relationships/hyperlink" Target="https://doi.org/10.1021/sc500573b" TargetMode="External"/><Relationship Id="rId153" Type="http://schemas.openxmlformats.org/officeDocument/2006/relationships/hyperlink" Target="https://doi.org/10.1007/s11367-015-1021-5" TargetMode="External"/><Relationship Id="rId195" Type="http://schemas.openxmlformats.org/officeDocument/2006/relationships/hyperlink" Target="https://doi.org/10.1021/acssuschemeng.2c01969" TargetMode="External"/><Relationship Id="rId209" Type="http://schemas.openxmlformats.org/officeDocument/2006/relationships/hyperlink" Target="https://doi.org/10.1016/j.rser.2007.11.012" TargetMode="External"/><Relationship Id="rId360" Type="http://schemas.openxmlformats.org/officeDocument/2006/relationships/hyperlink" Target="https://doi.org/10.1016/j.wasman.2022.04.006" TargetMode="External"/><Relationship Id="rId220" Type="http://schemas.openxmlformats.org/officeDocument/2006/relationships/hyperlink" Target="https://doi.org/10.1021/es0709829" TargetMode="External"/><Relationship Id="rId15" Type="http://schemas.openxmlformats.org/officeDocument/2006/relationships/hyperlink" Target="https://doi.org/10.3390/en13215664" TargetMode="External"/><Relationship Id="rId57" Type="http://schemas.openxmlformats.org/officeDocument/2006/relationships/hyperlink" Target="https://doi.org/10.1016/S1006-706X(11)60087-3" TargetMode="External"/><Relationship Id="rId262" Type="http://schemas.openxmlformats.org/officeDocument/2006/relationships/hyperlink" Target="https://doi.org/10.1016/j.eiar.2022.106855" TargetMode="External"/><Relationship Id="rId318" Type="http://schemas.openxmlformats.org/officeDocument/2006/relationships/hyperlink" Target="https://doi.org/10.1007/s11367-016-1131-8" TargetMode="External"/><Relationship Id="rId99" Type="http://schemas.openxmlformats.org/officeDocument/2006/relationships/hyperlink" Target="https://doi.org/10.1016/j.jenvman.2019.109353" TargetMode="External"/><Relationship Id="rId122" Type="http://schemas.openxmlformats.org/officeDocument/2006/relationships/hyperlink" Target="https://doi.org/10.1016/j.resconrec.2015.08.008" TargetMode="External"/><Relationship Id="rId164" Type="http://schemas.openxmlformats.org/officeDocument/2006/relationships/hyperlink" Target="https://doi.org/10.1007/s40553-017-0109-1" TargetMode="External"/><Relationship Id="rId371" Type="http://schemas.openxmlformats.org/officeDocument/2006/relationships/hyperlink" Target="https://doi.org/10.1016/j.resconrec.2023.106875" TargetMode="External"/><Relationship Id="rId26" Type="http://schemas.openxmlformats.org/officeDocument/2006/relationships/hyperlink" Target="https://doi.org/10.1016/j.mineng.2014.07.006" TargetMode="External"/><Relationship Id="rId231" Type="http://schemas.openxmlformats.org/officeDocument/2006/relationships/hyperlink" Target="https://doi.org/10.1016/j.jclepro.2023.136214" TargetMode="External"/><Relationship Id="rId273" Type="http://schemas.openxmlformats.org/officeDocument/2006/relationships/hyperlink" Target="https://doi.org/10.1016/j.resconrec.2019.104630" TargetMode="External"/><Relationship Id="rId329" Type="http://schemas.openxmlformats.org/officeDocument/2006/relationships/hyperlink" Target="https://doi.org/10.1111/jiec.13328"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F02F2-0344-4962-9ACF-A7E1227235B5}">
  <sheetPr>
    <tabColor theme="6"/>
  </sheetPr>
  <dimension ref="B1:R36"/>
  <sheetViews>
    <sheetView showGridLines="0" topLeftCell="A9" workbookViewId="0">
      <selection activeCell="B2" sqref="B2:R36"/>
    </sheetView>
  </sheetViews>
  <sheetFormatPr baseColWidth="10" defaultRowHeight="15" x14ac:dyDescent="0.25"/>
  <cols>
    <col min="1" max="1" width="1.85546875" customWidth="1"/>
  </cols>
  <sheetData>
    <row r="1" spans="2:18" ht="15.75" thickBot="1" x14ac:dyDescent="0.3"/>
    <row r="2" spans="2:18" ht="15" customHeight="1" x14ac:dyDescent="0.25">
      <c r="B2" s="110" t="s">
        <v>1522</v>
      </c>
      <c r="C2" s="111"/>
      <c r="D2" s="111"/>
      <c r="E2" s="111"/>
      <c r="F2" s="111"/>
      <c r="G2" s="111"/>
      <c r="H2" s="111"/>
      <c r="I2" s="111"/>
      <c r="J2" s="111"/>
      <c r="K2" s="111"/>
      <c r="L2" s="111"/>
      <c r="M2" s="111"/>
      <c r="N2" s="111"/>
      <c r="O2" s="111"/>
      <c r="P2" s="111"/>
      <c r="Q2" s="111"/>
      <c r="R2" s="112"/>
    </row>
    <row r="3" spans="2:18" x14ac:dyDescent="0.25">
      <c r="B3" s="113"/>
      <c r="C3" s="114"/>
      <c r="D3" s="114"/>
      <c r="E3" s="114"/>
      <c r="F3" s="114"/>
      <c r="G3" s="114"/>
      <c r="H3" s="114"/>
      <c r="I3" s="114"/>
      <c r="J3" s="114"/>
      <c r="K3" s="114"/>
      <c r="L3" s="114"/>
      <c r="M3" s="114"/>
      <c r="N3" s="114"/>
      <c r="O3" s="114"/>
      <c r="P3" s="114"/>
      <c r="Q3" s="114"/>
      <c r="R3" s="115"/>
    </row>
    <row r="4" spans="2:18" x14ac:dyDescent="0.25">
      <c r="B4" s="113"/>
      <c r="C4" s="114"/>
      <c r="D4" s="114"/>
      <c r="E4" s="114"/>
      <c r="F4" s="114"/>
      <c r="G4" s="114"/>
      <c r="H4" s="114"/>
      <c r="I4" s="114"/>
      <c r="J4" s="114"/>
      <c r="K4" s="114"/>
      <c r="L4" s="114"/>
      <c r="M4" s="114"/>
      <c r="N4" s="114"/>
      <c r="O4" s="114"/>
      <c r="P4" s="114"/>
      <c r="Q4" s="114"/>
      <c r="R4" s="115"/>
    </row>
    <row r="5" spans="2:18" x14ac:dyDescent="0.25">
      <c r="B5" s="113"/>
      <c r="C5" s="114"/>
      <c r="D5" s="114"/>
      <c r="E5" s="114"/>
      <c r="F5" s="114"/>
      <c r="G5" s="114"/>
      <c r="H5" s="114"/>
      <c r="I5" s="114"/>
      <c r="J5" s="114"/>
      <c r="K5" s="114"/>
      <c r="L5" s="114"/>
      <c r="M5" s="114"/>
      <c r="N5" s="114"/>
      <c r="O5" s="114"/>
      <c r="P5" s="114"/>
      <c r="Q5" s="114"/>
      <c r="R5" s="115"/>
    </row>
    <row r="6" spans="2:18" x14ac:dyDescent="0.25">
      <c r="B6" s="113"/>
      <c r="C6" s="114"/>
      <c r="D6" s="114"/>
      <c r="E6" s="114"/>
      <c r="F6" s="114"/>
      <c r="G6" s="114"/>
      <c r="H6" s="114"/>
      <c r="I6" s="114"/>
      <c r="J6" s="114"/>
      <c r="K6" s="114"/>
      <c r="L6" s="114"/>
      <c r="M6" s="114"/>
      <c r="N6" s="114"/>
      <c r="O6" s="114"/>
      <c r="P6" s="114"/>
      <c r="Q6" s="114"/>
      <c r="R6" s="115"/>
    </row>
    <row r="7" spans="2:18" x14ac:dyDescent="0.25">
      <c r="B7" s="113"/>
      <c r="C7" s="114"/>
      <c r="D7" s="114"/>
      <c r="E7" s="114"/>
      <c r="F7" s="114"/>
      <c r="G7" s="114"/>
      <c r="H7" s="114"/>
      <c r="I7" s="114"/>
      <c r="J7" s="114"/>
      <c r="K7" s="114"/>
      <c r="L7" s="114"/>
      <c r="M7" s="114"/>
      <c r="N7" s="114"/>
      <c r="O7" s="114"/>
      <c r="P7" s="114"/>
      <c r="Q7" s="114"/>
      <c r="R7" s="115"/>
    </row>
    <row r="8" spans="2:18" x14ac:dyDescent="0.25">
      <c r="B8" s="113"/>
      <c r="C8" s="114"/>
      <c r="D8" s="114"/>
      <c r="E8" s="114"/>
      <c r="F8" s="114"/>
      <c r="G8" s="114"/>
      <c r="H8" s="114"/>
      <c r="I8" s="114"/>
      <c r="J8" s="114"/>
      <c r="K8" s="114"/>
      <c r="L8" s="114"/>
      <c r="M8" s="114"/>
      <c r="N8" s="114"/>
      <c r="O8" s="114"/>
      <c r="P8" s="114"/>
      <c r="Q8" s="114"/>
      <c r="R8" s="115"/>
    </row>
    <row r="9" spans="2:18" x14ac:dyDescent="0.25">
      <c r="B9" s="113"/>
      <c r="C9" s="114"/>
      <c r="D9" s="114"/>
      <c r="E9" s="114"/>
      <c r="F9" s="114"/>
      <c r="G9" s="114"/>
      <c r="H9" s="114"/>
      <c r="I9" s="114"/>
      <c r="J9" s="114"/>
      <c r="K9" s="114"/>
      <c r="L9" s="114"/>
      <c r="M9" s="114"/>
      <c r="N9" s="114"/>
      <c r="O9" s="114"/>
      <c r="P9" s="114"/>
      <c r="Q9" s="114"/>
      <c r="R9" s="115"/>
    </row>
    <row r="10" spans="2:18" x14ac:dyDescent="0.25">
      <c r="B10" s="113"/>
      <c r="C10" s="114"/>
      <c r="D10" s="114"/>
      <c r="E10" s="114"/>
      <c r="F10" s="114"/>
      <c r="G10" s="114"/>
      <c r="H10" s="114"/>
      <c r="I10" s="114"/>
      <c r="J10" s="114"/>
      <c r="K10" s="114"/>
      <c r="L10" s="114"/>
      <c r="M10" s="114"/>
      <c r="N10" s="114"/>
      <c r="O10" s="114"/>
      <c r="P10" s="114"/>
      <c r="Q10" s="114"/>
      <c r="R10" s="115"/>
    </row>
    <row r="11" spans="2:18" x14ac:dyDescent="0.25">
      <c r="B11" s="113"/>
      <c r="C11" s="114"/>
      <c r="D11" s="114"/>
      <c r="E11" s="114"/>
      <c r="F11" s="114"/>
      <c r="G11" s="114"/>
      <c r="H11" s="114"/>
      <c r="I11" s="114"/>
      <c r="J11" s="114"/>
      <c r="K11" s="114"/>
      <c r="L11" s="114"/>
      <c r="M11" s="114"/>
      <c r="N11" s="114"/>
      <c r="O11" s="114"/>
      <c r="P11" s="114"/>
      <c r="Q11" s="114"/>
      <c r="R11" s="115"/>
    </row>
    <row r="12" spans="2:18" x14ac:dyDescent="0.25">
      <c r="B12" s="113"/>
      <c r="C12" s="114"/>
      <c r="D12" s="114"/>
      <c r="E12" s="114"/>
      <c r="F12" s="114"/>
      <c r="G12" s="114"/>
      <c r="H12" s="114"/>
      <c r="I12" s="114"/>
      <c r="J12" s="114"/>
      <c r="K12" s="114"/>
      <c r="L12" s="114"/>
      <c r="M12" s="114"/>
      <c r="N12" s="114"/>
      <c r="O12" s="114"/>
      <c r="P12" s="114"/>
      <c r="Q12" s="114"/>
      <c r="R12" s="115"/>
    </row>
    <row r="13" spans="2:18" x14ac:dyDescent="0.25">
      <c r="B13" s="113"/>
      <c r="C13" s="114"/>
      <c r="D13" s="114"/>
      <c r="E13" s="114"/>
      <c r="F13" s="114"/>
      <c r="G13" s="114"/>
      <c r="H13" s="114"/>
      <c r="I13" s="114"/>
      <c r="J13" s="114"/>
      <c r="K13" s="114"/>
      <c r="L13" s="114"/>
      <c r="M13" s="114"/>
      <c r="N13" s="114"/>
      <c r="O13" s="114"/>
      <c r="P13" s="114"/>
      <c r="Q13" s="114"/>
      <c r="R13" s="115"/>
    </row>
    <row r="14" spans="2:18" x14ac:dyDescent="0.25">
      <c r="B14" s="113"/>
      <c r="C14" s="114"/>
      <c r="D14" s="114"/>
      <c r="E14" s="114"/>
      <c r="F14" s="114"/>
      <c r="G14" s="114"/>
      <c r="H14" s="114"/>
      <c r="I14" s="114"/>
      <c r="J14" s="114"/>
      <c r="K14" s="114"/>
      <c r="L14" s="114"/>
      <c r="M14" s="114"/>
      <c r="N14" s="114"/>
      <c r="O14" s="114"/>
      <c r="P14" s="114"/>
      <c r="Q14" s="114"/>
      <c r="R14" s="115"/>
    </row>
    <row r="15" spans="2:18" x14ac:dyDescent="0.25">
      <c r="B15" s="113"/>
      <c r="C15" s="114"/>
      <c r="D15" s="114"/>
      <c r="E15" s="114"/>
      <c r="F15" s="114"/>
      <c r="G15" s="114"/>
      <c r="H15" s="114"/>
      <c r="I15" s="114"/>
      <c r="J15" s="114"/>
      <c r="K15" s="114"/>
      <c r="L15" s="114"/>
      <c r="M15" s="114"/>
      <c r="N15" s="114"/>
      <c r="O15" s="114"/>
      <c r="P15" s="114"/>
      <c r="Q15" s="114"/>
      <c r="R15" s="115"/>
    </row>
    <row r="16" spans="2:18" x14ac:dyDescent="0.25">
      <c r="B16" s="113"/>
      <c r="C16" s="114"/>
      <c r="D16" s="114"/>
      <c r="E16" s="114"/>
      <c r="F16" s="114"/>
      <c r="G16" s="114"/>
      <c r="H16" s="114"/>
      <c r="I16" s="114"/>
      <c r="J16" s="114"/>
      <c r="K16" s="114"/>
      <c r="L16" s="114"/>
      <c r="M16" s="114"/>
      <c r="N16" s="114"/>
      <c r="O16" s="114"/>
      <c r="P16" s="114"/>
      <c r="Q16" s="114"/>
      <c r="R16" s="115"/>
    </row>
    <row r="17" spans="2:18" x14ac:dyDescent="0.25">
      <c r="B17" s="113"/>
      <c r="C17" s="114"/>
      <c r="D17" s="114"/>
      <c r="E17" s="114"/>
      <c r="F17" s="114"/>
      <c r="G17" s="114"/>
      <c r="H17" s="114"/>
      <c r="I17" s="114"/>
      <c r="J17" s="114"/>
      <c r="K17" s="114"/>
      <c r="L17" s="114"/>
      <c r="M17" s="114"/>
      <c r="N17" s="114"/>
      <c r="O17" s="114"/>
      <c r="P17" s="114"/>
      <c r="Q17" s="114"/>
      <c r="R17" s="115"/>
    </row>
    <row r="18" spans="2:18" x14ac:dyDescent="0.25">
      <c r="B18" s="113"/>
      <c r="C18" s="114"/>
      <c r="D18" s="114"/>
      <c r="E18" s="114"/>
      <c r="F18" s="114"/>
      <c r="G18" s="114"/>
      <c r="H18" s="114"/>
      <c r="I18" s="114"/>
      <c r="J18" s="114"/>
      <c r="K18" s="114"/>
      <c r="L18" s="114"/>
      <c r="M18" s="114"/>
      <c r="N18" s="114"/>
      <c r="O18" s="114"/>
      <c r="P18" s="114"/>
      <c r="Q18" s="114"/>
      <c r="R18" s="115"/>
    </row>
    <row r="19" spans="2:18" x14ac:dyDescent="0.25">
      <c r="B19" s="113"/>
      <c r="C19" s="114"/>
      <c r="D19" s="114"/>
      <c r="E19" s="114"/>
      <c r="F19" s="114"/>
      <c r="G19" s="114"/>
      <c r="H19" s="114"/>
      <c r="I19" s="114"/>
      <c r="J19" s="114"/>
      <c r="K19" s="114"/>
      <c r="L19" s="114"/>
      <c r="M19" s="114"/>
      <c r="N19" s="114"/>
      <c r="O19" s="114"/>
      <c r="P19" s="114"/>
      <c r="Q19" s="114"/>
      <c r="R19" s="115"/>
    </row>
    <row r="20" spans="2:18" x14ac:dyDescent="0.25">
      <c r="B20" s="113"/>
      <c r="C20" s="114"/>
      <c r="D20" s="114"/>
      <c r="E20" s="114"/>
      <c r="F20" s="114"/>
      <c r="G20" s="114"/>
      <c r="H20" s="114"/>
      <c r="I20" s="114"/>
      <c r="J20" s="114"/>
      <c r="K20" s="114"/>
      <c r="L20" s="114"/>
      <c r="M20" s="114"/>
      <c r="N20" s="114"/>
      <c r="O20" s="114"/>
      <c r="P20" s="114"/>
      <c r="Q20" s="114"/>
      <c r="R20" s="115"/>
    </row>
    <row r="21" spans="2:18" x14ac:dyDescent="0.25">
      <c r="B21" s="113"/>
      <c r="C21" s="114"/>
      <c r="D21" s="114"/>
      <c r="E21" s="114"/>
      <c r="F21" s="114"/>
      <c r="G21" s="114"/>
      <c r="H21" s="114"/>
      <c r="I21" s="114"/>
      <c r="J21" s="114"/>
      <c r="K21" s="114"/>
      <c r="L21" s="114"/>
      <c r="M21" s="114"/>
      <c r="N21" s="114"/>
      <c r="O21" s="114"/>
      <c r="P21" s="114"/>
      <c r="Q21" s="114"/>
      <c r="R21" s="115"/>
    </row>
    <row r="22" spans="2:18" x14ac:dyDescent="0.25">
      <c r="B22" s="113"/>
      <c r="C22" s="114"/>
      <c r="D22" s="114"/>
      <c r="E22" s="114"/>
      <c r="F22" s="114"/>
      <c r="G22" s="114"/>
      <c r="H22" s="114"/>
      <c r="I22" s="114"/>
      <c r="J22" s="114"/>
      <c r="K22" s="114"/>
      <c r="L22" s="114"/>
      <c r="M22" s="114"/>
      <c r="N22" s="114"/>
      <c r="O22" s="114"/>
      <c r="P22" s="114"/>
      <c r="Q22" s="114"/>
      <c r="R22" s="115"/>
    </row>
    <row r="23" spans="2:18" x14ac:dyDescent="0.25">
      <c r="B23" s="113"/>
      <c r="C23" s="114"/>
      <c r="D23" s="114"/>
      <c r="E23" s="114"/>
      <c r="F23" s="114"/>
      <c r="G23" s="114"/>
      <c r="H23" s="114"/>
      <c r="I23" s="114"/>
      <c r="J23" s="114"/>
      <c r="K23" s="114"/>
      <c r="L23" s="114"/>
      <c r="M23" s="114"/>
      <c r="N23" s="114"/>
      <c r="O23" s="114"/>
      <c r="P23" s="114"/>
      <c r="Q23" s="114"/>
      <c r="R23" s="115"/>
    </row>
    <row r="24" spans="2:18" x14ac:dyDescent="0.25">
      <c r="B24" s="113"/>
      <c r="C24" s="114"/>
      <c r="D24" s="114"/>
      <c r="E24" s="114"/>
      <c r="F24" s="114"/>
      <c r="G24" s="114"/>
      <c r="H24" s="114"/>
      <c r="I24" s="114"/>
      <c r="J24" s="114"/>
      <c r="K24" s="114"/>
      <c r="L24" s="114"/>
      <c r="M24" s="114"/>
      <c r="N24" s="114"/>
      <c r="O24" s="114"/>
      <c r="P24" s="114"/>
      <c r="Q24" s="114"/>
      <c r="R24" s="115"/>
    </row>
    <row r="25" spans="2:18" x14ac:dyDescent="0.25">
      <c r="B25" s="113"/>
      <c r="C25" s="114"/>
      <c r="D25" s="114"/>
      <c r="E25" s="114"/>
      <c r="F25" s="114"/>
      <c r="G25" s="114"/>
      <c r="H25" s="114"/>
      <c r="I25" s="114"/>
      <c r="J25" s="114"/>
      <c r="K25" s="114"/>
      <c r="L25" s="114"/>
      <c r="M25" s="114"/>
      <c r="N25" s="114"/>
      <c r="O25" s="114"/>
      <c r="P25" s="114"/>
      <c r="Q25" s="114"/>
      <c r="R25" s="115"/>
    </row>
    <row r="26" spans="2:18" x14ac:dyDescent="0.25">
      <c r="B26" s="113"/>
      <c r="C26" s="114"/>
      <c r="D26" s="114"/>
      <c r="E26" s="114"/>
      <c r="F26" s="114"/>
      <c r="G26" s="114"/>
      <c r="H26" s="114"/>
      <c r="I26" s="114"/>
      <c r="J26" s="114"/>
      <c r="K26" s="114"/>
      <c r="L26" s="114"/>
      <c r="M26" s="114"/>
      <c r="N26" s="114"/>
      <c r="O26" s="114"/>
      <c r="P26" s="114"/>
      <c r="Q26" s="114"/>
      <c r="R26" s="115"/>
    </row>
    <row r="27" spans="2:18" x14ac:dyDescent="0.25">
      <c r="B27" s="113"/>
      <c r="C27" s="114"/>
      <c r="D27" s="114"/>
      <c r="E27" s="114"/>
      <c r="F27" s="114"/>
      <c r="G27" s="114"/>
      <c r="H27" s="114"/>
      <c r="I27" s="114"/>
      <c r="J27" s="114"/>
      <c r="K27" s="114"/>
      <c r="L27" s="114"/>
      <c r="M27" s="114"/>
      <c r="N27" s="114"/>
      <c r="O27" s="114"/>
      <c r="P27" s="114"/>
      <c r="Q27" s="114"/>
      <c r="R27" s="115"/>
    </row>
    <row r="28" spans="2:18" x14ac:dyDescent="0.25">
      <c r="B28" s="113"/>
      <c r="C28" s="114"/>
      <c r="D28" s="114"/>
      <c r="E28" s="114"/>
      <c r="F28" s="114"/>
      <c r="G28" s="114"/>
      <c r="H28" s="114"/>
      <c r="I28" s="114"/>
      <c r="J28" s="114"/>
      <c r="K28" s="114"/>
      <c r="L28" s="114"/>
      <c r="M28" s="114"/>
      <c r="N28" s="114"/>
      <c r="O28" s="114"/>
      <c r="P28" s="114"/>
      <c r="Q28" s="114"/>
      <c r="R28" s="115"/>
    </row>
    <row r="29" spans="2:18" x14ac:dyDescent="0.25">
      <c r="B29" s="113"/>
      <c r="C29" s="114"/>
      <c r="D29" s="114"/>
      <c r="E29" s="114"/>
      <c r="F29" s="114"/>
      <c r="G29" s="114"/>
      <c r="H29" s="114"/>
      <c r="I29" s="114"/>
      <c r="J29" s="114"/>
      <c r="K29" s="114"/>
      <c r="L29" s="114"/>
      <c r="M29" s="114"/>
      <c r="N29" s="114"/>
      <c r="O29" s="114"/>
      <c r="P29" s="114"/>
      <c r="Q29" s="114"/>
      <c r="R29" s="115"/>
    </row>
    <row r="30" spans="2:18" x14ac:dyDescent="0.25">
      <c r="B30" s="113"/>
      <c r="C30" s="114"/>
      <c r="D30" s="114"/>
      <c r="E30" s="114"/>
      <c r="F30" s="114"/>
      <c r="G30" s="114"/>
      <c r="H30" s="114"/>
      <c r="I30" s="114"/>
      <c r="J30" s="114"/>
      <c r="K30" s="114"/>
      <c r="L30" s="114"/>
      <c r="M30" s="114"/>
      <c r="N30" s="114"/>
      <c r="O30" s="114"/>
      <c r="P30" s="114"/>
      <c r="Q30" s="114"/>
      <c r="R30" s="115"/>
    </row>
    <row r="31" spans="2:18" x14ac:dyDescent="0.25">
      <c r="B31" s="113"/>
      <c r="C31" s="114"/>
      <c r="D31" s="114"/>
      <c r="E31" s="114"/>
      <c r="F31" s="114"/>
      <c r="G31" s="114"/>
      <c r="H31" s="114"/>
      <c r="I31" s="114"/>
      <c r="J31" s="114"/>
      <c r="K31" s="114"/>
      <c r="L31" s="114"/>
      <c r="M31" s="114"/>
      <c r="N31" s="114"/>
      <c r="O31" s="114"/>
      <c r="P31" s="114"/>
      <c r="Q31" s="114"/>
      <c r="R31" s="115"/>
    </row>
    <row r="32" spans="2:18" x14ac:dyDescent="0.25">
      <c r="B32" s="113"/>
      <c r="C32" s="114"/>
      <c r="D32" s="114"/>
      <c r="E32" s="114"/>
      <c r="F32" s="114"/>
      <c r="G32" s="114"/>
      <c r="H32" s="114"/>
      <c r="I32" s="114"/>
      <c r="J32" s="114"/>
      <c r="K32" s="114"/>
      <c r="L32" s="114"/>
      <c r="M32" s="114"/>
      <c r="N32" s="114"/>
      <c r="O32" s="114"/>
      <c r="P32" s="114"/>
      <c r="Q32" s="114"/>
      <c r="R32" s="115"/>
    </row>
    <row r="33" spans="2:18" ht="15" customHeight="1" x14ac:dyDescent="0.25">
      <c r="B33" s="113"/>
      <c r="C33" s="114"/>
      <c r="D33" s="114"/>
      <c r="E33" s="114"/>
      <c r="F33" s="114"/>
      <c r="G33" s="114"/>
      <c r="H33" s="114"/>
      <c r="I33" s="114"/>
      <c r="J33" s="114"/>
      <c r="K33" s="114"/>
      <c r="L33" s="114"/>
      <c r="M33" s="114"/>
      <c r="N33" s="114"/>
      <c r="O33" s="114"/>
      <c r="P33" s="114"/>
      <c r="Q33" s="114"/>
      <c r="R33" s="115"/>
    </row>
    <row r="34" spans="2:18" x14ac:dyDescent="0.25">
      <c r="B34" s="113"/>
      <c r="C34" s="114"/>
      <c r="D34" s="114"/>
      <c r="E34" s="114"/>
      <c r="F34" s="114"/>
      <c r="G34" s="114"/>
      <c r="H34" s="114"/>
      <c r="I34" s="114"/>
      <c r="J34" s="114"/>
      <c r="K34" s="114"/>
      <c r="L34" s="114"/>
      <c r="M34" s="114"/>
      <c r="N34" s="114"/>
      <c r="O34" s="114"/>
      <c r="P34" s="114"/>
      <c r="Q34" s="114"/>
      <c r="R34" s="115"/>
    </row>
    <row r="35" spans="2:18" x14ac:dyDescent="0.25">
      <c r="B35" s="113"/>
      <c r="C35" s="114"/>
      <c r="D35" s="114"/>
      <c r="E35" s="114"/>
      <c r="F35" s="114"/>
      <c r="G35" s="114"/>
      <c r="H35" s="114"/>
      <c r="I35" s="114"/>
      <c r="J35" s="114"/>
      <c r="K35" s="114"/>
      <c r="L35" s="114"/>
      <c r="M35" s="114"/>
      <c r="N35" s="114"/>
      <c r="O35" s="114"/>
      <c r="P35" s="114"/>
      <c r="Q35" s="114"/>
      <c r="R35" s="115"/>
    </row>
    <row r="36" spans="2:18" ht="15.75" thickBot="1" x14ac:dyDescent="0.3">
      <c r="B36" s="116"/>
      <c r="C36" s="117"/>
      <c r="D36" s="117"/>
      <c r="E36" s="117"/>
      <c r="F36" s="117"/>
      <c r="G36" s="117"/>
      <c r="H36" s="117"/>
      <c r="I36" s="117"/>
      <c r="J36" s="117"/>
      <c r="K36" s="117"/>
      <c r="L36" s="117"/>
      <c r="M36" s="117"/>
      <c r="N36" s="117"/>
      <c r="O36" s="117"/>
      <c r="P36" s="117"/>
      <c r="Q36" s="117"/>
      <c r="R36" s="118"/>
    </row>
  </sheetData>
  <mergeCells count="1">
    <mergeCell ref="B2:R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8" tint="0.39997558519241921"/>
  </sheetPr>
  <dimension ref="B1:G432"/>
  <sheetViews>
    <sheetView showGridLines="0" zoomScaleNormal="100" workbookViewId="0">
      <pane xSplit="3" ySplit="2" topLeftCell="D343" activePane="bottomRight" state="frozen"/>
      <selection pane="topRight" activeCell="D1" sqref="D1"/>
      <selection pane="bottomLeft" activeCell="A3" sqref="A3"/>
      <selection pane="bottomRight" activeCell="E356" sqref="E356"/>
    </sheetView>
  </sheetViews>
  <sheetFormatPr baseColWidth="10" defaultColWidth="11.42578125" defaultRowHeight="15" x14ac:dyDescent="0.25"/>
  <cols>
    <col min="1" max="1" width="1.42578125" style="1" customWidth="1"/>
    <col min="2" max="2" width="13.42578125" style="1" customWidth="1"/>
    <col min="3" max="3" width="20.140625" style="1" customWidth="1"/>
    <col min="4" max="4" width="32.140625" style="1" bestFit="1" customWidth="1"/>
    <col min="5" max="5" width="72.85546875" style="5" customWidth="1"/>
    <col min="6" max="6" width="45.42578125" style="1" customWidth="1"/>
    <col min="7" max="7" width="10.85546875" style="5" customWidth="1"/>
    <col min="8" max="16384" width="11.42578125" style="1"/>
  </cols>
  <sheetData>
    <row r="1" spans="2:6" ht="7.5" customHeight="1" x14ac:dyDescent="0.25"/>
    <row r="2" spans="2:6" ht="30" customHeight="1" x14ac:dyDescent="0.25">
      <c r="B2" s="4" t="s">
        <v>0</v>
      </c>
      <c r="C2" s="4" t="s">
        <v>1476</v>
      </c>
      <c r="D2" s="4" t="s">
        <v>1</v>
      </c>
      <c r="E2" s="4" t="s">
        <v>2</v>
      </c>
      <c r="F2" s="4" t="s">
        <v>3</v>
      </c>
    </row>
    <row r="3" spans="2:6" ht="30" hidden="1" x14ac:dyDescent="0.25">
      <c r="B3" s="24">
        <v>3</v>
      </c>
      <c r="C3" s="25" t="s">
        <v>1272</v>
      </c>
      <c r="D3" s="2" t="s">
        <v>5</v>
      </c>
      <c r="E3" s="6" t="s">
        <v>6</v>
      </c>
      <c r="F3" s="55" t="s">
        <v>7</v>
      </c>
    </row>
    <row r="4" spans="2:6" ht="45" hidden="1" x14ac:dyDescent="0.25">
      <c r="B4" s="24">
        <v>3</v>
      </c>
      <c r="C4" s="25" t="s">
        <v>1272</v>
      </c>
      <c r="D4" s="2" t="s">
        <v>8</v>
      </c>
      <c r="E4" s="6" t="s">
        <v>9</v>
      </c>
      <c r="F4" s="55" t="s">
        <v>10</v>
      </c>
    </row>
    <row r="5" spans="2:6" ht="30" hidden="1" x14ac:dyDescent="0.25">
      <c r="B5" s="24">
        <v>3</v>
      </c>
      <c r="C5" s="25" t="s">
        <v>1272</v>
      </c>
      <c r="D5" s="2" t="s">
        <v>11</v>
      </c>
      <c r="E5" s="6" t="s">
        <v>12</v>
      </c>
      <c r="F5" s="55" t="s">
        <v>13</v>
      </c>
    </row>
    <row r="6" spans="2:6" hidden="1" x14ac:dyDescent="0.25">
      <c r="B6" s="24">
        <v>3</v>
      </c>
      <c r="C6" s="25" t="s">
        <v>1272</v>
      </c>
      <c r="D6" s="2" t="s">
        <v>14</v>
      </c>
      <c r="E6" s="6" t="s">
        <v>15</v>
      </c>
      <c r="F6" s="55" t="s">
        <v>16</v>
      </c>
    </row>
    <row r="7" spans="2:6" ht="30" hidden="1" x14ac:dyDescent="0.25">
      <c r="B7" s="24">
        <v>3</v>
      </c>
      <c r="C7" s="25" t="s">
        <v>1272</v>
      </c>
      <c r="D7" s="2" t="s">
        <v>17</v>
      </c>
      <c r="E7" s="6" t="s">
        <v>18</v>
      </c>
      <c r="F7" s="55" t="s">
        <v>19</v>
      </c>
    </row>
    <row r="8" spans="2:6" ht="30" hidden="1" x14ac:dyDescent="0.25">
      <c r="B8" s="24">
        <v>3</v>
      </c>
      <c r="C8" s="25" t="s">
        <v>1272</v>
      </c>
      <c r="D8" s="2" t="s">
        <v>20</v>
      </c>
      <c r="E8" s="6" t="s">
        <v>21</v>
      </c>
      <c r="F8" s="55" t="s">
        <v>22</v>
      </c>
    </row>
    <row r="9" spans="2:6" ht="30" hidden="1" x14ac:dyDescent="0.25">
      <c r="B9" s="24">
        <v>3</v>
      </c>
      <c r="C9" s="25" t="s">
        <v>1272</v>
      </c>
      <c r="D9" s="2" t="s">
        <v>23</v>
      </c>
      <c r="E9" s="6" t="s">
        <v>24</v>
      </c>
      <c r="F9" s="55" t="s">
        <v>25</v>
      </c>
    </row>
    <row r="10" spans="2:6" ht="30" hidden="1" x14ac:dyDescent="0.25">
      <c r="B10" s="24">
        <v>3</v>
      </c>
      <c r="C10" s="25" t="s">
        <v>1272</v>
      </c>
      <c r="D10" s="2" t="s">
        <v>26</v>
      </c>
      <c r="E10" s="6" t="s">
        <v>27</v>
      </c>
      <c r="F10" s="55" t="s">
        <v>28</v>
      </c>
    </row>
    <row r="11" spans="2:6" ht="30" hidden="1" x14ac:dyDescent="0.25">
      <c r="B11" s="24">
        <v>3</v>
      </c>
      <c r="C11" s="25" t="s">
        <v>1272</v>
      </c>
      <c r="D11" s="2" t="s">
        <v>29</v>
      </c>
      <c r="E11" s="6" t="s">
        <v>30</v>
      </c>
      <c r="F11" s="55" t="s">
        <v>31</v>
      </c>
    </row>
    <row r="12" spans="2:6" ht="45" hidden="1" x14ac:dyDescent="0.25">
      <c r="B12" s="24">
        <v>3</v>
      </c>
      <c r="C12" s="25" t="s">
        <v>1272</v>
      </c>
      <c r="D12" s="2" t="s">
        <v>32</v>
      </c>
      <c r="E12" s="6" t="s">
        <v>33</v>
      </c>
      <c r="F12" s="55" t="s">
        <v>34</v>
      </c>
    </row>
    <row r="13" spans="2:6" hidden="1" x14ac:dyDescent="0.25">
      <c r="B13" s="24">
        <v>3</v>
      </c>
      <c r="C13" s="25" t="s">
        <v>1272</v>
      </c>
      <c r="D13" s="2" t="s">
        <v>35</v>
      </c>
      <c r="E13" s="6" t="s">
        <v>36</v>
      </c>
      <c r="F13" s="55" t="s">
        <v>37</v>
      </c>
    </row>
    <row r="14" spans="2:6" ht="30" hidden="1" x14ac:dyDescent="0.25">
      <c r="B14" s="24">
        <v>3</v>
      </c>
      <c r="C14" s="25" t="s">
        <v>1272</v>
      </c>
      <c r="D14" s="2" t="s">
        <v>38</v>
      </c>
      <c r="E14" s="6" t="s">
        <v>39</v>
      </c>
      <c r="F14" s="55" t="s">
        <v>40</v>
      </c>
    </row>
    <row r="15" spans="2:6" hidden="1" x14ac:dyDescent="0.25">
      <c r="B15" s="24">
        <v>3</v>
      </c>
      <c r="C15" s="25" t="s">
        <v>1272</v>
      </c>
      <c r="D15" s="2" t="s">
        <v>41</v>
      </c>
      <c r="E15" s="6" t="s">
        <v>42</v>
      </c>
      <c r="F15" s="55" t="s">
        <v>43</v>
      </c>
    </row>
    <row r="16" spans="2:6" ht="30" hidden="1" x14ac:dyDescent="0.25">
      <c r="B16" s="24">
        <v>3</v>
      </c>
      <c r="C16" s="25" t="s">
        <v>1272</v>
      </c>
      <c r="D16" s="2" t="s">
        <v>44</v>
      </c>
      <c r="E16" s="6" t="s">
        <v>45</v>
      </c>
      <c r="F16" s="55" t="s">
        <v>46</v>
      </c>
    </row>
    <row r="17" spans="2:6" ht="45.75" hidden="1" thickBot="1" x14ac:dyDescent="0.3">
      <c r="B17" s="26">
        <v>3</v>
      </c>
      <c r="C17" s="27" t="s">
        <v>1272</v>
      </c>
      <c r="D17" s="10" t="s">
        <v>47</v>
      </c>
      <c r="E17" s="12" t="s">
        <v>48</v>
      </c>
      <c r="F17" s="56" t="s">
        <v>49</v>
      </c>
    </row>
    <row r="18" spans="2:6" ht="16.5" hidden="1" thickTop="1" thickBot="1" x14ac:dyDescent="0.3">
      <c r="B18" s="32">
        <v>4</v>
      </c>
      <c r="C18" s="45" t="s">
        <v>1273</v>
      </c>
      <c r="D18" s="13" t="s">
        <v>51</v>
      </c>
      <c r="E18" s="14" t="s">
        <v>52</v>
      </c>
      <c r="F18" s="60" t="s">
        <v>53</v>
      </c>
    </row>
    <row r="19" spans="2:6" hidden="1" x14ac:dyDescent="0.25">
      <c r="B19" s="29">
        <v>5</v>
      </c>
      <c r="C19" s="42" t="s">
        <v>1274</v>
      </c>
      <c r="D19" s="7" t="s">
        <v>55</v>
      </c>
      <c r="E19" s="11" t="s">
        <v>56</v>
      </c>
      <c r="F19" s="57" t="s">
        <v>57</v>
      </c>
    </row>
    <row r="20" spans="2:6" ht="30" hidden="1" x14ac:dyDescent="0.25">
      <c r="B20" s="30">
        <v>5</v>
      </c>
      <c r="C20" s="43" t="s">
        <v>1274</v>
      </c>
      <c r="D20" s="2" t="s">
        <v>58</v>
      </c>
      <c r="E20" s="6" t="s">
        <v>59</v>
      </c>
      <c r="F20" s="55" t="s">
        <v>60</v>
      </c>
    </row>
    <row r="21" spans="2:6" ht="30" hidden="1" x14ac:dyDescent="0.25">
      <c r="B21" s="30">
        <v>5</v>
      </c>
      <c r="C21" s="43" t="s">
        <v>1274</v>
      </c>
      <c r="D21" s="2" t="s">
        <v>61</v>
      </c>
      <c r="E21" s="6" t="s">
        <v>62</v>
      </c>
      <c r="F21" s="55" t="s">
        <v>63</v>
      </c>
    </row>
    <row r="22" spans="2:6" ht="30" hidden="1" x14ac:dyDescent="0.25">
      <c r="B22" s="30">
        <v>5</v>
      </c>
      <c r="C22" s="43" t="s">
        <v>1274</v>
      </c>
      <c r="D22" s="2" t="s">
        <v>64</v>
      </c>
      <c r="E22" s="6" t="s">
        <v>65</v>
      </c>
      <c r="F22" s="55" t="s">
        <v>66</v>
      </c>
    </row>
    <row r="23" spans="2:6" hidden="1" x14ac:dyDescent="0.25">
      <c r="B23" s="30">
        <v>5</v>
      </c>
      <c r="C23" s="43" t="s">
        <v>1274</v>
      </c>
      <c r="D23" s="2" t="s">
        <v>67</v>
      </c>
      <c r="E23" s="6" t="s">
        <v>68</v>
      </c>
      <c r="F23" s="55" t="s">
        <v>69</v>
      </c>
    </row>
    <row r="24" spans="2:6" ht="30.75" hidden="1" thickBot="1" x14ac:dyDescent="0.3">
      <c r="B24" s="31">
        <v>5</v>
      </c>
      <c r="C24" s="44" t="s">
        <v>1274</v>
      </c>
      <c r="D24" s="10" t="s">
        <v>70</v>
      </c>
      <c r="E24" s="12" t="s">
        <v>71</v>
      </c>
      <c r="F24" s="56" t="s">
        <v>72</v>
      </c>
    </row>
    <row r="25" spans="2:6" hidden="1" x14ac:dyDescent="0.25">
      <c r="B25" s="28">
        <v>6</v>
      </c>
      <c r="C25" s="34" t="s">
        <v>1275</v>
      </c>
      <c r="D25" s="7" t="s">
        <v>73</v>
      </c>
      <c r="E25" s="11" t="s">
        <v>74</v>
      </c>
      <c r="F25" s="57" t="s">
        <v>75</v>
      </c>
    </row>
    <row r="26" spans="2:6" ht="30" hidden="1" x14ac:dyDescent="0.25">
      <c r="B26" s="24">
        <v>6</v>
      </c>
      <c r="C26" s="25" t="s">
        <v>1275</v>
      </c>
      <c r="D26" s="2" t="s">
        <v>76</v>
      </c>
      <c r="E26" s="6" t="s">
        <v>77</v>
      </c>
      <c r="F26" s="55" t="s">
        <v>78</v>
      </c>
    </row>
    <row r="27" spans="2:6" ht="30" hidden="1" x14ac:dyDescent="0.25">
      <c r="B27" s="24">
        <v>6</v>
      </c>
      <c r="C27" s="25" t="s">
        <v>1275</v>
      </c>
      <c r="D27" s="2" t="s">
        <v>79</v>
      </c>
      <c r="E27" s="6" t="s">
        <v>80</v>
      </c>
      <c r="F27" s="55" t="s">
        <v>81</v>
      </c>
    </row>
    <row r="28" spans="2:6" ht="30" hidden="1" x14ac:dyDescent="0.25">
      <c r="B28" s="24">
        <v>6</v>
      </c>
      <c r="C28" s="25" t="s">
        <v>1275</v>
      </c>
      <c r="D28" s="2" t="s">
        <v>41</v>
      </c>
      <c r="E28" s="6" t="s">
        <v>82</v>
      </c>
      <c r="F28" s="55" t="s">
        <v>43</v>
      </c>
    </row>
    <row r="29" spans="2:6" ht="30" hidden="1" x14ac:dyDescent="0.25">
      <c r="B29" s="24">
        <v>6</v>
      </c>
      <c r="C29" s="25" t="s">
        <v>1275</v>
      </c>
      <c r="D29" s="2" t="s">
        <v>83</v>
      </c>
      <c r="E29" s="6" t="s">
        <v>84</v>
      </c>
      <c r="F29" s="55" t="s">
        <v>85</v>
      </c>
    </row>
    <row r="30" spans="2:6" ht="30" hidden="1" x14ac:dyDescent="0.25">
      <c r="B30" s="24">
        <v>6</v>
      </c>
      <c r="C30" s="25" t="s">
        <v>1275</v>
      </c>
      <c r="D30" s="2" t="s">
        <v>86</v>
      </c>
      <c r="E30" s="6" t="s">
        <v>87</v>
      </c>
      <c r="F30" s="55" t="s">
        <v>88</v>
      </c>
    </row>
    <row r="31" spans="2:6" ht="30" hidden="1" x14ac:dyDescent="0.25">
      <c r="B31" s="24">
        <v>6</v>
      </c>
      <c r="C31" s="25" t="s">
        <v>1275</v>
      </c>
      <c r="D31" s="2" t="s">
        <v>89</v>
      </c>
      <c r="E31" s="6" t="s">
        <v>90</v>
      </c>
      <c r="F31" s="55" t="s">
        <v>91</v>
      </c>
    </row>
    <row r="32" spans="2:6" ht="30" hidden="1" x14ac:dyDescent="0.25">
      <c r="B32" s="24">
        <v>6</v>
      </c>
      <c r="C32" s="25" t="s">
        <v>1275</v>
      </c>
      <c r="D32" s="2" t="s">
        <v>92</v>
      </c>
      <c r="E32" s="6" t="s">
        <v>93</v>
      </c>
      <c r="F32" s="55" t="s">
        <v>94</v>
      </c>
    </row>
    <row r="33" spans="2:6" hidden="1" x14ac:dyDescent="0.25">
      <c r="B33" s="24">
        <v>6</v>
      </c>
      <c r="C33" s="25" t="s">
        <v>1275</v>
      </c>
      <c r="D33" s="2" t="s">
        <v>95</v>
      </c>
      <c r="E33" s="6" t="s">
        <v>96</v>
      </c>
      <c r="F33" s="55" t="s">
        <v>97</v>
      </c>
    </row>
    <row r="34" spans="2:6" ht="30.75" hidden="1" thickBot="1" x14ac:dyDescent="0.3">
      <c r="B34" s="26">
        <v>6</v>
      </c>
      <c r="C34" s="27" t="s">
        <v>1275</v>
      </c>
      <c r="D34" s="10" t="s">
        <v>98</v>
      </c>
      <c r="E34" s="12" t="s">
        <v>99</v>
      </c>
      <c r="F34" s="56" t="s">
        <v>100</v>
      </c>
    </row>
    <row r="35" spans="2:6" ht="30" hidden="1" x14ac:dyDescent="0.25">
      <c r="B35" s="29">
        <v>12</v>
      </c>
      <c r="C35" s="42" t="s">
        <v>1276</v>
      </c>
      <c r="D35" s="7" t="s">
        <v>102</v>
      </c>
      <c r="E35" s="11" t="s">
        <v>103</v>
      </c>
      <c r="F35" s="57" t="s">
        <v>104</v>
      </c>
    </row>
    <row r="36" spans="2:6" ht="30" hidden="1" x14ac:dyDescent="0.25">
      <c r="B36" s="30">
        <v>12</v>
      </c>
      <c r="C36" s="43" t="s">
        <v>1276</v>
      </c>
      <c r="D36" s="2" t="s">
        <v>105</v>
      </c>
      <c r="E36" s="6" t="s">
        <v>106</v>
      </c>
      <c r="F36" s="55" t="s">
        <v>107</v>
      </c>
    </row>
    <row r="37" spans="2:6" ht="30" hidden="1" x14ac:dyDescent="0.25">
      <c r="B37" s="30">
        <v>12</v>
      </c>
      <c r="C37" s="43" t="s">
        <v>1276</v>
      </c>
      <c r="D37" s="2" t="s">
        <v>108</v>
      </c>
      <c r="E37" s="6" t="s">
        <v>109</v>
      </c>
      <c r="F37" s="55" t="s">
        <v>110</v>
      </c>
    </row>
    <row r="38" spans="2:6" hidden="1" x14ac:dyDescent="0.25">
      <c r="B38" s="30">
        <v>12</v>
      </c>
      <c r="C38" s="43" t="s">
        <v>1276</v>
      </c>
      <c r="D38" s="2" t="s">
        <v>111</v>
      </c>
      <c r="E38" s="6" t="s">
        <v>112</v>
      </c>
      <c r="F38" s="55" t="s">
        <v>113</v>
      </c>
    </row>
    <row r="39" spans="2:6" hidden="1" x14ac:dyDescent="0.25">
      <c r="B39" s="30">
        <v>12</v>
      </c>
      <c r="C39" s="43" t="s">
        <v>1276</v>
      </c>
      <c r="D39" s="2" t="s">
        <v>114</v>
      </c>
      <c r="E39" s="6" t="s">
        <v>115</v>
      </c>
      <c r="F39" s="2" t="s">
        <v>116</v>
      </c>
    </row>
    <row r="40" spans="2:6" ht="30" hidden="1" x14ac:dyDescent="0.25">
      <c r="B40" s="30">
        <v>12</v>
      </c>
      <c r="C40" s="43" t="s">
        <v>1276</v>
      </c>
      <c r="D40" s="2" t="s">
        <v>117</v>
      </c>
      <c r="E40" s="6" t="s">
        <v>118</v>
      </c>
      <c r="F40" s="55" t="s">
        <v>119</v>
      </c>
    </row>
    <row r="41" spans="2:6" ht="30" hidden="1" x14ac:dyDescent="0.25">
      <c r="B41" s="30">
        <v>12</v>
      </c>
      <c r="C41" s="43" t="s">
        <v>1276</v>
      </c>
      <c r="D41" s="2" t="s">
        <v>120</v>
      </c>
      <c r="E41" s="6" t="s">
        <v>121</v>
      </c>
      <c r="F41" s="55" t="s">
        <v>122</v>
      </c>
    </row>
    <row r="42" spans="2:6" ht="30" hidden="1" x14ac:dyDescent="0.25">
      <c r="B42" s="30">
        <v>12</v>
      </c>
      <c r="C42" s="43" t="s">
        <v>1276</v>
      </c>
      <c r="D42" s="2" t="s">
        <v>123</v>
      </c>
      <c r="E42" s="6" t="s">
        <v>124</v>
      </c>
      <c r="F42" s="55" t="s">
        <v>125</v>
      </c>
    </row>
    <row r="43" spans="2:6" ht="30" hidden="1" x14ac:dyDescent="0.25">
      <c r="B43" s="30">
        <v>12</v>
      </c>
      <c r="C43" s="43" t="s">
        <v>1276</v>
      </c>
      <c r="D43" s="2" t="s">
        <v>126</v>
      </c>
      <c r="E43" s="6" t="s">
        <v>127</v>
      </c>
      <c r="F43" s="55" t="s">
        <v>128</v>
      </c>
    </row>
    <row r="44" spans="2:6" hidden="1" x14ac:dyDescent="0.25">
      <c r="B44" s="30">
        <v>12</v>
      </c>
      <c r="C44" s="43" t="s">
        <v>1276</v>
      </c>
      <c r="D44" s="2" t="s">
        <v>129</v>
      </c>
      <c r="E44" s="6" t="s">
        <v>130</v>
      </c>
      <c r="F44" s="55" t="s">
        <v>131</v>
      </c>
    </row>
    <row r="45" spans="2:6" ht="30.75" hidden="1" thickBot="1" x14ac:dyDescent="0.3">
      <c r="B45" s="31">
        <v>12</v>
      </c>
      <c r="C45" s="44" t="s">
        <v>1276</v>
      </c>
      <c r="D45" s="10" t="s">
        <v>132</v>
      </c>
      <c r="E45" s="12" t="s">
        <v>133</v>
      </c>
      <c r="F45" s="56" t="s">
        <v>134</v>
      </c>
    </row>
    <row r="46" spans="2:6" ht="30" hidden="1" x14ac:dyDescent="0.25">
      <c r="B46" s="29">
        <v>13</v>
      </c>
      <c r="C46" s="42" t="s">
        <v>1277</v>
      </c>
      <c r="D46" s="7" t="s">
        <v>136</v>
      </c>
      <c r="E46" s="11" t="s">
        <v>137</v>
      </c>
      <c r="F46" s="57" t="s">
        <v>138</v>
      </c>
    </row>
    <row r="47" spans="2:6" hidden="1" x14ac:dyDescent="0.25">
      <c r="B47" s="30">
        <v>13</v>
      </c>
      <c r="C47" s="43" t="s">
        <v>1277</v>
      </c>
      <c r="D47" s="2" t="s">
        <v>139</v>
      </c>
      <c r="E47" s="6" t="s">
        <v>140</v>
      </c>
      <c r="F47" s="55" t="s">
        <v>141</v>
      </c>
    </row>
    <row r="48" spans="2:6" ht="30" hidden="1" x14ac:dyDescent="0.25">
      <c r="B48" s="30">
        <v>13</v>
      </c>
      <c r="C48" s="43" t="s">
        <v>1277</v>
      </c>
      <c r="D48" s="2" t="s">
        <v>142</v>
      </c>
      <c r="E48" s="6" t="s">
        <v>143</v>
      </c>
      <c r="F48" s="55" t="s">
        <v>144</v>
      </c>
    </row>
    <row r="49" spans="2:6" ht="30" hidden="1" x14ac:dyDescent="0.25">
      <c r="B49" s="30">
        <v>13</v>
      </c>
      <c r="C49" s="43" t="s">
        <v>1277</v>
      </c>
      <c r="D49" s="2" t="s">
        <v>145</v>
      </c>
      <c r="E49" s="6" t="s">
        <v>146</v>
      </c>
      <c r="F49" s="55" t="s">
        <v>147</v>
      </c>
    </row>
    <row r="50" spans="2:6" hidden="1" x14ac:dyDescent="0.25">
      <c r="B50" s="30">
        <v>13</v>
      </c>
      <c r="C50" s="43" t="s">
        <v>1277</v>
      </c>
      <c r="D50" s="2" t="s">
        <v>148</v>
      </c>
      <c r="E50" s="6" t="s">
        <v>149</v>
      </c>
      <c r="F50" s="55" t="s">
        <v>150</v>
      </c>
    </row>
    <row r="51" spans="2:6" ht="30" hidden="1" x14ac:dyDescent="0.25">
      <c r="B51" s="30">
        <v>13</v>
      </c>
      <c r="C51" s="43" t="s">
        <v>1277</v>
      </c>
      <c r="D51" s="2" t="s">
        <v>151</v>
      </c>
      <c r="E51" s="6" t="s">
        <v>152</v>
      </c>
      <c r="F51" s="55" t="s">
        <v>153</v>
      </c>
    </row>
    <row r="52" spans="2:6" hidden="1" x14ac:dyDescent="0.25">
      <c r="B52" s="30">
        <v>13</v>
      </c>
      <c r="C52" s="43" t="s">
        <v>1277</v>
      </c>
      <c r="D52" s="2" t="s">
        <v>154</v>
      </c>
      <c r="E52" s="6" t="s">
        <v>155</v>
      </c>
      <c r="F52" s="55" t="s">
        <v>156</v>
      </c>
    </row>
    <row r="53" spans="2:6" ht="30" hidden="1" x14ac:dyDescent="0.25">
      <c r="B53" s="30">
        <v>13</v>
      </c>
      <c r="C53" s="43" t="s">
        <v>1277</v>
      </c>
      <c r="D53" s="2" t="s">
        <v>157</v>
      </c>
      <c r="E53" s="6" t="s">
        <v>158</v>
      </c>
      <c r="F53" s="55" t="s">
        <v>159</v>
      </c>
    </row>
    <row r="54" spans="2:6" ht="30" hidden="1" x14ac:dyDescent="0.25">
      <c r="B54" s="30">
        <v>13</v>
      </c>
      <c r="C54" s="43" t="s">
        <v>1277</v>
      </c>
      <c r="D54" s="2" t="s">
        <v>160</v>
      </c>
      <c r="E54" s="6" t="s">
        <v>161</v>
      </c>
      <c r="F54" s="55" t="s">
        <v>162</v>
      </c>
    </row>
    <row r="55" spans="2:6" hidden="1" x14ac:dyDescent="0.25">
      <c r="B55" s="30">
        <v>13</v>
      </c>
      <c r="C55" s="43" t="s">
        <v>1277</v>
      </c>
      <c r="D55" s="2" t="s">
        <v>163</v>
      </c>
      <c r="E55" s="6" t="s">
        <v>164</v>
      </c>
      <c r="F55" s="55" t="s">
        <v>165</v>
      </c>
    </row>
    <row r="56" spans="2:6" hidden="1" x14ac:dyDescent="0.25">
      <c r="B56" s="30">
        <v>13</v>
      </c>
      <c r="C56" s="43" t="s">
        <v>1277</v>
      </c>
      <c r="D56" s="2" t="s">
        <v>166</v>
      </c>
      <c r="E56" s="6" t="s">
        <v>167</v>
      </c>
      <c r="F56" s="55" t="s">
        <v>168</v>
      </c>
    </row>
    <row r="57" spans="2:6" ht="30" hidden="1" x14ac:dyDescent="0.25">
      <c r="B57" s="30">
        <v>13</v>
      </c>
      <c r="C57" s="43" t="s">
        <v>1277</v>
      </c>
      <c r="D57" s="2" t="s">
        <v>169</v>
      </c>
      <c r="E57" s="6" t="s">
        <v>170</v>
      </c>
      <c r="F57" s="55" t="s">
        <v>171</v>
      </c>
    </row>
    <row r="58" spans="2:6" ht="30" hidden="1" x14ac:dyDescent="0.25">
      <c r="B58" s="30">
        <v>13</v>
      </c>
      <c r="C58" s="43" t="s">
        <v>1277</v>
      </c>
      <c r="D58" s="2" t="s">
        <v>172</v>
      </c>
      <c r="E58" s="6" t="s">
        <v>173</v>
      </c>
      <c r="F58" s="55" t="s">
        <v>174</v>
      </c>
    </row>
    <row r="59" spans="2:6" ht="30" hidden="1" x14ac:dyDescent="0.25">
      <c r="B59" s="30">
        <v>13</v>
      </c>
      <c r="C59" s="43" t="s">
        <v>1277</v>
      </c>
      <c r="D59" s="2" t="s">
        <v>175</v>
      </c>
      <c r="E59" s="6" t="s">
        <v>176</v>
      </c>
      <c r="F59" s="55" t="s">
        <v>177</v>
      </c>
    </row>
    <row r="60" spans="2:6" ht="30" hidden="1" x14ac:dyDescent="0.25">
      <c r="B60" s="30">
        <v>13</v>
      </c>
      <c r="C60" s="43" t="s">
        <v>1277</v>
      </c>
      <c r="D60" s="2" t="s">
        <v>178</v>
      </c>
      <c r="E60" s="6" t="s">
        <v>179</v>
      </c>
      <c r="F60" s="55" t="s">
        <v>180</v>
      </c>
    </row>
    <row r="61" spans="2:6" ht="30" hidden="1" x14ac:dyDescent="0.25">
      <c r="B61" s="30">
        <v>13</v>
      </c>
      <c r="C61" s="43" t="s">
        <v>1277</v>
      </c>
      <c r="D61" s="2" t="s">
        <v>181</v>
      </c>
      <c r="E61" s="6" t="s">
        <v>182</v>
      </c>
      <c r="F61" s="55" t="s">
        <v>183</v>
      </c>
    </row>
    <row r="62" spans="2:6" ht="30" hidden="1" x14ac:dyDescent="0.25">
      <c r="B62" s="30">
        <v>13</v>
      </c>
      <c r="C62" s="43" t="s">
        <v>1277</v>
      </c>
      <c r="D62" s="2" t="s">
        <v>184</v>
      </c>
      <c r="E62" s="6" t="s">
        <v>185</v>
      </c>
      <c r="F62" s="55" t="s">
        <v>186</v>
      </c>
    </row>
    <row r="63" spans="2:6" hidden="1" x14ac:dyDescent="0.25">
      <c r="B63" s="30">
        <v>13</v>
      </c>
      <c r="C63" s="43" t="s">
        <v>1277</v>
      </c>
      <c r="D63" s="2" t="s">
        <v>187</v>
      </c>
      <c r="E63" s="6" t="s">
        <v>188</v>
      </c>
      <c r="F63" s="55" t="s">
        <v>189</v>
      </c>
    </row>
    <row r="64" spans="2:6" ht="30" hidden="1" x14ac:dyDescent="0.25">
      <c r="B64" s="30">
        <v>13</v>
      </c>
      <c r="C64" s="43" t="s">
        <v>1277</v>
      </c>
      <c r="D64" s="2" t="s">
        <v>190</v>
      </c>
      <c r="E64" s="6" t="s">
        <v>191</v>
      </c>
      <c r="F64" s="55" t="s">
        <v>192</v>
      </c>
    </row>
    <row r="65" spans="2:6" ht="45" hidden="1" x14ac:dyDescent="0.25">
      <c r="B65" s="30">
        <v>13</v>
      </c>
      <c r="C65" s="43" t="s">
        <v>1277</v>
      </c>
      <c r="D65" s="2" t="s">
        <v>193</v>
      </c>
      <c r="E65" s="6" t="s">
        <v>194</v>
      </c>
      <c r="F65" s="55" t="s">
        <v>195</v>
      </c>
    </row>
    <row r="66" spans="2:6" ht="30" hidden="1" x14ac:dyDescent="0.25">
      <c r="B66" s="30">
        <v>13</v>
      </c>
      <c r="C66" s="43" t="s">
        <v>1277</v>
      </c>
      <c r="D66" s="2" t="s">
        <v>196</v>
      </c>
      <c r="E66" s="6" t="s">
        <v>197</v>
      </c>
      <c r="F66" s="55" t="s">
        <v>198</v>
      </c>
    </row>
    <row r="67" spans="2:6" ht="45" hidden="1" x14ac:dyDescent="0.25">
      <c r="B67" s="30">
        <v>13</v>
      </c>
      <c r="C67" s="43" t="s">
        <v>1277</v>
      </c>
      <c r="D67" s="2" t="s">
        <v>199</v>
      </c>
      <c r="E67" s="6" t="s">
        <v>200</v>
      </c>
      <c r="F67" s="55" t="s">
        <v>201</v>
      </c>
    </row>
    <row r="68" spans="2:6" ht="60" hidden="1" x14ac:dyDescent="0.25">
      <c r="B68" s="30">
        <v>13</v>
      </c>
      <c r="C68" s="43" t="s">
        <v>1277</v>
      </c>
      <c r="D68" s="2" t="s">
        <v>202</v>
      </c>
      <c r="E68" s="6" t="s">
        <v>203</v>
      </c>
      <c r="F68" s="55" t="s">
        <v>204</v>
      </c>
    </row>
    <row r="69" spans="2:6" ht="30" hidden="1" x14ac:dyDescent="0.25">
      <c r="B69" s="30">
        <v>13</v>
      </c>
      <c r="C69" s="43" t="s">
        <v>1277</v>
      </c>
      <c r="D69" s="2" t="s">
        <v>205</v>
      </c>
      <c r="E69" s="6" t="s">
        <v>206</v>
      </c>
      <c r="F69" s="55" t="s">
        <v>207</v>
      </c>
    </row>
    <row r="70" spans="2:6" ht="45" hidden="1" x14ac:dyDescent="0.25">
      <c r="B70" s="30">
        <v>13</v>
      </c>
      <c r="C70" s="43" t="s">
        <v>1277</v>
      </c>
      <c r="D70" s="2" t="s">
        <v>208</v>
      </c>
      <c r="E70" s="6" t="s">
        <v>209</v>
      </c>
      <c r="F70" s="55" t="s">
        <v>210</v>
      </c>
    </row>
    <row r="71" spans="2:6" ht="15.75" hidden="1" thickBot="1" x14ac:dyDescent="0.3">
      <c r="B71" s="31">
        <v>13</v>
      </c>
      <c r="C71" s="44" t="s">
        <v>1277</v>
      </c>
      <c r="D71" s="10" t="s">
        <v>211</v>
      </c>
      <c r="E71" s="12" t="s">
        <v>212</v>
      </c>
      <c r="F71" s="56" t="s">
        <v>213</v>
      </c>
    </row>
    <row r="72" spans="2:6" ht="30" hidden="1" x14ac:dyDescent="0.25">
      <c r="B72" s="29">
        <v>14</v>
      </c>
      <c r="C72" s="42" t="s">
        <v>1278</v>
      </c>
      <c r="D72" s="7" t="s">
        <v>214</v>
      </c>
      <c r="E72" s="11" t="s">
        <v>215</v>
      </c>
      <c r="F72" s="57" t="s">
        <v>216</v>
      </c>
    </row>
    <row r="73" spans="2:6" hidden="1" x14ac:dyDescent="0.25">
      <c r="B73" s="30">
        <v>14</v>
      </c>
      <c r="C73" s="43" t="s">
        <v>1278</v>
      </c>
      <c r="D73" s="2" t="s">
        <v>217</v>
      </c>
      <c r="E73" s="6" t="s">
        <v>218</v>
      </c>
      <c r="F73" s="55" t="s">
        <v>219</v>
      </c>
    </row>
    <row r="74" spans="2:6" ht="30" hidden="1" x14ac:dyDescent="0.25">
      <c r="B74" s="30">
        <v>14</v>
      </c>
      <c r="C74" s="43" t="s">
        <v>1278</v>
      </c>
      <c r="D74" s="2" t="s">
        <v>220</v>
      </c>
      <c r="E74" s="6" t="s">
        <v>221</v>
      </c>
      <c r="F74" s="55" t="s">
        <v>222</v>
      </c>
    </row>
    <row r="75" spans="2:6" ht="30" hidden="1" x14ac:dyDescent="0.25">
      <c r="B75" s="30">
        <v>14</v>
      </c>
      <c r="C75" s="43" t="s">
        <v>1278</v>
      </c>
      <c r="D75" s="2" t="s">
        <v>223</v>
      </c>
      <c r="E75" s="6" t="s">
        <v>224</v>
      </c>
      <c r="F75" s="55" t="s">
        <v>225</v>
      </c>
    </row>
    <row r="76" spans="2:6" ht="45" hidden="1" x14ac:dyDescent="0.25">
      <c r="B76" s="30">
        <v>14</v>
      </c>
      <c r="C76" s="43" t="s">
        <v>1278</v>
      </c>
      <c r="D76" s="2" t="s">
        <v>226</v>
      </c>
      <c r="E76" s="6" t="s">
        <v>227</v>
      </c>
      <c r="F76" s="55" t="s">
        <v>228</v>
      </c>
    </row>
    <row r="77" spans="2:6" ht="45" hidden="1" x14ac:dyDescent="0.25">
      <c r="B77" s="30">
        <v>14</v>
      </c>
      <c r="C77" s="43" t="s">
        <v>1278</v>
      </c>
      <c r="D77" s="2" t="s">
        <v>229</v>
      </c>
      <c r="E77" s="6" t="s">
        <v>227</v>
      </c>
      <c r="F77" s="55" t="s">
        <v>230</v>
      </c>
    </row>
    <row r="78" spans="2:6" hidden="1" x14ac:dyDescent="0.25">
      <c r="B78" s="30">
        <v>14</v>
      </c>
      <c r="C78" s="43" t="s">
        <v>1278</v>
      </c>
      <c r="D78" s="2" t="s">
        <v>231</v>
      </c>
      <c r="E78" s="6" t="s">
        <v>232</v>
      </c>
      <c r="F78" s="2" t="s">
        <v>116</v>
      </c>
    </row>
    <row r="79" spans="2:6" ht="30" hidden="1" x14ac:dyDescent="0.25">
      <c r="B79" s="30">
        <v>14</v>
      </c>
      <c r="C79" s="43" t="s">
        <v>1278</v>
      </c>
      <c r="D79" s="2" t="s">
        <v>233</v>
      </c>
      <c r="E79" s="6" t="s">
        <v>234</v>
      </c>
      <c r="F79" s="55" t="s">
        <v>235</v>
      </c>
    </row>
    <row r="80" spans="2:6" ht="30" hidden="1" x14ac:dyDescent="0.25">
      <c r="B80" s="30">
        <v>14</v>
      </c>
      <c r="C80" s="43" t="s">
        <v>1278</v>
      </c>
      <c r="D80" s="2" t="s">
        <v>236</v>
      </c>
      <c r="E80" s="6" t="s">
        <v>237</v>
      </c>
      <c r="F80" s="55" t="s">
        <v>238</v>
      </c>
    </row>
    <row r="81" spans="2:6" ht="30" hidden="1" x14ac:dyDescent="0.25">
      <c r="B81" s="30">
        <v>14</v>
      </c>
      <c r="C81" s="43" t="s">
        <v>1278</v>
      </c>
      <c r="D81" s="2" t="s">
        <v>239</v>
      </c>
      <c r="E81" s="6" t="s">
        <v>240</v>
      </c>
      <c r="F81" s="55" t="s">
        <v>241</v>
      </c>
    </row>
    <row r="82" spans="2:6" hidden="1" x14ac:dyDescent="0.25">
      <c r="B82" s="30">
        <v>14</v>
      </c>
      <c r="C82" s="43" t="s">
        <v>1278</v>
      </c>
      <c r="D82" s="2" t="s">
        <v>242</v>
      </c>
      <c r="E82" s="6" t="s">
        <v>243</v>
      </c>
      <c r="F82" s="2" t="s">
        <v>116</v>
      </c>
    </row>
    <row r="83" spans="2:6" hidden="1" x14ac:dyDescent="0.25">
      <c r="B83" s="30">
        <v>14</v>
      </c>
      <c r="C83" s="43" t="s">
        <v>1278</v>
      </c>
      <c r="D83" s="2" t="s">
        <v>244</v>
      </c>
      <c r="E83" s="6" t="s">
        <v>245</v>
      </c>
      <c r="F83" s="2" t="s">
        <v>116</v>
      </c>
    </row>
    <row r="84" spans="2:6" hidden="1" x14ac:dyDescent="0.25">
      <c r="B84" s="30">
        <v>14</v>
      </c>
      <c r="C84" s="43" t="s">
        <v>1278</v>
      </c>
      <c r="D84" s="2" t="s">
        <v>246</v>
      </c>
      <c r="E84" s="6" t="s">
        <v>247</v>
      </c>
      <c r="F84" s="2" t="s">
        <v>116</v>
      </c>
    </row>
    <row r="85" spans="2:6" ht="30.75" hidden="1" thickBot="1" x14ac:dyDescent="0.3">
      <c r="B85" s="31">
        <v>14</v>
      </c>
      <c r="C85" s="44" t="s">
        <v>1278</v>
      </c>
      <c r="D85" s="10" t="s">
        <v>248</v>
      </c>
      <c r="E85" s="12" t="s">
        <v>249</v>
      </c>
      <c r="F85" s="10" t="s">
        <v>116</v>
      </c>
    </row>
    <row r="86" spans="2:6" hidden="1" x14ac:dyDescent="0.25">
      <c r="B86" s="28">
        <v>22</v>
      </c>
      <c r="C86" s="34" t="s">
        <v>1279</v>
      </c>
      <c r="D86" s="7" t="s">
        <v>166</v>
      </c>
      <c r="E86" s="11" t="s">
        <v>167</v>
      </c>
      <c r="F86" s="57" t="s">
        <v>168</v>
      </c>
    </row>
    <row r="87" spans="2:6" ht="30" hidden="1" x14ac:dyDescent="0.25">
      <c r="B87" s="24">
        <v>22</v>
      </c>
      <c r="C87" s="25" t="s">
        <v>1279</v>
      </c>
      <c r="D87" s="2" t="s">
        <v>251</v>
      </c>
      <c r="E87" s="6" t="s">
        <v>252</v>
      </c>
      <c r="F87" s="55" t="s">
        <v>253</v>
      </c>
    </row>
    <row r="88" spans="2:6" ht="30" hidden="1" x14ac:dyDescent="0.25">
      <c r="B88" s="24">
        <v>22</v>
      </c>
      <c r="C88" s="25" t="s">
        <v>1279</v>
      </c>
      <c r="D88" s="2" t="s">
        <v>254</v>
      </c>
      <c r="E88" s="6" t="s">
        <v>255</v>
      </c>
      <c r="F88" s="55" t="s">
        <v>256</v>
      </c>
    </row>
    <row r="89" spans="2:6" ht="30" hidden="1" x14ac:dyDescent="0.25">
      <c r="B89" s="24">
        <v>22</v>
      </c>
      <c r="C89" s="25" t="s">
        <v>1279</v>
      </c>
      <c r="D89" s="2" t="s">
        <v>257</v>
      </c>
      <c r="E89" s="6" t="s">
        <v>258</v>
      </c>
      <c r="F89" s="55" t="s">
        <v>259</v>
      </c>
    </row>
    <row r="90" spans="2:6" ht="30" hidden="1" x14ac:dyDescent="0.25">
      <c r="B90" s="24">
        <v>22</v>
      </c>
      <c r="C90" s="25" t="s">
        <v>1279</v>
      </c>
      <c r="D90" s="2" t="s">
        <v>260</v>
      </c>
      <c r="E90" s="6" t="s">
        <v>261</v>
      </c>
      <c r="F90" s="55" t="s">
        <v>262</v>
      </c>
    </row>
    <row r="91" spans="2:6" ht="30" hidden="1" x14ac:dyDescent="0.25">
      <c r="B91" s="24">
        <v>22</v>
      </c>
      <c r="C91" s="25" t="s">
        <v>1279</v>
      </c>
      <c r="D91" s="2" t="s">
        <v>263</v>
      </c>
      <c r="E91" s="6" t="s">
        <v>264</v>
      </c>
      <c r="F91" s="55" t="s">
        <v>265</v>
      </c>
    </row>
    <row r="92" spans="2:6" ht="30" hidden="1" x14ac:dyDescent="0.25">
      <c r="B92" s="24">
        <v>22</v>
      </c>
      <c r="C92" s="25" t="s">
        <v>1279</v>
      </c>
      <c r="D92" s="2" t="s">
        <v>266</v>
      </c>
      <c r="E92" s="6" t="s">
        <v>267</v>
      </c>
      <c r="F92" s="55" t="s">
        <v>268</v>
      </c>
    </row>
    <row r="93" spans="2:6" ht="30" hidden="1" x14ac:dyDescent="0.25">
      <c r="B93" s="24">
        <v>22</v>
      </c>
      <c r="C93" s="25" t="s">
        <v>1279</v>
      </c>
      <c r="D93" s="2" t="s">
        <v>269</v>
      </c>
      <c r="E93" s="6" t="s">
        <v>270</v>
      </c>
      <c r="F93" s="55" t="s">
        <v>271</v>
      </c>
    </row>
    <row r="94" spans="2:6" hidden="1" x14ac:dyDescent="0.25">
      <c r="B94" s="24">
        <v>22</v>
      </c>
      <c r="C94" s="25" t="s">
        <v>1279</v>
      </c>
      <c r="D94" s="2" t="s">
        <v>272</v>
      </c>
      <c r="E94" s="6" t="s">
        <v>273</v>
      </c>
      <c r="F94" s="55" t="s">
        <v>274</v>
      </c>
    </row>
    <row r="95" spans="2:6" ht="29.45" hidden="1" customHeight="1" x14ac:dyDescent="0.25">
      <c r="B95" s="24">
        <v>22</v>
      </c>
      <c r="C95" s="25" t="s">
        <v>1279</v>
      </c>
      <c r="D95" s="2" t="s">
        <v>275</v>
      </c>
      <c r="E95" s="6" t="s">
        <v>276</v>
      </c>
      <c r="F95" s="55" t="s">
        <v>277</v>
      </c>
    </row>
    <row r="96" spans="2:6" ht="29.45" hidden="1" customHeight="1" thickBot="1" x14ac:dyDescent="0.3">
      <c r="B96" s="26">
        <v>22</v>
      </c>
      <c r="C96" s="27" t="s">
        <v>1279</v>
      </c>
      <c r="D96" s="10" t="s">
        <v>278</v>
      </c>
      <c r="E96" s="12" t="s">
        <v>279</v>
      </c>
      <c r="F96" s="56" t="s">
        <v>280</v>
      </c>
    </row>
    <row r="97" spans="2:6" ht="29.45" hidden="1" customHeight="1" thickTop="1" x14ac:dyDescent="0.25">
      <c r="B97" s="28">
        <v>23</v>
      </c>
      <c r="C97" s="34" t="s">
        <v>1280</v>
      </c>
      <c r="D97" s="7" t="s">
        <v>282</v>
      </c>
      <c r="E97" s="11" t="s">
        <v>283</v>
      </c>
      <c r="F97" s="57" t="s">
        <v>284</v>
      </c>
    </row>
    <row r="98" spans="2:6" ht="30" hidden="1" x14ac:dyDescent="0.25">
      <c r="B98" s="24">
        <v>23</v>
      </c>
      <c r="C98" s="25" t="s">
        <v>1280</v>
      </c>
      <c r="D98" s="2" t="s">
        <v>275</v>
      </c>
      <c r="E98" s="6" t="s">
        <v>276</v>
      </c>
      <c r="F98" s="55" t="s">
        <v>277</v>
      </c>
    </row>
    <row r="99" spans="2:6" hidden="1" x14ac:dyDescent="0.25">
      <c r="B99" s="24">
        <v>23</v>
      </c>
      <c r="C99" s="25" t="s">
        <v>1280</v>
      </c>
      <c r="D99" s="2" t="s">
        <v>285</v>
      </c>
      <c r="E99" s="6" t="s">
        <v>286</v>
      </c>
      <c r="F99" s="55" t="s">
        <v>287</v>
      </c>
    </row>
    <row r="100" spans="2:6" ht="30" hidden="1" x14ac:dyDescent="0.25">
      <c r="B100" s="24">
        <v>23</v>
      </c>
      <c r="C100" s="25" t="s">
        <v>1280</v>
      </c>
      <c r="D100" s="2" t="s">
        <v>288</v>
      </c>
      <c r="E100" s="6" t="s">
        <v>289</v>
      </c>
      <c r="F100" s="55" t="s">
        <v>290</v>
      </c>
    </row>
    <row r="101" spans="2:6" ht="30" hidden="1" customHeight="1" x14ac:dyDescent="0.25">
      <c r="B101" s="24">
        <v>23</v>
      </c>
      <c r="C101" s="25" t="s">
        <v>1280</v>
      </c>
      <c r="D101" s="2" t="s">
        <v>291</v>
      </c>
      <c r="E101" s="6" t="s">
        <v>292</v>
      </c>
      <c r="F101" s="55" t="s">
        <v>293</v>
      </c>
    </row>
    <row r="102" spans="2:6" ht="30" hidden="1" x14ac:dyDescent="0.25">
      <c r="B102" s="24">
        <v>23</v>
      </c>
      <c r="C102" s="25" t="s">
        <v>1280</v>
      </c>
      <c r="D102" s="2" t="s">
        <v>294</v>
      </c>
      <c r="E102" s="6" t="s">
        <v>295</v>
      </c>
      <c r="F102" s="55" t="s">
        <v>296</v>
      </c>
    </row>
    <row r="103" spans="2:6" hidden="1" x14ac:dyDescent="0.25">
      <c r="B103" s="24">
        <v>23</v>
      </c>
      <c r="C103" s="25" t="s">
        <v>1280</v>
      </c>
      <c r="D103" s="2" t="s">
        <v>297</v>
      </c>
      <c r="E103" s="6" t="s">
        <v>298</v>
      </c>
      <c r="F103" s="55" t="s">
        <v>299</v>
      </c>
    </row>
    <row r="104" spans="2:6" ht="30" hidden="1" x14ac:dyDescent="0.25">
      <c r="B104" s="24">
        <v>23</v>
      </c>
      <c r="C104" s="25" t="s">
        <v>1280</v>
      </c>
      <c r="D104" s="2" t="s">
        <v>300</v>
      </c>
      <c r="E104" s="6" t="s">
        <v>301</v>
      </c>
      <c r="F104" s="55" t="s">
        <v>302</v>
      </c>
    </row>
    <row r="105" spans="2:6" ht="30.75" hidden="1" thickBot="1" x14ac:dyDescent="0.3">
      <c r="B105" s="26">
        <v>23</v>
      </c>
      <c r="C105" s="27" t="s">
        <v>1280</v>
      </c>
      <c r="D105" s="10" t="s">
        <v>303</v>
      </c>
      <c r="E105" s="12" t="s">
        <v>304</v>
      </c>
      <c r="F105" s="56" t="s">
        <v>305</v>
      </c>
    </row>
    <row r="106" spans="2:6" ht="30" hidden="1" x14ac:dyDescent="0.25">
      <c r="B106" s="29">
        <v>24</v>
      </c>
      <c r="C106" s="42" t="s">
        <v>1281</v>
      </c>
      <c r="D106" s="7" t="s">
        <v>307</v>
      </c>
      <c r="E106" s="11" t="s">
        <v>308</v>
      </c>
      <c r="F106" s="57" t="s">
        <v>309</v>
      </c>
    </row>
    <row r="107" spans="2:6" ht="30" hidden="1" x14ac:dyDescent="0.25">
      <c r="B107" s="30">
        <v>24</v>
      </c>
      <c r="C107" s="43" t="s">
        <v>1281</v>
      </c>
      <c r="D107" s="2" t="s">
        <v>310</v>
      </c>
      <c r="E107" s="6" t="s">
        <v>311</v>
      </c>
      <c r="F107" s="55" t="s">
        <v>312</v>
      </c>
    </row>
    <row r="108" spans="2:6" ht="30" hidden="1" x14ac:dyDescent="0.25">
      <c r="B108" s="30">
        <v>24</v>
      </c>
      <c r="C108" s="43" t="s">
        <v>1281</v>
      </c>
      <c r="D108" s="2" t="s">
        <v>313</v>
      </c>
      <c r="E108" s="6" t="s">
        <v>314</v>
      </c>
      <c r="F108" s="55" t="s">
        <v>315</v>
      </c>
    </row>
    <row r="109" spans="2:6" ht="30" hidden="1" x14ac:dyDescent="0.25">
      <c r="B109" s="30">
        <v>24</v>
      </c>
      <c r="C109" s="43" t="s">
        <v>1281</v>
      </c>
      <c r="D109" s="2" t="s">
        <v>316</v>
      </c>
      <c r="E109" s="6" t="s">
        <v>317</v>
      </c>
      <c r="F109" s="55" t="s">
        <v>318</v>
      </c>
    </row>
    <row r="110" spans="2:6" ht="15.75" hidden="1" thickBot="1" x14ac:dyDescent="0.3">
      <c r="B110" s="31">
        <v>24</v>
      </c>
      <c r="C110" s="44" t="s">
        <v>1281</v>
      </c>
      <c r="D110" s="10" t="s">
        <v>319</v>
      </c>
      <c r="E110" s="12" t="s">
        <v>320</v>
      </c>
      <c r="F110" s="56" t="s">
        <v>321</v>
      </c>
    </row>
    <row r="111" spans="2:6" hidden="1" x14ac:dyDescent="0.25">
      <c r="B111" s="28">
        <v>25</v>
      </c>
      <c r="C111" s="42" t="s">
        <v>1282</v>
      </c>
      <c r="D111" s="7" t="s">
        <v>323</v>
      </c>
      <c r="E111" s="11" t="s">
        <v>324</v>
      </c>
      <c r="F111" s="57" t="s">
        <v>325</v>
      </c>
    </row>
    <row r="112" spans="2:6" hidden="1" x14ac:dyDescent="0.25">
      <c r="B112" s="24">
        <v>25</v>
      </c>
      <c r="C112" s="43" t="s">
        <v>1282</v>
      </c>
      <c r="D112" s="2" t="s">
        <v>326</v>
      </c>
      <c r="E112" s="6" t="s">
        <v>327</v>
      </c>
      <c r="F112" s="55" t="s">
        <v>328</v>
      </c>
    </row>
    <row r="113" spans="2:6" ht="30" hidden="1" x14ac:dyDescent="0.25">
      <c r="B113" s="24">
        <v>25</v>
      </c>
      <c r="C113" s="43" t="s">
        <v>1282</v>
      </c>
      <c r="D113" s="2" t="s">
        <v>142</v>
      </c>
      <c r="E113" s="6" t="s">
        <v>329</v>
      </c>
      <c r="F113" s="55" t="s">
        <v>330</v>
      </c>
    </row>
    <row r="114" spans="2:6" ht="30" hidden="1" x14ac:dyDescent="0.25">
      <c r="B114" s="24">
        <v>25</v>
      </c>
      <c r="C114" s="43" t="s">
        <v>1282</v>
      </c>
      <c r="D114" s="2" t="s">
        <v>331</v>
      </c>
      <c r="E114" s="6" t="s">
        <v>332</v>
      </c>
      <c r="F114" s="55" t="s">
        <v>333</v>
      </c>
    </row>
    <row r="115" spans="2:6" ht="30" hidden="1" x14ac:dyDescent="0.25">
      <c r="B115" s="24">
        <v>25</v>
      </c>
      <c r="C115" s="43" t="s">
        <v>1282</v>
      </c>
      <c r="D115" s="2" t="s">
        <v>307</v>
      </c>
      <c r="E115" s="6" t="s">
        <v>308</v>
      </c>
      <c r="F115" s="55" t="s">
        <v>309</v>
      </c>
    </row>
    <row r="116" spans="2:6" ht="15.75" hidden="1" thickBot="1" x14ac:dyDescent="0.3">
      <c r="B116" s="26">
        <v>25</v>
      </c>
      <c r="C116" s="44" t="s">
        <v>1282</v>
      </c>
      <c r="D116" s="10" t="s">
        <v>334</v>
      </c>
      <c r="E116" s="12" t="s">
        <v>335</v>
      </c>
      <c r="F116" s="56" t="s">
        <v>336</v>
      </c>
    </row>
    <row r="117" spans="2:6" hidden="1" x14ac:dyDescent="0.25">
      <c r="B117" s="28">
        <v>26</v>
      </c>
      <c r="C117" s="34" t="s">
        <v>1283</v>
      </c>
      <c r="D117" s="7" t="s">
        <v>338</v>
      </c>
      <c r="E117" s="11" t="s">
        <v>339</v>
      </c>
      <c r="F117" s="57" t="s">
        <v>340</v>
      </c>
    </row>
    <row r="118" spans="2:6" ht="30" hidden="1" x14ac:dyDescent="0.25">
      <c r="B118" s="24">
        <v>26</v>
      </c>
      <c r="C118" s="25" t="s">
        <v>1283</v>
      </c>
      <c r="D118" s="2" t="s">
        <v>136</v>
      </c>
      <c r="E118" s="6" t="s">
        <v>137</v>
      </c>
      <c r="F118" s="55" t="s">
        <v>138</v>
      </c>
    </row>
    <row r="119" spans="2:6" hidden="1" x14ac:dyDescent="0.25">
      <c r="B119" s="24">
        <v>26</v>
      </c>
      <c r="C119" s="25" t="s">
        <v>1283</v>
      </c>
      <c r="D119" s="2" t="s">
        <v>166</v>
      </c>
      <c r="E119" s="6" t="s">
        <v>167</v>
      </c>
      <c r="F119" s="55" t="s">
        <v>168</v>
      </c>
    </row>
    <row r="120" spans="2:6" ht="30" hidden="1" x14ac:dyDescent="0.25">
      <c r="B120" s="24">
        <v>26</v>
      </c>
      <c r="C120" s="25" t="s">
        <v>1283</v>
      </c>
      <c r="D120" s="2" t="s">
        <v>341</v>
      </c>
      <c r="E120" s="6" t="s">
        <v>342</v>
      </c>
      <c r="F120" s="55" t="s">
        <v>343</v>
      </c>
    </row>
    <row r="121" spans="2:6" ht="30" hidden="1" x14ac:dyDescent="0.25">
      <c r="B121" s="24">
        <v>26</v>
      </c>
      <c r="C121" s="25" t="s">
        <v>1283</v>
      </c>
      <c r="D121" s="2" t="s">
        <v>307</v>
      </c>
      <c r="E121" s="6" t="s">
        <v>308</v>
      </c>
      <c r="F121" s="55" t="s">
        <v>309</v>
      </c>
    </row>
    <row r="122" spans="2:6" ht="30" hidden="1" x14ac:dyDescent="0.25">
      <c r="B122" s="24">
        <v>26</v>
      </c>
      <c r="C122" s="25" t="s">
        <v>1283</v>
      </c>
      <c r="D122" s="2" t="s">
        <v>344</v>
      </c>
      <c r="E122" s="6" t="s">
        <v>345</v>
      </c>
      <c r="F122" s="55" t="s">
        <v>346</v>
      </c>
    </row>
    <row r="123" spans="2:6" ht="30" hidden="1" x14ac:dyDescent="0.25">
      <c r="B123" s="24">
        <v>26</v>
      </c>
      <c r="C123" s="25" t="s">
        <v>1283</v>
      </c>
      <c r="D123" s="2" t="s">
        <v>347</v>
      </c>
      <c r="E123" s="6" t="s">
        <v>348</v>
      </c>
      <c r="F123" s="55" t="s">
        <v>349</v>
      </c>
    </row>
    <row r="124" spans="2:6" ht="30" hidden="1" x14ac:dyDescent="0.25">
      <c r="B124" s="24">
        <v>26</v>
      </c>
      <c r="C124" s="25" t="s">
        <v>1283</v>
      </c>
      <c r="D124" s="2" t="s">
        <v>350</v>
      </c>
      <c r="E124" s="6" t="s">
        <v>351</v>
      </c>
      <c r="F124" s="55" t="s">
        <v>352</v>
      </c>
    </row>
    <row r="125" spans="2:6" ht="30" hidden="1" x14ac:dyDescent="0.25">
      <c r="B125" s="24">
        <v>26</v>
      </c>
      <c r="C125" s="25" t="s">
        <v>1283</v>
      </c>
      <c r="D125" s="2" t="s">
        <v>353</v>
      </c>
      <c r="E125" s="6" t="s">
        <v>354</v>
      </c>
      <c r="F125" s="55" t="s">
        <v>355</v>
      </c>
    </row>
    <row r="126" spans="2:6" hidden="1" x14ac:dyDescent="0.25">
      <c r="B126" s="24">
        <v>26</v>
      </c>
      <c r="C126" s="25" t="s">
        <v>1283</v>
      </c>
      <c r="D126" s="2" t="s">
        <v>356</v>
      </c>
      <c r="E126" s="6" t="s">
        <v>357</v>
      </c>
      <c r="F126" s="55" t="s">
        <v>358</v>
      </c>
    </row>
    <row r="127" spans="2:6" hidden="1" x14ac:dyDescent="0.25">
      <c r="B127" s="24">
        <v>26</v>
      </c>
      <c r="C127" s="25" t="s">
        <v>1283</v>
      </c>
      <c r="D127" s="2" t="s">
        <v>132</v>
      </c>
      <c r="E127" s="6" t="s">
        <v>359</v>
      </c>
      <c r="F127" s="55" t="s">
        <v>360</v>
      </c>
    </row>
    <row r="128" spans="2:6" hidden="1" x14ac:dyDescent="0.25">
      <c r="B128" s="24">
        <v>26</v>
      </c>
      <c r="C128" s="25" t="s">
        <v>1283</v>
      </c>
      <c r="D128" s="2" t="s">
        <v>361</v>
      </c>
      <c r="E128" s="6" t="s">
        <v>362</v>
      </c>
      <c r="F128" s="55" t="s">
        <v>363</v>
      </c>
    </row>
    <row r="129" spans="2:6" ht="30" hidden="1" x14ac:dyDescent="0.25">
      <c r="B129" s="24">
        <v>26</v>
      </c>
      <c r="C129" s="25" t="s">
        <v>1283</v>
      </c>
      <c r="D129" s="2" t="s">
        <v>364</v>
      </c>
      <c r="E129" s="6" t="s">
        <v>365</v>
      </c>
      <c r="F129" s="55" t="s">
        <v>366</v>
      </c>
    </row>
    <row r="130" spans="2:6" ht="30" hidden="1" x14ac:dyDescent="0.25">
      <c r="B130" s="24">
        <v>26</v>
      </c>
      <c r="C130" s="25" t="s">
        <v>1283</v>
      </c>
      <c r="D130" s="2" t="s">
        <v>367</v>
      </c>
      <c r="E130" s="6" t="s">
        <v>368</v>
      </c>
      <c r="F130" s="55" t="s">
        <v>369</v>
      </c>
    </row>
    <row r="131" spans="2:6" ht="30" hidden="1" x14ac:dyDescent="0.25">
      <c r="B131" s="24">
        <v>26</v>
      </c>
      <c r="C131" s="25" t="s">
        <v>1283</v>
      </c>
      <c r="D131" s="2" t="s">
        <v>370</v>
      </c>
      <c r="E131" s="6" t="s">
        <v>371</v>
      </c>
      <c r="F131" s="55" t="s">
        <v>372</v>
      </c>
    </row>
    <row r="132" spans="2:6" ht="30" hidden="1" x14ac:dyDescent="0.25">
      <c r="B132" s="24">
        <v>26</v>
      </c>
      <c r="C132" s="25" t="s">
        <v>1283</v>
      </c>
      <c r="D132" s="2" t="s">
        <v>373</v>
      </c>
      <c r="E132" s="6" t="s">
        <v>374</v>
      </c>
      <c r="F132" s="55" t="s">
        <v>375</v>
      </c>
    </row>
    <row r="133" spans="2:6" hidden="1" x14ac:dyDescent="0.25">
      <c r="B133" s="24">
        <v>26</v>
      </c>
      <c r="C133" s="25" t="s">
        <v>1283</v>
      </c>
      <c r="D133" s="2" t="s">
        <v>376</v>
      </c>
      <c r="E133" s="6" t="s">
        <v>377</v>
      </c>
      <c r="F133" s="55" t="s">
        <v>378</v>
      </c>
    </row>
    <row r="134" spans="2:6" ht="30" hidden="1" x14ac:dyDescent="0.25">
      <c r="B134" s="24">
        <v>26</v>
      </c>
      <c r="C134" s="25" t="s">
        <v>1283</v>
      </c>
      <c r="D134" s="2" t="s">
        <v>379</v>
      </c>
      <c r="E134" s="6" t="s">
        <v>380</v>
      </c>
      <c r="F134" s="55" t="s">
        <v>381</v>
      </c>
    </row>
    <row r="135" spans="2:6" hidden="1" x14ac:dyDescent="0.25">
      <c r="B135" s="24">
        <v>26</v>
      </c>
      <c r="C135" s="25" t="s">
        <v>1283</v>
      </c>
      <c r="D135" s="2" t="s">
        <v>382</v>
      </c>
      <c r="E135" s="6" t="s">
        <v>383</v>
      </c>
      <c r="F135" s="55" t="s">
        <v>384</v>
      </c>
    </row>
    <row r="136" spans="2:6" hidden="1" x14ac:dyDescent="0.25">
      <c r="B136" s="24">
        <v>26</v>
      </c>
      <c r="C136" s="25" t="s">
        <v>1283</v>
      </c>
      <c r="D136" s="2" t="s">
        <v>385</v>
      </c>
      <c r="E136" s="6" t="s">
        <v>386</v>
      </c>
      <c r="F136" s="55" t="s">
        <v>387</v>
      </c>
    </row>
    <row r="137" spans="2:6" ht="30" hidden="1" x14ac:dyDescent="0.25">
      <c r="B137" s="24">
        <v>26</v>
      </c>
      <c r="C137" s="25" t="s">
        <v>1283</v>
      </c>
      <c r="D137" s="2" t="s">
        <v>388</v>
      </c>
      <c r="E137" s="6" t="s">
        <v>389</v>
      </c>
      <c r="F137" s="55" t="s">
        <v>390</v>
      </c>
    </row>
    <row r="138" spans="2:6" ht="30" hidden="1" x14ac:dyDescent="0.25">
      <c r="B138" s="24">
        <v>26</v>
      </c>
      <c r="C138" s="25" t="s">
        <v>1283</v>
      </c>
      <c r="D138" s="2" t="s">
        <v>391</v>
      </c>
      <c r="E138" s="6" t="s">
        <v>392</v>
      </c>
      <c r="F138" s="55" t="s">
        <v>393</v>
      </c>
    </row>
    <row r="139" spans="2:6" ht="30" hidden="1" x14ac:dyDescent="0.25">
      <c r="B139" s="24">
        <v>26</v>
      </c>
      <c r="C139" s="25" t="s">
        <v>1283</v>
      </c>
      <c r="D139" s="2" t="s">
        <v>394</v>
      </c>
      <c r="E139" s="6" t="s">
        <v>395</v>
      </c>
      <c r="F139" s="55" t="s">
        <v>396</v>
      </c>
    </row>
    <row r="140" spans="2:6" ht="30" hidden="1" x14ac:dyDescent="0.25">
      <c r="B140" s="24">
        <v>26</v>
      </c>
      <c r="C140" s="25" t="s">
        <v>1283</v>
      </c>
      <c r="D140" s="2" t="s">
        <v>397</v>
      </c>
      <c r="E140" s="6" t="s">
        <v>398</v>
      </c>
      <c r="F140" s="55" t="s">
        <v>399</v>
      </c>
    </row>
    <row r="141" spans="2:6" ht="30" hidden="1" x14ac:dyDescent="0.25">
      <c r="B141" s="24">
        <v>26</v>
      </c>
      <c r="C141" s="25" t="s">
        <v>1283</v>
      </c>
      <c r="D141" s="2" t="s">
        <v>400</v>
      </c>
      <c r="E141" s="6" t="s">
        <v>401</v>
      </c>
      <c r="F141" s="55" t="s">
        <v>402</v>
      </c>
    </row>
    <row r="142" spans="2:6" ht="30" hidden="1" x14ac:dyDescent="0.25">
      <c r="B142" s="24">
        <v>26</v>
      </c>
      <c r="C142" s="25" t="s">
        <v>1283</v>
      </c>
      <c r="D142" s="2" t="s">
        <v>403</v>
      </c>
      <c r="E142" s="6" t="s">
        <v>404</v>
      </c>
      <c r="F142" s="55" t="s">
        <v>405</v>
      </c>
    </row>
    <row r="143" spans="2:6" ht="30" hidden="1" x14ac:dyDescent="0.25">
      <c r="B143" s="24">
        <v>26</v>
      </c>
      <c r="C143" s="25" t="s">
        <v>1283</v>
      </c>
      <c r="D143" s="2" t="s">
        <v>406</v>
      </c>
      <c r="E143" s="6" t="s">
        <v>407</v>
      </c>
      <c r="F143" s="55" t="s">
        <v>408</v>
      </c>
    </row>
    <row r="144" spans="2:6" hidden="1" x14ac:dyDescent="0.25">
      <c r="B144" s="24">
        <v>26</v>
      </c>
      <c r="C144" s="25" t="s">
        <v>1283</v>
      </c>
      <c r="D144" s="2" t="s">
        <v>409</v>
      </c>
      <c r="E144" s="6" t="s">
        <v>410</v>
      </c>
      <c r="F144" s="55" t="s">
        <v>411</v>
      </c>
    </row>
    <row r="145" spans="2:6" ht="30" hidden="1" x14ac:dyDescent="0.25">
      <c r="B145" s="24">
        <v>26</v>
      </c>
      <c r="C145" s="25" t="s">
        <v>1283</v>
      </c>
      <c r="D145" s="2" t="s">
        <v>263</v>
      </c>
      <c r="E145" s="6" t="s">
        <v>264</v>
      </c>
      <c r="F145" s="55" t="s">
        <v>265</v>
      </c>
    </row>
    <row r="146" spans="2:6" ht="30" hidden="1" x14ac:dyDescent="0.25">
      <c r="B146" s="24">
        <v>26</v>
      </c>
      <c r="C146" s="25" t="s">
        <v>1283</v>
      </c>
      <c r="D146" s="2" t="s">
        <v>251</v>
      </c>
      <c r="E146" s="6" t="s">
        <v>252</v>
      </c>
      <c r="F146" s="55" t="s">
        <v>253</v>
      </c>
    </row>
    <row r="147" spans="2:6" ht="30" hidden="1" x14ac:dyDescent="0.25">
      <c r="B147" s="24">
        <v>26</v>
      </c>
      <c r="C147" s="25" t="s">
        <v>1283</v>
      </c>
      <c r="D147" s="2" t="s">
        <v>275</v>
      </c>
      <c r="E147" s="6" t="s">
        <v>276</v>
      </c>
      <c r="F147" s="55" t="s">
        <v>277</v>
      </c>
    </row>
    <row r="148" spans="2:6" hidden="1" x14ac:dyDescent="0.25">
      <c r="B148" s="24">
        <v>26</v>
      </c>
      <c r="C148" s="25" t="s">
        <v>1283</v>
      </c>
      <c r="D148" s="2" t="s">
        <v>285</v>
      </c>
      <c r="E148" s="6" t="s">
        <v>286</v>
      </c>
      <c r="F148" s="55" t="s">
        <v>287</v>
      </c>
    </row>
    <row r="149" spans="2:6" hidden="1" x14ac:dyDescent="0.25">
      <c r="B149" s="24">
        <v>26</v>
      </c>
      <c r="C149" s="25" t="s">
        <v>1283</v>
      </c>
      <c r="D149" s="2" t="s">
        <v>319</v>
      </c>
      <c r="E149" s="6" t="s">
        <v>320</v>
      </c>
      <c r="F149" s="55" t="s">
        <v>321</v>
      </c>
    </row>
    <row r="150" spans="2:6" ht="30" hidden="1" x14ac:dyDescent="0.25">
      <c r="B150" s="24">
        <v>26</v>
      </c>
      <c r="C150" s="25" t="s">
        <v>1283</v>
      </c>
      <c r="D150" s="2" t="s">
        <v>412</v>
      </c>
      <c r="E150" s="6" t="s">
        <v>413</v>
      </c>
      <c r="F150" s="55" t="s">
        <v>414</v>
      </c>
    </row>
    <row r="151" spans="2:6" hidden="1" x14ac:dyDescent="0.25">
      <c r="B151" s="24">
        <v>26</v>
      </c>
      <c r="C151" s="25" t="s">
        <v>1283</v>
      </c>
      <c r="D151" s="2" t="s">
        <v>415</v>
      </c>
      <c r="E151" s="6" t="s">
        <v>416</v>
      </c>
      <c r="F151" s="55" t="s">
        <v>417</v>
      </c>
    </row>
    <row r="152" spans="2:6" ht="30" hidden="1" x14ac:dyDescent="0.25">
      <c r="B152" s="24">
        <v>26</v>
      </c>
      <c r="C152" s="25" t="s">
        <v>1283</v>
      </c>
      <c r="D152" s="2" t="s">
        <v>418</v>
      </c>
      <c r="E152" s="6" t="s">
        <v>419</v>
      </c>
      <c r="F152" s="58" t="s">
        <v>420</v>
      </c>
    </row>
    <row r="153" spans="2:6" ht="45" hidden="1" x14ac:dyDescent="0.25">
      <c r="B153" s="24">
        <v>26</v>
      </c>
      <c r="C153" s="25" t="s">
        <v>1283</v>
      </c>
      <c r="D153" s="2" t="s">
        <v>208</v>
      </c>
      <c r="E153" s="6" t="s">
        <v>209</v>
      </c>
      <c r="F153" s="58" t="s">
        <v>210</v>
      </c>
    </row>
    <row r="154" spans="2:6" ht="15.75" hidden="1" thickBot="1" x14ac:dyDescent="0.3">
      <c r="B154" s="26">
        <v>26</v>
      </c>
      <c r="C154" s="27" t="s">
        <v>1283</v>
      </c>
      <c r="D154" s="10" t="s">
        <v>211</v>
      </c>
      <c r="E154" s="12" t="s">
        <v>212</v>
      </c>
      <c r="F154" s="59" t="s">
        <v>213</v>
      </c>
    </row>
    <row r="155" spans="2:6" ht="30" hidden="1" x14ac:dyDescent="0.25">
      <c r="B155" s="28">
        <v>27</v>
      </c>
      <c r="C155" s="42" t="s">
        <v>1284</v>
      </c>
      <c r="D155" s="7" t="s">
        <v>422</v>
      </c>
      <c r="E155" s="11" t="s">
        <v>423</v>
      </c>
      <c r="F155" s="61" t="s">
        <v>424</v>
      </c>
    </row>
    <row r="156" spans="2:6" ht="30" hidden="1" x14ac:dyDescent="0.25">
      <c r="B156" s="24">
        <v>27</v>
      </c>
      <c r="C156" s="43" t="s">
        <v>1284</v>
      </c>
      <c r="D156" s="2" t="s">
        <v>425</v>
      </c>
      <c r="E156" s="6" t="s">
        <v>426</v>
      </c>
      <c r="F156" s="58" t="s">
        <v>427</v>
      </c>
    </row>
    <row r="157" spans="2:6" hidden="1" x14ac:dyDescent="0.25">
      <c r="B157" s="24">
        <v>27</v>
      </c>
      <c r="C157" s="43" t="s">
        <v>1284</v>
      </c>
      <c r="D157" s="2" t="s">
        <v>428</v>
      </c>
      <c r="E157" s="6" t="s">
        <v>429</v>
      </c>
      <c r="F157" s="58" t="s">
        <v>430</v>
      </c>
    </row>
    <row r="158" spans="2:6" ht="30" hidden="1" x14ac:dyDescent="0.25">
      <c r="B158" s="24">
        <v>27</v>
      </c>
      <c r="C158" s="43" t="s">
        <v>1284</v>
      </c>
      <c r="D158" s="2" t="s">
        <v>431</v>
      </c>
      <c r="E158" s="6" t="s">
        <v>432</v>
      </c>
      <c r="F158" s="58" t="s">
        <v>433</v>
      </c>
    </row>
    <row r="159" spans="2:6" hidden="1" x14ac:dyDescent="0.25">
      <c r="B159" s="24">
        <v>27</v>
      </c>
      <c r="C159" s="43" t="s">
        <v>1284</v>
      </c>
      <c r="D159" s="2" t="s">
        <v>142</v>
      </c>
      <c r="E159" s="6" t="s">
        <v>434</v>
      </c>
      <c r="F159" s="58" t="s">
        <v>435</v>
      </c>
    </row>
    <row r="160" spans="2:6" ht="30" hidden="1" x14ac:dyDescent="0.25">
      <c r="B160" s="24">
        <v>27</v>
      </c>
      <c r="C160" s="43" t="s">
        <v>1284</v>
      </c>
      <c r="D160" s="2" t="s">
        <v>436</v>
      </c>
      <c r="E160" s="6" t="s">
        <v>437</v>
      </c>
      <c r="F160" s="58" t="s">
        <v>438</v>
      </c>
    </row>
    <row r="161" spans="2:6" ht="30" hidden="1" x14ac:dyDescent="0.25">
      <c r="B161" s="24">
        <v>27</v>
      </c>
      <c r="C161" s="43" t="s">
        <v>1284</v>
      </c>
      <c r="D161" s="2" t="s">
        <v>439</v>
      </c>
      <c r="E161" s="6" t="s">
        <v>440</v>
      </c>
      <c r="F161" s="58" t="s">
        <v>441</v>
      </c>
    </row>
    <row r="162" spans="2:6" ht="30" hidden="1" x14ac:dyDescent="0.25">
      <c r="B162" s="24">
        <v>27</v>
      </c>
      <c r="C162" s="43" t="s">
        <v>1284</v>
      </c>
      <c r="D162" s="2" t="s">
        <v>442</v>
      </c>
      <c r="E162" s="6" t="s">
        <v>443</v>
      </c>
      <c r="F162" s="58" t="s">
        <v>444</v>
      </c>
    </row>
    <row r="163" spans="2:6" ht="30" hidden="1" x14ac:dyDescent="0.25">
      <c r="B163" s="24">
        <v>27</v>
      </c>
      <c r="C163" s="43" t="s">
        <v>1284</v>
      </c>
      <c r="D163" s="2" t="s">
        <v>445</v>
      </c>
      <c r="E163" s="6" t="s">
        <v>446</v>
      </c>
      <c r="F163" s="58" t="s">
        <v>447</v>
      </c>
    </row>
    <row r="164" spans="2:6" ht="30" hidden="1" x14ac:dyDescent="0.25">
      <c r="B164" s="24">
        <v>27</v>
      </c>
      <c r="C164" s="43" t="s">
        <v>1284</v>
      </c>
      <c r="D164" s="2" t="s">
        <v>448</v>
      </c>
      <c r="E164" s="6" t="s">
        <v>449</v>
      </c>
      <c r="F164" s="58" t="s">
        <v>450</v>
      </c>
    </row>
    <row r="165" spans="2:6" ht="30" hidden="1" x14ac:dyDescent="0.25">
      <c r="B165" s="24">
        <v>27</v>
      </c>
      <c r="C165" s="43" t="s">
        <v>1284</v>
      </c>
      <c r="D165" s="2" t="s">
        <v>451</v>
      </c>
      <c r="E165" s="6" t="s">
        <v>452</v>
      </c>
      <c r="F165" s="58" t="s">
        <v>453</v>
      </c>
    </row>
    <row r="166" spans="2:6" ht="30" hidden="1" x14ac:dyDescent="0.25">
      <c r="B166" s="24">
        <v>27</v>
      </c>
      <c r="C166" s="43" t="s">
        <v>1284</v>
      </c>
      <c r="D166" s="2" t="s">
        <v>454</v>
      </c>
      <c r="E166" s="6" t="s">
        <v>455</v>
      </c>
      <c r="F166" s="58" t="s">
        <v>456</v>
      </c>
    </row>
    <row r="167" spans="2:6" ht="30" hidden="1" x14ac:dyDescent="0.25">
      <c r="B167" s="24">
        <v>27</v>
      </c>
      <c r="C167" s="43" t="s">
        <v>1284</v>
      </c>
      <c r="D167" s="2" t="s">
        <v>457</v>
      </c>
      <c r="E167" s="6" t="s">
        <v>458</v>
      </c>
      <c r="F167" s="58" t="s">
        <v>459</v>
      </c>
    </row>
    <row r="168" spans="2:6" ht="45" hidden="1" x14ac:dyDescent="0.25">
      <c r="B168" s="24">
        <v>27</v>
      </c>
      <c r="C168" s="43" t="s">
        <v>1284</v>
      </c>
      <c r="D168" s="2" t="s">
        <v>460</v>
      </c>
      <c r="E168" s="6" t="s">
        <v>461</v>
      </c>
      <c r="F168" s="58" t="s">
        <v>462</v>
      </c>
    </row>
    <row r="169" spans="2:6" ht="30" hidden="1" x14ac:dyDescent="0.25">
      <c r="B169" s="24">
        <v>27</v>
      </c>
      <c r="C169" s="43" t="s">
        <v>1284</v>
      </c>
      <c r="D169" s="2" t="s">
        <v>463</v>
      </c>
      <c r="E169" s="6" t="s">
        <v>464</v>
      </c>
      <c r="F169" s="58" t="s">
        <v>465</v>
      </c>
    </row>
    <row r="170" spans="2:6" hidden="1" x14ac:dyDescent="0.25">
      <c r="B170" s="24">
        <v>27</v>
      </c>
      <c r="C170" s="43" t="s">
        <v>1284</v>
      </c>
      <c r="D170" s="2" t="s">
        <v>466</v>
      </c>
      <c r="E170" s="6" t="s">
        <v>467</v>
      </c>
      <c r="F170" s="58" t="s">
        <v>468</v>
      </c>
    </row>
    <row r="171" spans="2:6" hidden="1" x14ac:dyDescent="0.25">
      <c r="B171" s="24">
        <v>27</v>
      </c>
      <c r="C171" s="43" t="s">
        <v>1284</v>
      </c>
      <c r="D171" s="2" t="s">
        <v>469</v>
      </c>
      <c r="E171" s="6" t="s">
        <v>470</v>
      </c>
      <c r="F171" s="58" t="s">
        <v>471</v>
      </c>
    </row>
    <row r="172" spans="2:6" ht="30" hidden="1" x14ac:dyDescent="0.25">
      <c r="B172" s="24">
        <v>27</v>
      </c>
      <c r="C172" s="43" t="s">
        <v>1284</v>
      </c>
      <c r="D172" s="2" t="s">
        <v>472</v>
      </c>
      <c r="E172" s="6" t="s">
        <v>473</v>
      </c>
      <c r="F172" s="58" t="s">
        <v>474</v>
      </c>
    </row>
    <row r="173" spans="2:6" ht="30" hidden="1" x14ac:dyDescent="0.25">
      <c r="B173" s="24">
        <v>27</v>
      </c>
      <c r="C173" s="43" t="s">
        <v>1284</v>
      </c>
      <c r="D173" s="2" t="s">
        <v>263</v>
      </c>
      <c r="E173" s="6" t="s">
        <v>264</v>
      </c>
      <c r="F173" s="58" t="s">
        <v>265</v>
      </c>
    </row>
    <row r="174" spans="2:6" hidden="1" x14ac:dyDescent="0.25">
      <c r="B174" s="24">
        <v>27</v>
      </c>
      <c r="C174" s="43" t="s">
        <v>1284</v>
      </c>
      <c r="D174" s="2" t="s">
        <v>475</v>
      </c>
      <c r="E174" s="6" t="s">
        <v>476</v>
      </c>
      <c r="F174" s="2" t="s">
        <v>116</v>
      </c>
    </row>
    <row r="175" spans="2:6" hidden="1" x14ac:dyDescent="0.25">
      <c r="B175" s="24">
        <v>27</v>
      </c>
      <c r="C175" s="43" t="s">
        <v>1284</v>
      </c>
      <c r="D175" s="2" t="s">
        <v>334</v>
      </c>
      <c r="E175" s="6" t="s">
        <v>335</v>
      </c>
      <c r="F175" s="58" t="s">
        <v>336</v>
      </c>
    </row>
    <row r="176" spans="2:6" ht="15.75" hidden="1" thickBot="1" x14ac:dyDescent="0.3">
      <c r="B176" s="26">
        <v>27</v>
      </c>
      <c r="C176" s="44" t="s">
        <v>1284</v>
      </c>
      <c r="D176" s="10" t="s">
        <v>477</v>
      </c>
      <c r="E176" s="12" t="s">
        <v>478</v>
      </c>
      <c r="F176" s="59" t="s">
        <v>479</v>
      </c>
    </row>
    <row r="177" spans="2:6" ht="30" hidden="1" x14ac:dyDescent="0.25">
      <c r="B177" s="28">
        <v>28</v>
      </c>
      <c r="C177" s="34" t="s">
        <v>1285</v>
      </c>
      <c r="D177" s="7" t="s">
        <v>472</v>
      </c>
      <c r="E177" s="11" t="s">
        <v>473</v>
      </c>
      <c r="F177" s="57" t="s">
        <v>474</v>
      </c>
    </row>
    <row r="178" spans="2:6" hidden="1" x14ac:dyDescent="0.25">
      <c r="B178" s="24">
        <v>28</v>
      </c>
      <c r="C178" s="25" t="s">
        <v>1285</v>
      </c>
      <c r="D178" s="2" t="s">
        <v>469</v>
      </c>
      <c r="E178" s="6" t="s">
        <v>470</v>
      </c>
      <c r="F178" s="55" t="s">
        <v>471</v>
      </c>
    </row>
    <row r="179" spans="2:6" hidden="1" x14ac:dyDescent="0.25">
      <c r="B179" s="24">
        <v>28</v>
      </c>
      <c r="C179" s="25" t="s">
        <v>1285</v>
      </c>
      <c r="D179" s="2" t="s">
        <v>481</v>
      </c>
      <c r="E179" s="6" t="s">
        <v>482</v>
      </c>
      <c r="F179" s="2" t="s">
        <v>116</v>
      </c>
    </row>
    <row r="180" spans="2:6" ht="30" hidden="1" x14ac:dyDescent="0.25">
      <c r="B180" s="24">
        <v>28</v>
      </c>
      <c r="C180" s="25" t="s">
        <v>1285</v>
      </c>
      <c r="D180" s="2" t="s">
        <v>483</v>
      </c>
      <c r="E180" s="6" t="s">
        <v>484</v>
      </c>
      <c r="F180" s="55" t="s">
        <v>485</v>
      </c>
    </row>
    <row r="181" spans="2:6" hidden="1" x14ac:dyDescent="0.25">
      <c r="B181" s="24">
        <v>28</v>
      </c>
      <c r="C181" s="25" t="s">
        <v>1285</v>
      </c>
      <c r="D181" s="2" t="s">
        <v>233</v>
      </c>
      <c r="E181" s="6" t="s">
        <v>486</v>
      </c>
      <c r="F181" s="55" t="s">
        <v>487</v>
      </c>
    </row>
    <row r="182" spans="2:6" hidden="1" x14ac:dyDescent="0.25">
      <c r="B182" s="24">
        <v>28</v>
      </c>
      <c r="C182" s="25" t="s">
        <v>1285</v>
      </c>
      <c r="D182" s="2" t="s">
        <v>466</v>
      </c>
      <c r="E182" s="6" t="s">
        <v>467</v>
      </c>
      <c r="F182" s="55" t="s">
        <v>468</v>
      </c>
    </row>
    <row r="183" spans="2:6" hidden="1" x14ac:dyDescent="0.25">
      <c r="B183" s="24">
        <v>28</v>
      </c>
      <c r="C183" s="25" t="s">
        <v>1285</v>
      </c>
      <c r="D183" s="2" t="s">
        <v>488</v>
      </c>
      <c r="E183" s="6" t="s">
        <v>482</v>
      </c>
      <c r="F183" s="55" t="s">
        <v>489</v>
      </c>
    </row>
    <row r="184" spans="2:6" hidden="1" x14ac:dyDescent="0.25">
      <c r="B184" s="24">
        <v>28</v>
      </c>
      <c r="C184" s="25" t="s">
        <v>1285</v>
      </c>
      <c r="D184" s="2" t="s">
        <v>490</v>
      </c>
      <c r="E184" s="6" t="s">
        <v>491</v>
      </c>
      <c r="F184" s="55" t="s">
        <v>492</v>
      </c>
    </row>
    <row r="185" spans="2:6" ht="30" hidden="1" x14ac:dyDescent="0.25">
      <c r="B185" s="24">
        <v>28</v>
      </c>
      <c r="C185" s="25" t="s">
        <v>1285</v>
      </c>
      <c r="D185" s="2" t="s">
        <v>307</v>
      </c>
      <c r="E185" s="6" t="s">
        <v>493</v>
      </c>
      <c r="F185" s="55" t="s">
        <v>309</v>
      </c>
    </row>
    <row r="186" spans="2:6" ht="30" hidden="1" x14ac:dyDescent="0.25">
      <c r="B186" s="24">
        <v>28</v>
      </c>
      <c r="C186" s="25" t="s">
        <v>1285</v>
      </c>
      <c r="D186" s="2" t="s">
        <v>494</v>
      </c>
      <c r="E186" s="6" t="s">
        <v>495</v>
      </c>
      <c r="F186" s="55" t="s">
        <v>496</v>
      </c>
    </row>
    <row r="187" spans="2:6" ht="30" hidden="1" x14ac:dyDescent="0.25">
      <c r="B187" s="24">
        <v>28</v>
      </c>
      <c r="C187" s="25" t="s">
        <v>1285</v>
      </c>
      <c r="D187" s="2" t="s">
        <v>497</v>
      </c>
      <c r="E187" s="6" t="s">
        <v>498</v>
      </c>
      <c r="F187" s="55" t="s">
        <v>499</v>
      </c>
    </row>
    <row r="188" spans="2:6" hidden="1" x14ac:dyDescent="0.25">
      <c r="B188" s="24">
        <v>28</v>
      </c>
      <c r="C188" s="25" t="s">
        <v>1285</v>
      </c>
      <c r="D188" s="2" t="s">
        <v>500</v>
      </c>
      <c r="E188" s="6" t="s">
        <v>501</v>
      </c>
      <c r="F188" s="55" t="s">
        <v>502</v>
      </c>
    </row>
    <row r="189" spans="2:6" hidden="1" x14ac:dyDescent="0.25">
      <c r="B189" s="24">
        <v>28</v>
      </c>
      <c r="C189" s="25" t="s">
        <v>1285</v>
      </c>
      <c r="D189" s="2" t="s">
        <v>166</v>
      </c>
      <c r="E189" s="6" t="s">
        <v>167</v>
      </c>
      <c r="F189" s="55" t="s">
        <v>168</v>
      </c>
    </row>
    <row r="190" spans="2:6" ht="30" hidden="1" x14ac:dyDescent="0.25">
      <c r="B190" s="24">
        <v>28</v>
      </c>
      <c r="C190" s="25" t="s">
        <v>1285</v>
      </c>
      <c r="D190" s="2" t="s">
        <v>503</v>
      </c>
      <c r="E190" s="6" t="s">
        <v>504</v>
      </c>
      <c r="F190" s="55" t="s">
        <v>505</v>
      </c>
    </row>
    <row r="191" spans="2:6" ht="30" hidden="1" x14ac:dyDescent="0.25">
      <c r="B191" s="24">
        <v>28</v>
      </c>
      <c r="C191" s="25" t="s">
        <v>1285</v>
      </c>
      <c r="D191" s="2" t="s">
        <v>506</v>
      </c>
      <c r="E191" s="6" t="s">
        <v>507</v>
      </c>
      <c r="F191" s="55" t="s">
        <v>508</v>
      </c>
    </row>
    <row r="192" spans="2:6" hidden="1" x14ac:dyDescent="0.25">
      <c r="B192" s="24">
        <v>28</v>
      </c>
      <c r="C192" s="25" t="s">
        <v>1285</v>
      </c>
      <c r="D192" s="2" t="s">
        <v>475</v>
      </c>
      <c r="E192" s="6" t="s">
        <v>476</v>
      </c>
      <c r="F192" s="2" t="s">
        <v>116</v>
      </c>
    </row>
    <row r="193" spans="2:6" ht="30" hidden="1" x14ac:dyDescent="0.25">
      <c r="B193" s="24">
        <v>28</v>
      </c>
      <c r="C193" s="25" t="s">
        <v>1285</v>
      </c>
      <c r="D193" s="2" t="s">
        <v>418</v>
      </c>
      <c r="E193" s="6" t="s">
        <v>419</v>
      </c>
      <c r="F193" s="58" t="s">
        <v>420</v>
      </c>
    </row>
    <row r="194" spans="2:6" ht="30" hidden="1" x14ac:dyDescent="0.25">
      <c r="B194" s="24">
        <v>28</v>
      </c>
      <c r="C194" s="25" t="s">
        <v>1285</v>
      </c>
      <c r="D194" s="2" t="s">
        <v>509</v>
      </c>
      <c r="E194" s="6" t="s">
        <v>510</v>
      </c>
      <c r="F194" s="58" t="s">
        <v>511</v>
      </c>
    </row>
    <row r="195" spans="2:6" ht="45" hidden="1" x14ac:dyDescent="0.25">
      <c r="B195" s="24">
        <v>28</v>
      </c>
      <c r="C195" s="25" t="s">
        <v>1285</v>
      </c>
      <c r="D195" s="2" t="s">
        <v>208</v>
      </c>
      <c r="E195" s="6" t="s">
        <v>209</v>
      </c>
      <c r="F195" s="58" t="s">
        <v>210</v>
      </c>
    </row>
    <row r="196" spans="2:6" hidden="1" x14ac:dyDescent="0.25">
      <c r="B196" s="24">
        <v>28</v>
      </c>
      <c r="C196" s="25" t="s">
        <v>1285</v>
      </c>
      <c r="D196" s="2" t="s">
        <v>211</v>
      </c>
      <c r="E196" s="6" t="s">
        <v>212</v>
      </c>
      <c r="F196" s="58" t="s">
        <v>213</v>
      </c>
    </row>
    <row r="197" spans="2:6" ht="30" hidden="1" x14ac:dyDescent="0.25">
      <c r="B197" s="24">
        <v>28</v>
      </c>
      <c r="C197" s="25" t="s">
        <v>1285</v>
      </c>
      <c r="D197" s="2" t="s">
        <v>512</v>
      </c>
      <c r="E197" s="6" t="s">
        <v>513</v>
      </c>
      <c r="F197" s="58" t="s">
        <v>514</v>
      </c>
    </row>
    <row r="198" spans="2:6" ht="15.75" hidden="1" thickBot="1" x14ac:dyDescent="0.3">
      <c r="B198" s="26">
        <v>28</v>
      </c>
      <c r="C198" s="27" t="s">
        <v>1285</v>
      </c>
      <c r="D198" s="10" t="s">
        <v>515</v>
      </c>
      <c r="E198" s="12" t="s">
        <v>516</v>
      </c>
      <c r="F198" s="59" t="s">
        <v>517</v>
      </c>
    </row>
    <row r="199" spans="2:6" ht="45" hidden="1" x14ac:dyDescent="0.25">
      <c r="B199" s="28">
        <v>29</v>
      </c>
      <c r="C199" s="42" t="s">
        <v>1477</v>
      </c>
      <c r="D199" s="7" t="s">
        <v>519</v>
      </c>
      <c r="E199" s="11" t="s">
        <v>520</v>
      </c>
      <c r="F199" s="61" t="s">
        <v>521</v>
      </c>
    </row>
    <row r="200" spans="2:6" ht="30" hidden="1" x14ac:dyDescent="0.25">
      <c r="B200" s="24">
        <v>29</v>
      </c>
      <c r="C200" s="43" t="s">
        <v>1477</v>
      </c>
      <c r="D200" s="2" t="s">
        <v>205</v>
      </c>
      <c r="E200" s="6" t="s">
        <v>206</v>
      </c>
      <c r="F200" s="58" t="s">
        <v>207</v>
      </c>
    </row>
    <row r="201" spans="2:6" hidden="1" x14ac:dyDescent="0.25">
      <c r="B201" s="24">
        <v>29</v>
      </c>
      <c r="C201" s="43" t="s">
        <v>1477</v>
      </c>
      <c r="D201" s="2" t="s">
        <v>522</v>
      </c>
      <c r="E201" s="6" t="s">
        <v>523</v>
      </c>
      <c r="F201" s="58" t="s">
        <v>524</v>
      </c>
    </row>
    <row r="202" spans="2:6" ht="30" hidden="1" x14ac:dyDescent="0.25">
      <c r="B202" s="24">
        <v>29</v>
      </c>
      <c r="C202" s="43" t="s">
        <v>1477</v>
      </c>
      <c r="D202" s="2" t="s">
        <v>525</v>
      </c>
      <c r="E202" s="6" t="s">
        <v>526</v>
      </c>
      <c r="F202" s="58" t="s">
        <v>527</v>
      </c>
    </row>
    <row r="203" spans="2:6" ht="30" hidden="1" x14ac:dyDescent="0.25">
      <c r="B203" s="24">
        <v>29</v>
      </c>
      <c r="C203" s="43" t="s">
        <v>1477</v>
      </c>
      <c r="D203" s="2" t="s">
        <v>418</v>
      </c>
      <c r="E203" s="6" t="s">
        <v>419</v>
      </c>
      <c r="F203" s="58" t="s">
        <v>420</v>
      </c>
    </row>
    <row r="204" spans="2:6" ht="30" hidden="1" x14ac:dyDescent="0.25">
      <c r="B204" s="24">
        <v>29</v>
      </c>
      <c r="C204" s="43" t="s">
        <v>1477</v>
      </c>
      <c r="D204" s="2" t="s">
        <v>528</v>
      </c>
      <c r="E204" s="6" t="s">
        <v>529</v>
      </c>
      <c r="F204" s="58" t="s">
        <v>530</v>
      </c>
    </row>
    <row r="205" spans="2:6" ht="30" hidden="1" x14ac:dyDescent="0.25">
      <c r="B205" s="24">
        <v>29</v>
      </c>
      <c r="C205" s="43" t="s">
        <v>1477</v>
      </c>
      <c r="D205" s="2" t="s">
        <v>509</v>
      </c>
      <c r="E205" s="6" t="s">
        <v>510</v>
      </c>
      <c r="F205" s="58" t="s">
        <v>511</v>
      </c>
    </row>
    <row r="206" spans="2:6" ht="30" hidden="1" x14ac:dyDescent="0.25">
      <c r="B206" s="24">
        <v>29</v>
      </c>
      <c r="C206" s="43" t="s">
        <v>1477</v>
      </c>
      <c r="D206" s="2" t="s">
        <v>531</v>
      </c>
      <c r="E206" s="6" t="s">
        <v>532</v>
      </c>
      <c r="F206" s="58" t="s">
        <v>533</v>
      </c>
    </row>
    <row r="207" spans="2:6" ht="30" hidden="1" x14ac:dyDescent="0.25">
      <c r="B207" s="24">
        <v>29</v>
      </c>
      <c r="C207" s="43" t="s">
        <v>1477</v>
      </c>
      <c r="D207" s="2" t="s">
        <v>534</v>
      </c>
      <c r="E207" s="6" t="s">
        <v>535</v>
      </c>
      <c r="F207" s="58" t="s">
        <v>536</v>
      </c>
    </row>
    <row r="208" spans="2:6" ht="30" hidden="1" x14ac:dyDescent="0.25">
      <c r="B208" s="24">
        <v>29</v>
      </c>
      <c r="C208" s="43" t="s">
        <v>1477</v>
      </c>
      <c r="D208" s="2" t="s">
        <v>537</v>
      </c>
      <c r="E208" s="6" t="s">
        <v>538</v>
      </c>
      <c r="F208" s="58" t="s">
        <v>539</v>
      </c>
    </row>
    <row r="209" spans="2:6" ht="45" hidden="1" x14ac:dyDescent="0.25">
      <c r="B209" s="24">
        <v>29</v>
      </c>
      <c r="C209" s="43" t="s">
        <v>1477</v>
      </c>
      <c r="D209" s="2" t="s">
        <v>540</v>
      </c>
      <c r="E209" s="6" t="s">
        <v>541</v>
      </c>
      <c r="F209" s="58" t="s">
        <v>542</v>
      </c>
    </row>
    <row r="210" spans="2:6" ht="30" hidden="1" x14ac:dyDescent="0.25">
      <c r="B210" s="24">
        <v>29</v>
      </c>
      <c r="C210" s="43" t="s">
        <v>1477</v>
      </c>
      <c r="D210" s="2" t="s">
        <v>543</v>
      </c>
      <c r="E210" s="6" t="s">
        <v>544</v>
      </c>
      <c r="F210" s="58" t="s">
        <v>545</v>
      </c>
    </row>
    <row r="211" spans="2:6" ht="30" hidden="1" x14ac:dyDescent="0.25">
      <c r="B211" s="24">
        <v>29</v>
      </c>
      <c r="C211" s="43" t="s">
        <v>1477</v>
      </c>
      <c r="D211" s="2" t="s">
        <v>546</v>
      </c>
      <c r="E211" s="6" t="s">
        <v>547</v>
      </c>
      <c r="F211" s="58" t="s">
        <v>548</v>
      </c>
    </row>
    <row r="212" spans="2:6" ht="30" hidden="1" x14ac:dyDescent="0.25">
      <c r="B212" s="24">
        <v>29</v>
      </c>
      <c r="C212" s="43" t="s">
        <v>1477</v>
      </c>
      <c r="D212" s="2" t="s">
        <v>549</v>
      </c>
      <c r="E212" s="6" t="s">
        <v>550</v>
      </c>
      <c r="F212" s="58" t="s">
        <v>551</v>
      </c>
    </row>
    <row r="213" spans="2:6" ht="30" hidden="1" x14ac:dyDescent="0.25">
      <c r="B213" s="24">
        <v>29</v>
      </c>
      <c r="C213" s="43" t="s">
        <v>1477</v>
      </c>
      <c r="D213" s="2" t="s">
        <v>552</v>
      </c>
      <c r="E213" s="6" t="s">
        <v>553</v>
      </c>
      <c r="F213" s="58" t="s">
        <v>554</v>
      </c>
    </row>
    <row r="214" spans="2:6" hidden="1" x14ac:dyDescent="0.25">
      <c r="B214" s="24">
        <v>29</v>
      </c>
      <c r="C214" s="43" t="s">
        <v>1477</v>
      </c>
      <c r="D214" s="2" t="s">
        <v>555</v>
      </c>
      <c r="E214" s="6" t="s">
        <v>556</v>
      </c>
      <c r="F214" s="58" t="s">
        <v>557</v>
      </c>
    </row>
    <row r="215" spans="2:6" ht="30" hidden="1" x14ac:dyDescent="0.25">
      <c r="B215" s="24">
        <v>29</v>
      </c>
      <c r="C215" s="43" t="s">
        <v>1477</v>
      </c>
      <c r="D215" s="2" t="s">
        <v>558</v>
      </c>
      <c r="E215" s="6" t="s">
        <v>559</v>
      </c>
      <c r="F215" s="58" t="s">
        <v>560</v>
      </c>
    </row>
    <row r="216" spans="2:6" ht="30" hidden="1" x14ac:dyDescent="0.25">
      <c r="B216" s="24">
        <v>29</v>
      </c>
      <c r="C216" s="43" t="s">
        <v>1477</v>
      </c>
      <c r="D216" s="2" t="s">
        <v>561</v>
      </c>
      <c r="E216" s="6" t="s">
        <v>562</v>
      </c>
      <c r="F216" s="58" t="s">
        <v>563</v>
      </c>
    </row>
    <row r="217" spans="2:6" ht="45" hidden="1" x14ac:dyDescent="0.25">
      <c r="B217" s="24">
        <v>29</v>
      </c>
      <c r="C217" s="43" t="s">
        <v>1477</v>
      </c>
      <c r="D217" s="2" t="s">
        <v>208</v>
      </c>
      <c r="E217" s="6" t="s">
        <v>209</v>
      </c>
      <c r="F217" s="58" t="s">
        <v>210</v>
      </c>
    </row>
    <row r="218" spans="2:6" ht="30" hidden="1" x14ac:dyDescent="0.25">
      <c r="B218" s="24">
        <v>29</v>
      </c>
      <c r="C218" s="43" t="s">
        <v>1477</v>
      </c>
      <c r="D218" s="2" t="s">
        <v>512</v>
      </c>
      <c r="E218" s="6" t="s">
        <v>513</v>
      </c>
      <c r="F218" s="58" t="s">
        <v>514</v>
      </c>
    </row>
    <row r="219" spans="2:6" hidden="1" x14ac:dyDescent="0.25">
      <c r="B219" s="24">
        <v>29</v>
      </c>
      <c r="C219" s="43" t="s">
        <v>1477</v>
      </c>
      <c r="D219" s="2" t="s">
        <v>564</v>
      </c>
      <c r="E219" s="6" t="s">
        <v>167</v>
      </c>
      <c r="F219" s="58" t="s">
        <v>168</v>
      </c>
    </row>
    <row r="220" spans="2:6" ht="30" hidden="1" x14ac:dyDescent="0.25">
      <c r="B220" s="24">
        <v>29</v>
      </c>
      <c r="C220" s="43" t="s">
        <v>1477</v>
      </c>
      <c r="D220" s="2" t="s">
        <v>565</v>
      </c>
      <c r="E220" s="6" t="s">
        <v>566</v>
      </c>
      <c r="F220" s="58" t="s">
        <v>567</v>
      </c>
    </row>
    <row r="221" spans="2:6" ht="30" hidden="1" x14ac:dyDescent="0.25">
      <c r="B221" s="24">
        <v>29</v>
      </c>
      <c r="C221" s="43" t="s">
        <v>1477</v>
      </c>
      <c r="D221" s="2" t="s">
        <v>568</v>
      </c>
      <c r="E221" s="6" t="s">
        <v>569</v>
      </c>
      <c r="F221" s="58" t="s">
        <v>570</v>
      </c>
    </row>
    <row r="222" spans="2:6" hidden="1" x14ac:dyDescent="0.25">
      <c r="B222" s="24">
        <v>29</v>
      </c>
      <c r="C222" s="43" t="s">
        <v>1477</v>
      </c>
      <c r="D222" s="2" t="s">
        <v>211</v>
      </c>
      <c r="E222" s="6" t="s">
        <v>212</v>
      </c>
      <c r="F222" s="58" t="s">
        <v>213</v>
      </c>
    </row>
    <row r="223" spans="2:6" ht="30" hidden="1" x14ac:dyDescent="0.25">
      <c r="B223" s="24">
        <v>29</v>
      </c>
      <c r="C223" s="43" t="s">
        <v>1477</v>
      </c>
      <c r="D223" s="2" t="s">
        <v>571</v>
      </c>
      <c r="E223" s="6" t="s">
        <v>572</v>
      </c>
      <c r="F223" s="58" t="s">
        <v>573</v>
      </c>
    </row>
    <row r="224" spans="2:6" ht="30" hidden="1" x14ac:dyDescent="0.25">
      <c r="B224" s="24">
        <v>29</v>
      </c>
      <c r="C224" s="43" t="s">
        <v>1477</v>
      </c>
      <c r="D224" s="2" t="s">
        <v>574</v>
      </c>
      <c r="E224" s="6" t="s">
        <v>575</v>
      </c>
      <c r="F224" s="58" t="s">
        <v>576</v>
      </c>
    </row>
    <row r="225" spans="2:6" ht="30" hidden="1" x14ac:dyDescent="0.25">
      <c r="B225" s="24">
        <v>29</v>
      </c>
      <c r="C225" s="43" t="s">
        <v>1477</v>
      </c>
      <c r="D225" s="2" t="s">
        <v>577</v>
      </c>
      <c r="E225" s="6" t="s">
        <v>578</v>
      </c>
      <c r="F225" s="58" t="s">
        <v>579</v>
      </c>
    </row>
    <row r="226" spans="2:6" ht="45" hidden="1" x14ac:dyDescent="0.25">
      <c r="B226" s="24">
        <v>29</v>
      </c>
      <c r="C226" s="43" t="s">
        <v>1477</v>
      </c>
      <c r="D226" s="2" t="s">
        <v>580</v>
      </c>
      <c r="E226" s="6" t="s">
        <v>581</v>
      </c>
      <c r="F226" s="58" t="s">
        <v>582</v>
      </c>
    </row>
    <row r="227" spans="2:6" hidden="1" x14ac:dyDescent="0.25">
      <c r="B227" s="24">
        <v>29</v>
      </c>
      <c r="C227" s="43" t="s">
        <v>1477</v>
      </c>
      <c r="D227" s="2" t="s">
        <v>515</v>
      </c>
      <c r="E227" s="6" t="s">
        <v>516</v>
      </c>
      <c r="F227" s="58" t="s">
        <v>517</v>
      </c>
    </row>
    <row r="228" spans="2:6" ht="30" hidden="1" x14ac:dyDescent="0.25">
      <c r="B228" s="24">
        <v>29</v>
      </c>
      <c r="C228" s="43" t="s">
        <v>1477</v>
      </c>
      <c r="D228" s="2" t="s">
        <v>583</v>
      </c>
      <c r="E228" s="6" t="s">
        <v>137</v>
      </c>
      <c r="F228" s="58" t="s">
        <v>138</v>
      </c>
    </row>
    <row r="229" spans="2:6" ht="30" hidden="1" x14ac:dyDescent="0.25">
      <c r="B229" s="24">
        <v>29</v>
      </c>
      <c r="C229" s="43" t="s">
        <v>1477</v>
      </c>
      <c r="D229" s="2" t="s">
        <v>584</v>
      </c>
      <c r="E229" s="6" t="s">
        <v>585</v>
      </c>
      <c r="F229" s="58" t="s">
        <v>586</v>
      </c>
    </row>
    <row r="230" spans="2:6" ht="30" hidden="1" x14ac:dyDescent="0.25">
      <c r="B230" s="24">
        <v>29</v>
      </c>
      <c r="C230" s="43" t="s">
        <v>1477</v>
      </c>
      <c r="D230" s="2" t="s">
        <v>587</v>
      </c>
      <c r="E230" s="6" t="s">
        <v>504</v>
      </c>
      <c r="F230" s="58" t="s">
        <v>505</v>
      </c>
    </row>
    <row r="231" spans="2:6" ht="60" hidden="1" x14ac:dyDescent="0.25">
      <c r="B231" s="24">
        <v>29</v>
      </c>
      <c r="C231" s="43" t="s">
        <v>1477</v>
      </c>
      <c r="D231" s="2" t="s">
        <v>588</v>
      </c>
      <c r="E231" s="6" t="s">
        <v>589</v>
      </c>
      <c r="F231" s="58" t="s">
        <v>590</v>
      </c>
    </row>
    <row r="232" spans="2:6" ht="30" hidden="1" x14ac:dyDescent="0.25">
      <c r="B232" s="24">
        <v>29</v>
      </c>
      <c r="C232" s="43" t="s">
        <v>1477</v>
      </c>
      <c r="D232" s="2" t="s">
        <v>591</v>
      </c>
      <c r="E232" s="6" t="s">
        <v>592</v>
      </c>
      <c r="F232" s="58" t="s">
        <v>593</v>
      </c>
    </row>
    <row r="233" spans="2:6" ht="60" hidden="1" x14ac:dyDescent="0.25">
      <c r="B233" s="24">
        <v>29</v>
      </c>
      <c r="C233" s="43" t="s">
        <v>1477</v>
      </c>
      <c r="D233" s="2" t="s">
        <v>594</v>
      </c>
      <c r="E233" s="6" t="s">
        <v>595</v>
      </c>
      <c r="F233" s="58" t="s">
        <v>596</v>
      </c>
    </row>
    <row r="234" spans="2:6" ht="60" hidden="1" x14ac:dyDescent="0.25">
      <c r="B234" s="24">
        <v>29</v>
      </c>
      <c r="C234" s="43" t="s">
        <v>1477</v>
      </c>
      <c r="D234" s="2" t="s">
        <v>597</v>
      </c>
      <c r="E234" s="6" t="s">
        <v>598</v>
      </c>
      <c r="F234" s="58" t="s">
        <v>599</v>
      </c>
    </row>
    <row r="235" spans="2:6" ht="30" hidden="1" x14ac:dyDescent="0.25">
      <c r="B235" s="24">
        <v>29</v>
      </c>
      <c r="C235" s="43" t="s">
        <v>1477</v>
      </c>
      <c r="D235" s="2" t="s">
        <v>600</v>
      </c>
      <c r="E235" s="6" t="s">
        <v>601</v>
      </c>
      <c r="F235" s="58" t="s">
        <v>602</v>
      </c>
    </row>
    <row r="236" spans="2:6" ht="30" hidden="1" x14ac:dyDescent="0.25">
      <c r="B236" s="24">
        <v>29</v>
      </c>
      <c r="C236" s="43" t="s">
        <v>1477</v>
      </c>
      <c r="D236" s="2" t="s">
        <v>603</v>
      </c>
      <c r="E236" s="6" t="s">
        <v>604</v>
      </c>
      <c r="F236" s="58" t="s">
        <v>605</v>
      </c>
    </row>
    <row r="237" spans="2:6" hidden="1" x14ac:dyDescent="0.25">
      <c r="B237" s="24">
        <v>29</v>
      </c>
      <c r="C237" s="43" t="s">
        <v>1477</v>
      </c>
      <c r="D237" s="2" t="s">
        <v>606</v>
      </c>
      <c r="E237" s="6" t="s">
        <v>607</v>
      </c>
      <c r="F237" s="58" t="s">
        <v>608</v>
      </c>
    </row>
    <row r="238" spans="2:6" ht="30" hidden="1" x14ac:dyDescent="0.25">
      <c r="B238" s="24">
        <v>29</v>
      </c>
      <c r="C238" s="43" t="s">
        <v>1477</v>
      </c>
      <c r="D238" s="2" t="s">
        <v>609</v>
      </c>
      <c r="E238" s="6" t="s">
        <v>572</v>
      </c>
      <c r="F238" s="58" t="s">
        <v>573</v>
      </c>
    </row>
    <row r="239" spans="2:6" hidden="1" x14ac:dyDescent="0.25">
      <c r="B239" s="24">
        <v>29</v>
      </c>
      <c r="C239" s="43" t="s">
        <v>1477</v>
      </c>
      <c r="D239" s="2" t="s">
        <v>610</v>
      </c>
      <c r="E239" s="6" t="s">
        <v>611</v>
      </c>
      <c r="F239" s="58" t="s">
        <v>612</v>
      </c>
    </row>
    <row r="240" spans="2:6" ht="30" hidden="1" x14ac:dyDescent="0.25">
      <c r="B240" s="24">
        <v>29</v>
      </c>
      <c r="C240" s="43" t="s">
        <v>1477</v>
      </c>
      <c r="D240" s="2" t="s">
        <v>613</v>
      </c>
      <c r="E240" s="6" t="s">
        <v>614</v>
      </c>
      <c r="F240" s="58" t="s">
        <v>615</v>
      </c>
    </row>
    <row r="241" spans="2:6" ht="30" hidden="1" x14ac:dyDescent="0.25">
      <c r="B241" s="24">
        <v>29</v>
      </c>
      <c r="C241" s="43" t="s">
        <v>1477</v>
      </c>
      <c r="D241" s="2" t="s">
        <v>472</v>
      </c>
      <c r="E241" s="6" t="s">
        <v>473</v>
      </c>
      <c r="F241" s="58" t="s">
        <v>474</v>
      </c>
    </row>
    <row r="242" spans="2:6" hidden="1" x14ac:dyDescent="0.25">
      <c r="B242" s="24">
        <v>29</v>
      </c>
      <c r="C242" s="43" t="s">
        <v>1477</v>
      </c>
      <c r="D242" s="2" t="s">
        <v>475</v>
      </c>
      <c r="E242" s="6" t="s">
        <v>476</v>
      </c>
      <c r="F242" s="2" t="s">
        <v>116</v>
      </c>
    </row>
    <row r="243" spans="2:6" hidden="1" x14ac:dyDescent="0.25">
      <c r="B243" s="24">
        <v>29</v>
      </c>
      <c r="C243" s="43" t="s">
        <v>1477</v>
      </c>
      <c r="D243" s="2" t="s">
        <v>334</v>
      </c>
      <c r="E243" s="6" t="s">
        <v>335</v>
      </c>
      <c r="F243" s="55" t="s">
        <v>336</v>
      </c>
    </row>
    <row r="244" spans="2:6" hidden="1" x14ac:dyDescent="0.25">
      <c r="B244" s="24">
        <v>29</v>
      </c>
      <c r="C244" s="43" t="s">
        <v>1477</v>
      </c>
      <c r="D244" s="2" t="s">
        <v>428</v>
      </c>
      <c r="E244" s="6" t="s">
        <v>429</v>
      </c>
      <c r="F244" s="58" t="s">
        <v>430</v>
      </c>
    </row>
    <row r="245" spans="2:6" ht="15.75" hidden="1" thickBot="1" x14ac:dyDescent="0.3">
      <c r="B245" s="26">
        <v>29</v>
      </c>
      <c r="C245" s="44" t="s">
        <v>1477</v>
      </c>
      <c r="D245" s="10" t="s">
        <v>616</v>
      </c>
      <c r="E245" s="12" t="s">
        <v>617</v>
      </c>
      <c r="F245" s="56" t="s">
        <v>618</v>
      </c>
    </row>
    <row r="246" spans="2:6" hidden="1" x14ac:dyDescent="0.25">
      <c r="B246" s="28">
        <v>30</v>
      </c>
      <c r="C246" s="34" t="s">
        <v>1287</v>
      </c>
      <c r="D246" s="7" t="s">
        <v>620</v>
      </c>
      <c r="E246" s="11" t="s">
        <v>621</v>
      </c>
      <c r="F246" s="7" t="s">
        <v>116</v>
      </c>
    </row>
    <row r="247" spans="2:6" hidden="1" x14ac:dyDescent="0.25">
      <c r="B247" s="30">
        <v>30</v>
      </c>
      <c r="C247" s="43" t="s">
        <v>1287</v>
      </c>
      <c r="D247" s="2" t="s">
        <v>334</v>
      </c>
      <c r="E247" s="6" t="s">
        <v>335</v>
      </c>
      <c r="F247" s="55" t="s">
        <v>336</v>
      </c>
    </row>
    <row r="248" spans="2:6" hidden="1" x14ac:dyDescent="0.25">
      <c r="B248" s="30">
        <v>30</v>
      </c>
      <c r="C248" s="43" t="s">
        <v>1287</v>
      </c>
      <c r="D248" s="2" t="s">
        <v>622</v>
      </c>
      <c r="E248" s="6" t="s">
        <v>623</v>
      </c>
      <c r="F248" s="55" t="s">
        <v>624</v>
      </c>
    </row>
    <row r="249" spans="2:6" ht="30" hidden="1" x14ac:dyDescent="0.25">
      <c r="B249" s="30">
        <v>30</v>
      </c>
      <c r="C249" s="43" t="s">
        <v>1287</v>
      </c>
      <c r="D249" s="2" t="s">
        <v>625</v>
      </c>
      <c r="E249" s="6" t="s">
        <v>626</v>
      </c>
      <c r="F249" s="55" t="s">
        <v>627</v>
      </c>
    </row>
    <row r="250" spans="2:6" ht="30" hidden="1" x14ac:dyDescent="0.25">
      <c r="B250" s="30">
        <v>30</v>
      </c>
      <c r="C250" s="43" t="s">
        <v>1287</v>
      </c>
      <c r="D250" s="2" t="s">
        <v>341</v>
      </c>
      <c r="E250" s="6" t="s">
        <v>342</v>
      </c>
      <c r="F250" s="55" t="s">
        <v>343</v>
      </c>
    </row>
    <row r="251" spans="2:6" hidden="1" x14ac:dyDescent="0.25">
      <c r="B251" s="30">
        <v>30</v>
      </c>
      <c r="C251" s="43" t="s">
        <v>1287</v>
      </c>
      <c r="D251" s="2" t="s">
        <v>166</v>
      </c>
      <c r="E251" s="6" t="s">
        <v>167</v>
      </c>
      <c r="F251" s="55" t="s">
        <v>168</v>
      </c>
    </row>
    <row r="252" spans="2:6" hidden="1" x14ac:dyDescent="0.25">
      <c r="B252" s="30">
        <v>30</v>
      </c>
      <c r="C252" s="43" t="s">
        <v>1287</v>
      </c>
      <c r="D252" s="2" t="s">
        <v>628</v>
      </c>
      <c r="E252" s="6" t="s">
        <v>629</v>
      </c>
      <c r="F252" s="55" t="s">
        <v>630</v>
      </c>
    </row>
    <row r="253" spans="2:6" ht="30" hidden="1" x14ac:dyDescent="0.25">
      <c r="B253" s="30">
        <v>30</v>
      </c>
      <c r="C253" s="43" t="s">
        <v>1287</v>
      </c>
      <c r="D253" s="2" t="s">
        <v>631</v>
      </c>
      <c r="E253" s="6" t="s">
        <v>632</v>
      </c>
      <c r="F253" s="55" t="s">
        <v>633</v>
      </c>
    </row>
    <row r="254" spans="2:6" ht="60" hidden="1" x14ac:dyDescent="0.25">
      <c r="B254" s="30">
        <v>30</v>
      </c>
      <c r="C254" s="43" t="s">
        <v>1287</v>
      </c>
      <c r="D254" s="2" t="s">
        <v>634</v>
      </c>
      <c r="E254" s="6" t="s">
        <v>635</v>
      </c>
      <c r="F254" s="55" t="s">
        <v>636</v>
      </c>
    </row>
    <row r="255" spans="2:6" ht="30" hidden="1" x14ac:dyDescent="0.25">
      <c r="B255" s="30">
        <v>30</v>
      </c>
      <c r="C255" s="43" t="s">
        <v>1287</v>
      </c>
      <c r="D255" s="2" t="s">
        <v>637</v>
      </c>
      <c r="E255" s="6" t="s">
        <v>638</v>
      </c>
      <c r="F255" s="65" t="s">
        <v>116</v>
      </c>
    </row>
    <row r="256" spans="2:6" hidden="1" x14ac:dyDescent="0.25">
      <c r="B256" s="30">
        <v>30</v>
      </c>
      <c r="C256" s="43" t="s">
        <v>1287</v>
      </c>
      <c r="D256" s="2" t="s">
        <v>639</v>
      </c>
      <c r="E256" s="6" t="s">
        <v>611</v>
      </c>
      <c r="F256" s="55" t="s">
        <v>612</v>
      </c>
    </row>
    <row r="257" spans="2:6" hidden="1" x14ac:dyDescent="0.25">
      <c r="B257" s="30">
        <v>30</v>
      </c>
      <c r="C257" s="43" t="s">
        <v>1287</v>
      </c>
      <c r="D257" s="2" t="s">
        <v>616</v>
      </c>
      <c r="E257" s="6" t="s">
        <v>617</v>
      </c>
      <c r="F257" s="55" t="s">
        <v>618</v>
      </c>
    </row>
    <row r="258" spans="2:6" ht="30" hidden="1" x14ac:dyDescent="0.25">
      <c r="B258" s="30">
        <v>30</v>
      </c>
      <c r="C258" s="43" t="s">
        <v>1287</v>
      </c>
      <c r="D258" s="2" t="s">
        <v>418</v>
      </c>
      <c r="E258" s="6" t="s">
        <v>419</v>
      </c>
      <c r="F258" s="58" t="s">
        <v>420</v>
      </c>
    </row>
    <row r="259" spans="2:6" ht="30" hidden="1" x14ac:dyDescent="0.25">
      <c r="B259" s="30">
        <v>30</v>
      </c>
      <c r="C259" s="43" t="s">
        <v>1287</v>
      </c>
      <c r="D259" s="2" t="s">
        <v>534</v>
      </c>
      <c r="E259" s="6" t="s">
        <v>535</v>
      </c>
      <c r="F259" s="58" t="s">
        <v>536</v>
      </c>
    </row>
    <row r="260" spans="2:6" ht="45" hidden="1" x14ac:dyDescent="0.25">
      <c r="B260" s="30">
        <v>30</v>
      </c>
      <c r="C260" s="43" t="s">
        <v>1287</v>
      </c>
      <c r="D260" s="2" t="s">
        <v>208</v>
      </c>
      <c r="E260" s="6" t="s">
        <v>209</v>
      </c>
      <c r="F260" s="58" t="s">
        <v>210</v>
      </c>
    </row>
    <row r="261" spans="2:6" ht="30.75" hidden="1" thickBot="1" x14ac:dyDescent="0.3">
      <c r="B261" s="31">
        <v>30</v>
      </c>
      <c r="C261" s="44" t="s">
        <v>1287</v>
      </c>
      <c r="D261" s="10" t="s">
        <v>512</v>
      </c>
      <c r="E261" s="12" t="s">
        <v>513</v>
      </c>
      <c r="F261" s="56" t="s">
        <v>514</v>
      </c>
    </row>
    <row r="262" spans="2:6" ht="16.5" hidden="1" thickTop="1" thickBot="1" x14ac:dyDescent="0.3">
      <c r="B262" s="32">
        <v>31</v>
      </c>
      <c r="C262" s="45" t="s">
        <v>1288</v>
      </c>
      <c r="D262" s="13" t="s">
        <v>639</v>
      </c>
      <c r="E262" s="14" t="s">
        <v>611</v>
      </c>
      <c r="F262" s="60" t="s">
        <v>612</v>
      </c>
    </row>
    <row r="263" spans="2:6" ht="30" hidden="1" x14ac:dyDescent="0.25">
      <c r="B263" s="29">
        <v>32</v>
      </c>
      <c r="C263" s="42" t="s">
        <v>1289</v>
      </c>
      <c r="D263" s="7" t="s">
        <v>642</v>
      </c>
      <c r="E263" s="11" t="s">
        <v>643</v>
      </c>
      <c r="F263" s="57" t="s">
        <v>644</v>
      </c>
    </row>
    <row r="264" spans="2:6" ht="30" hidden="1" x14ac:dyDescent="0.25">
      <c r="B264" s="30">
        <v>32</v>
      </c>
      <c r="C264" s="43" t="s">
        <v>1289</v>
      </c>
      <c r="D264" s="2" t="s">
        <v>645</v>
      </c>
      <c r="E264" s="6" t="s">
        <v>646</v>
      </c>
      <c r="F264" s="55" t="s">
        <v>647</v>
      </c>
    </row>
    <row r="265" spans="2:6" hidden="1" x14ac:dyDescent="0.25">
      <c r="B265" s="30">
        <v>32</v>
      </c>
      <c r="C265" s="43" t="s">
        <v>1289</v>
      </c>
      <c r="D265" s="2" t="s">
        <v>639</v>
      </c>
      <c r="E265" s="6" t="s">
        <v>611</v>
      </c>
      <c r="F265" s="55" t="s">
        <v>612</v>
      </c>
    </row>
    <row r="266" spans="2:6" ht="15.75" hidden="1" thickBot="1" x14ac:dyDescent="0.3">
      <c r="B266" s="31">
        <v>32</v>
      </c>
      <c r="C266" s="44" t="s">
        <v>1289</v>
      </c>
      <c r="D266" s="10" t="s">
        <v>616</v>
      </c>
      <c r="E266" s="12" t="s">
        <v>617</v>
      </c>
      <c r="F266" s="56" t="s">
        <v>618</v>
      </c>
    </row>
    <row r="267" spans="2:6" ht="16.5" hidden="1" thickTop="1" thickBot="1" x14ac:dyDescent="0.3">
      <c r="B267" s="33">
        <v>33</v>
      </c>
      <c r="C267" s="45" t="s">
        <v>1290</v>
      </c>
      <c r="D267" s="13" t="s">
        <v>51</v>
      </c>
      <c r="E267" s="14" t="s">
        <v>52</v>
      </c>
      <c r="F267" s="62" t="s">
        <v>53</v>
      </c>
    </row>
    <row r="268" spans="2:6" hidden="1" x14ac:dyDescent="0.25">
      <c r="B268" s="28">
        <v>34</v>
      </c>
      <c r="C268" s="42" t="s">
        <v>1291</v>
      </c>
      <c r="D268" s="7" t="s">
        <v>639</v>
      </c>
      <c r="E268" s="11" t="s">
        <v>611</v>
      </c>
      <c r="F268" s="61" t="s">
        <v>612</v>
      </c>
    </row>
    <row r="269" spans="2:6" ht="30" hidden="1" x14ac:dyDescent="0.25">
      <c r="B269" s="24">
        <v>34</v>
      </c>
      <c r="C269" s="43" t="s">
        <v>1291</v>
      </c>
      <c r="D269" s="2" t="s">
        <v>534</v>
      </c>
      <c r="E269" s="6" t="s">
        <v>535</v>
      </c>
      <c r="F269" s="58" t="s">
        <v>536</v>
      </c>
    </row>
    <row r="270" spans="2:6" ht="30" hidden="1" x14ac:dyDescent="0.25">
      <c r="B270" s="24">
        <v>34</v>
      </c>
      <c r="C270" s="43" t="s">
        <v>1291</v>
      </c>
      <c r="D270" s="2" t="s">
        <v>418</v>
      </c>
      <c r="E270" s="6" t="s">
        <v>419</v>
      </c>
      <c r="F270" s="58" t="s">
        <v>420</v>
      </c>
    </row>
    <row r="271" spans="2:6" ht="30.75" hidden="1" thickBot="1" x14ac:dyDescent="0.3">
      <c r="B271" s="26">
        <v>34</v>
      </c>
      <c r="C271" s="44" t="s">
        <v>1291</v>
      </c>
      <c r="D271" s="10" t="s">
        <v>512</v>
      </c>
      <c r="E271" s="12" t="s">
        <v>513</v>
      </c>
      <c r="F271" s="59" t="s">
        <v>514</v>
      </c>
    </row>
    <row r="272" spans="2:6" ht="16.5" hidden="1" thickTop="1" thickBot="1" x14ac:dyDescent="0.3">
      <c r="B272" s="32">
        <v>38</v>
      </c>
      <c r="C272" s="46" t="s">
        <v>1292</v>
      </c>
      <c r="D272" s="13" t="s">
        <v>51</v>
      </c>
      <c r="E272" s="14" t="s">
        <v>52</v>
      </c>
      <c r="F272" s="60" t="s">
        <v>53</v>
      </c>
    </row>
    <row r="273" spans="2:6" hidden="1" x14ac:dyDescent="0.25">
      <c r="B273" s="28">
        <v>40</v>
      </c>
      <c r="C273" s="34" t="s">
        <v>1293</v>
      </c>
      <c r="D273" s="7" t="s">
        <v>278</v>
      </c>
      <c r="E273" s="11" t="s">
        <v>279</v>
      </c>
      <c r="F273" s="57" t="s">
        <v>280</v>
      </c>
    </row>
    <row r="274" spans="2:6" ht="15.75" hidden="1" thickBot="1" x14ac:dyDescent="0.3">
      <c r="B274" s="31">
        <v>40</v>
      </c>
      <c r="C274" s="44" t="s">
        <v>1293</v>
      </c>
      <c r="D274" s="10" t="s">
        <v>51</v>
      </c>
      <c r="E274" s="12" t="s">
        <v>52</v>
      </c>
      <c r="F274" s="56" t="s">
        <v>53</v>
      </c>
    </row>
    <row r="275" spans="2:6" ht="45" hidden="1" x14ac:dyDescent="0.25">
      <c r="B275" s="29">
        <v>41</v>
      </c>
      <c r="C275" s="34" t="s">
        <v>1294</v>
      </c>
      <c r="D275" s="7" t="s">
        <v>653</v>
      </c>
      <c r="E275" s="11" t="s">
        <v>654</v>
      </c>
      <c r="F275" s="57" t="s">
        <v>655</v>
      </c>
    </row>
    <row r="276" spans="2:6" ht="45" hidden="1" x14ac:dyDescent="0.25">
      <c r="B276" s="30">
        <v>41</v>
      </c>
      <c r="C276" s="25" t="s">
        <v>1294</v>
      </c>
      <c r="D276" s="2" t="s">
        <v>656</v>
      </c>
      <c r="E276" s="6" t="s">
        <v>657</v>
      </c>
      <c r="F276" s="55" t="s">
        <v>658</v>
      </c>
    </row>
    <row r="277" spans="2:6" hidden="1" x14ac:dyDescent="0.25">
      <c r="B277" s="30">
        <v>41</v>
      </c>
      <c r="C277" s="25" t="s">
        <v>1294</v>
      </c>
      <c r="D277" s="2" t="s">
        <v>385</v>
      </c>
      <c r="E277" s="6" t="s">
        <v>386</v>
      </c>
      <c r="F277" s="55" t="s">
        <v>387</v>
      </c>
    </row>
    <row r="278" spans="2:6" hidden="1" x14ac:dyDescent="0.25">
      <c r="B278" s="30">
        <v>41</v>
      </c>
      <c r="C278" s="25" t="s">
        <v>1294</v>
      </c>
      <c r="D278" s="2" t="s">
        <v>659</v>
      </c>
      <c r="E278" s="6" t="s">
        <v>660</v>
      </c>
      <c r="F278" s="55" t="s">
        <v>661</v>
      </c>
    </row>
    <row r="279" spans="2:6" ht="30" hidden="1" x14ac:dyDescent="0.25">
      <c r="B279" s="30">
        <v>41</v>
      </c>
      <c r="C279" s="25" t="s">
        <v>1294</v>
      </c>
      <c r="D279" s="2" t="s">
        <v>662</v>
      </c>
      <c r="E279" s="6" t="s">
        <v>663</v>
      </c>
      <c r="F279" s="55" t="s">
        <v>664</v>
      </c>
    </row>
    <row r="280" spans="2:6" ht="45" hidden="1" x14ac:dyDescent="0.25">
      <c r="B280" s="30">
        <v>41</v>
      </c>
      <c r="C280" s="25" t="s">
        <v>1294</v>
      </c>
      <c r="D280" s="2" t="s">
        <v>665</v>
      </c>
      <c r="E280" s="6" t="s">
        <v>666</v>
      </c>
      <c r="F280" s="55" t="s">
        <v>667</v>
      </c>
    </row>
    <row r="281" spans="2:6" hidden="1" x14ac:dyDescent="0.25">
      <c r="B281" s="30">
        <v>41</v>
      </c>
      <c r="C281" s="25" t="s">
        <v>1294</v>
      </c>
      <c r="D281" s="2" t="s">
        <v>51</v>
      </c>
      <c r="E281" s="6" t="s">
        <v>52</v>
      </c>
      <c r="F281" s="55" t="s">
        <v>53</v>
      </c>
    </row>
    <row r="282" spans="2:6" hidden="1" x14ac:dyDescent="0.25">
      <c r="B282" s="30">
        <v>41</v>
      </c>
      <c r="C282" s="25" t="s">
        <v>1294</v>
      </c>
      <c r="D282" s="2" t="s">
        <v>668</v>
      </c>
      <c r="E282" s="6" t="s">
        <v>669</v>
      </c>
      <c r="F282" s="55" t="s">
        <v>670</v>
      </c>
    </row>
    <row r="283" spans="2:6" ht="15.75" hidden="1" thickBot="1" x14ac:dyDescent="0.3">
      <c r="B283" s="31">
        <v>41</v>
      </c>
      <c r="C283" s="27" t="s">
        <v>1294</v>
      </c>
      <c r="D283" s="10" t="s">
        <v>671</v>
      </c>
      <c r="E283" s="12" t="s">
        <v>672</v>
      </c>
      <c r="F283" s="10" t="s">
        <v>673</v>
      </c>
    </row>
    <row r="284" spans="2:6" hidden="1" x14ac:dyDescent="0.25">
      <c r="B284" s="28">
        <v>42</v>
      </c>
      <c r="C284" s="42" t="s">
        <v>1295</v>
      </c>
      <c r="D284" s="7" t="s">
        <v>639</v>
      </c>
      <c r="E284" s="11" t="s">
        <v>611</v>
      </c>
      <c r="F284" s="61" t="s">
        <v>612</v>
      </c>
    </row>
    <row r="285" spans="2:6" ht="30" hidden="1" x14ac:dyDescent="0.25">
      <c r="B285" s="24">
        <v>42</v>
      </c>
      <c r="C285" s="43" t="s">
        <v>1295</v>
      </c>
      <c r="D285" s="2" t="s">
        <v>675</v>
      </c>
      <c r="E285" s="6" t="s">
        <v>676</v>
      </c>
      <c r="F285" s="58" t="s">
        <v>677</v>
      </c>
    </row>
    <row r="286" spans="2:6" ht="30" hidden="1" x14ac:dyDescent="0.25">
      <c r="B286" s="24">
        <v>42</v>
      </c>
      <c r="C286" s="43" t="s">
        <v>1295</v>
      </c>
      <c r="D286" s="2" t="s">
        <v>678</v>
      </c>
      <c r="E286" s="6" t="s">
        <v>679</v>
      </c>
      <c r="F286" s="58" t="s">
        <v>680</v>
      </c>
    </row>
    <row r="287" spans="2:6" ht="30" hidden="1" x14ac:dyDescent="0.25">
      <c r="B287" s="24">
        <v>42</v>
      </c>
      <c r="C287" s="43" t="s">
        <v>1295</v>
      </c>
      <c r="D287" s="2" t="s">
        <v>681</v>
      </c>
      <c r="E287" s="6" t="s">
        <v>682</v>
      </c>
      <c r="F287" s="58" t="s">
        <v>683</v>
      </c>
    </row>
    <row r="288" spans="2:6" ht="30" hidden="1" x14ac:dyDescent="0.25">
      <c r="B288" s="24">
        <v>42</v>
      </c>
      <c r="C288" s="43" t="s">
        <v>1295</v>
      </c>
      <c r="D288" s="2" t="s">
        <v>684</v>
      </c>
      <c r="E288" s="6" t="s">
        <v>685</v>
      </c>
      <c r="F288" s="58" t="s">
        <v>686</v>
      </c>
    </row>
    <row r="289" spans="2:6" ht="30" hidden="1" x14ac:dyDescent="0.25">
      <c r="B289" s="24">
        <v>42</v>
      </c>
      <c r="C289" s="43" t="s">
        <v>1295</v>
      </c>
      <c r="D289" s="2" t="s">
        <v>469</v>
      </c>
      <c r="E289" s="6" t="s">
        <v>687</v>
      </c>
      <c r="F289" s="58" t="s">
        <v>688</v>
      </c>
    </row>
    <row r="290" spans="2:6" ht="30" hidden="1" x14ac:dyDescent="0.25">
      <c r="B290" s="24">
        <v>42</v>
      </c>
      <c r="C290" s="43" t="s">
        <v>1295</v>
      </c>
      <c r="D290" s="2" t="s">
        <v>689</v>
      </c>
      <c r="E290" s="6" t="s">
        <v>690</v>
      </c>
      <c r="F290" s="58" t="s">
        <v>691</v>
      </c>
    </row>
    <row r="291" spans="2:6" ht="30.75" hidden="1" thickBot="1" x14ac:dyDescent="0.3">
      <c r="B291" s="26">
        <v>42</v>
      </c>
      <c r="C291" s="44" t="s">
        <v>1295</v>
      </c>
      <c r="D291" s="10" t="s">
        <v>692</v>
      </c>
      <c r="E291" s="12" t="s">
        <v>693</v>
      </c>
      <c r="F291" s="59" t="s">
        <v>694</v>
      </c>
    </row>
    <row r="292" spans="2:6" hidden="1" x14ac:dyDescent="0.25">
      <c r="B292" s="28">
        <v>47</v>
      </c>
      <c r="C292" s="42" t="s">
        <v>1296</v>
      </c>
      <c r="D292" s="7" t="s">
        <v>616</v>
      </c>
      <c r="E292" s="11" t="s">
        <v>617</v>
      </c>
      <c r="F292" s="61" t="s">
        <v>618</v>
      </c>
    </row>
    <row r="293" spans="2:6" ht="30" hidden="1" x14ac:dyDescent="0.25">
      <c r="B293" s="24">
        <v>47</v>
      </c>
      <c r="C293" s="43" t="s">
        <v>1296</v>
      </c>
      <c r="D293" s="2" t="s">
        <v>558</v>
      </c>
      <c r="E293" s="6" t="s">
        <v>559</v>
      </c>
      <c r="F293" s="58" t="s">
        <v>696</v>
      </c>
    </row>
    <row r="294" spans="2:6" ht="30" hidden="1" x14ac:dyDescent="0.25">
      <c r="B294" s="24">
        <v>47</v>
      </c>
      <c r="C294" s="43" t="s">
        <v>1296</v>
      </c>
      <c r="D294" s="2" t="s">
        <v>412</v>
      </c>
      <c r="E294" s="6" t="s">
        <v>413</v>
      </c>
      <c r="F294" s="58" t="s">
        <v>414</v>
      </c>
    </row>
    <row r="295" spans="2:6" hidden="1" x14ac:dyDescent="0.25">
      <c r="B295" s="24">
        <v>47</v>
      </c>
      <c r="C295" s="43" t="s">
        <v>1296</v>
      </c>
      <c r="D295" s="2" t="s">
        <v>697</v>
      </c>
      <c r="E295" s="6" t="s">
        <v>698</v>
      </c>
      <c r="F295" s="58" t="s">
        <v>699</v>
      </c>
    </row>
    <row r="296" spans="2:6" ht="30" hidden="1" x14ac:dyDescent="0.25">
      <c r="B296" s="24">
        <v>47</v>
      </c>
      <c r="C296" s="43" t="s">
        <v>1296</v>
      </c>
      <c r="D296" s="2" t="s">
        <v>370</v>
      </c>
      <c r="E296" s="6" t="s">
        <v>700</v>
      </c>
      <c r="F296" s="58" t="s">
        <v>701</v>
      </c>
    </row>
    <row r="297" spans="2:6" ht="30" hidden="1" x14ac:dyDescent="0.25">
      <c r="B297" s="24">
        <v>47</v>
      </c>
      <c r="C297" s="43" t="s">
        <v>1296</v>
      </c>
      <c r="D297" s="2" t="s">
        <v>702</v>
      </c>
      <c r="E297" s="6" t="s">
        <v>703</v>
      </c>
      <c r="F297" s="58" t="s">
        <v>704</v>
      </c>
    </row>
    <row r="298" spans="2:6" hidden="1" x14ac:dyDescent="0.25">
      <c r="B298" s="24">
        <v>47</v>
      </c>
      <c r="C298" s="43" t="s">
        <v>1296</v>
      </c>
      <c r="D298" s="2" t="s">
        <v>555</v>
      </c>
      <c r="E298" s="6" t="s">
        <v>556</v>
      </c>
      <c r="F298" s="58" t="s">
        <v>557</v>
      </c>
    </row>
    <row r="299" spans="2:6" ht="30" hidden="1" x14ac:dyDescent="0.25">
      <c r="B299" s="24">
        <v>47</v>
      </c>
      <c r="C299" s="43" t="s">
        <v>1296</v>
      </c>
      <c r="D299" s="2" t="s">
        <v>534</v>
      </c>
      <c r="E299" s="6" t="s">
        <v>535</v>
      </c>
      <c r="F299" s="58" t="s">
        <v>536</v>
      </c>
    </row>
    <row r="300" spans="2:6" ht="30" hidden="1" x14ac:dyDescent="0.25">
      <c r="B300" s="24">
        <v>47</v>
      </c>
      <c r="C300" s="43" t="s">
        <v>1296</v>
      </c>
      <c r="D300" s="2" t="s">
        <v>418</v>
      </c>
      <c r="E300" s="6" t="s">
        <v>419</v>
      </c>
      <c r="F300" s="58" t="s">
        <v>420</v>
      </c>
    </row>
    <row r="301" spans="2:6" hidden="1" x14ac:dyDescent="0.25">
      <c r="B301" s="24">
        <v>47</v>
      </c>
      <c r="C301" s="43" t="s">
        <v>1296</v>
      </c>
      <c r="D301" s="2" t="s">
        <v>211</v>
      </c>
      <c r="E301" s="6" t="s">
        <v>212</v>
      </c>
      <c r="F301" s="58" t="s">
        <v>213</v>
      </c>
    </row>
    <row r="302" spans="2:6" ht="30.75" hidden="1" thickBot="1" x14ac:dyDescent="0.3">
      <c r="B302" s="26">
        <v>47</v>
      </c>
      <c r="C302" s="44" t="s">
        <v>1296</v>
      </c>
      <c r="D302" s="10" t="s">
        <v>512</v>
      </c>
      <c r="E302" s="12" t="s">
        <v>513</v>
      </c>
      <c r="F302" s="59" t="s">
        <v>514</v>
      </c>
    </row>
    <row r="303" spans="2:6" hidden="1" x14ac:dyDescent="0.25">
      <c r="B303" s="29">
        <v>48</v>
      </c>
      <c r="C303" s="42" t="s">
        <v>1297</v>
      </c>
      <c r="D303" s="7" t="s">
        <v>639</v>
      </c>
      <c r="E303" s="11" t="s">
        <v>611</v>
      </c>
      <c r="F303" s="57" t="s">
        <v>612</v>
      </c>
    </row>
    <row r="304" spans="2:6" hidden="1" x14ac:dyDescent="0.25">
      <c r="B304" s="30">
        <v>48</v>
      </c>
      <c r="C304" s="43" t="s">
        <v>1297</v>
      </c>
      <c r="D304" s="2" t="s">
        <v>706</v>
      </c>
      <c r="E304" s="6" t="s">
        <v>707</v>
      </c>
      <c r="F304" s="55" t="s">
        <v>708</v>
      </c>
    </row>
    <row r="305" spans="2:6" ht="30" hidden="1" x14ac:dyDescent="0.25">
      <c r="B305" s="30">
        <v>48</v>
      </c>
      <c r="C305" s="43" t="s">
        <v>1297</v>
      </c>
      <c r="D305" s="2" t="s">
        <v>709</v>
      </c>
      <c r="E305" s="6" t="s">
        <v>710</v>
      </c>
      <c r="F305" s="55" t="s">
        <v>711</v>
      </c>
    </row>
    <row r="306" spans="2:6" hidden="1" x14ac:dyDescent="0.25">
      <c r="B306" s="30">
        <v>48</v>
      </c>
      <c r="C306" s="43" t="s">
        <v>1297</v>
      </c>
      <c r="D306" s="2" t="s">
        <v>712</v>
      </c>
      <c r="E306" s="6" t="s">
        <v>713</v>
      </c>
      <c r="F306" s="55" t="s">
        <v>714</v>
      </c>
    </row>
    <row r="307" spans="2:6" ht="45" hidden="1" x14ac:dyDescent="0.25">
      <c r="B307" s="30">
        <v>48</v>
      </c>
      <c r="C307" s="43" t="s">
        <v>1297</v>
      </c>
      <c r="D307" s="2" t="s">
        <v>715</v>
      </c>
      <c r="E307" s="6" t="s">
        <v>716</v>
      </c>
      <c r="F307" s="55" t="s">
        <v>717</v>
      </c>
    </row>
    <row r="308" spans="2:6" hidden="1" x14ac:dyDescent="0.25">
      <c r="B308" s="30">
        <v>48</v>
      </c>
      <c r="C308" s="43" t="s">
        <v>1297</v>
      </c>
      <c r="D308" s="2" t="s">
        <v>718</v>
      </c>
      <c r="E308" s="6" t="s">
        <v>719</v>
      </c>
      <c r="F308" s="55" t="s">
        <v>720</v>
      </c>
    </row>
    <row r="309" spans="2:6" ht="45" hidden="1" x14ac:dyDescent="0.25">
      <c r="B309" s="30">
        <v>48</v>
      </c>
      <c r="C309" s="43" t="s">
        <v>1297</v>
      </c>
      <c r="D309" s="2" t="s">
        <v>721</v>
      </c>
      <c r="E309" s="6" t="s">
        <v>722</v>
      </c>
      <c r="F309" s="55" t="s">
        <v>723</v>
      </c>
    </row>
    <row r="310" spans="2:6" hidden="1" x14ac:dyDescent="0.25">
      <c r="B310" s="30">
        <v>48</v>
      </c>
      <c r="C310" s="43" t="s">
        <v>1297</v>
      </c>
      <c r="D310" s="2" t="s">
        <v>334</v>
      </c>
      <c r="E310" s="6" t="s">
        <v>335</v>
      </c>
      <c r="F310" s="55" t="s">
        <v>336</v>
      </c>
    </row>
    <row r="311" spans="2:6" ht="30" hidden="1" x14ac:dyDescent="0.25">
      <c r="B311" s="30">
        <v>48</v>
      </c>
      <c r="C311" s="43" t="s">
        <v>1297</v>
      </c>
      <c r="D311" s="2" t="s">
        <v>625</v>
      </c>
      <c r="E311" s="6" t="s">
        <v>626</v>
      </c>
      <c r="F311" s="55" t="s">
        <v>627</v>
      </c>
    </row>
    <row r="312" spans="2:6" ht="30.75" hidden="1" thickBot="1" x14ac:dyDescent="0.3">
      <c r="B312" s="31">
        <v>48</v>
      </c>
      <c r="C312" s="44" t="s">
        <v>1297</v>
      </c>
      <c r="D312" s="10" t="s">
        <v>534</v>
      </c>
      <c r="E312" s="12" t="s">
        <v>535</v>
      </c>
      <c r="F312" s="56" t="s">
        <v>536</v>
      </c>
    </row>
    <row r="313" spans="2:6" ht="30" hidden="1" x14ac:dyDescent="0.25">
      <c r="B313" s="29">
        <v>49</v>
      </c>
      <c r="C313" s="42" t="s">
        <v>1298</v>
      </c>
      <c r="D313" s="7" t="s">
        <v>725</v>
      </c>
      <c r="E313" s="11" t="s">
        <v>726</v>
      </c>
      <c r="F313" s="57" t="s">
        <v>727</v>
      </c>
    </row>
    <row r="314" spans="2:6" hidden="1" x14ac:dyDescent="0.25">
      <c r="B314" s="30">
        <v>49</v>
      </c>
      <c r="C314" s="43" t="s">
        <v>1298</v>
      </c>
      <c r="D314" s="2" t="s">
        <v>728</v>
      </c>
      <c r="E314" s="6" t="s">
        <v>729</v>
      </c>
      <c r="F314" s="55" t="s">
        <v>730</v>
      </c>
    </row>
    <row r="315" spans="2:6" hidden="1" x14ac:dyDescent="0.25">
      <c r="B315" s="30">
        <v>49</v>
      </c>
      <c r="C315" s="43" t="s">
        <v>1298</v>
      </c>
      <c r="D315" s="2" t="s">
        <v>731</v>
      </c>
      <c r="E315" s="6" t="s">
        <v>732</v>
      </c>
      <c r="F315" s="55" t="s">
        <v>733</v>
      </c>
    </row>
    <row r="316" spans="2:6" ht="30" hidden="1" x14ac:dyDescent="0.25">
      <c r="B316" s="30">
        <v>49</v>
      </c>
      <c r="C316" s="43" t="s">
        <v>1298</v>
      </c>
      <c r="D316" s="2" t="s">
        <v>734</v>
      </c>
      <c r="E316" s="6" t="s">
        <v>735</v>
      </c>
      <c r="F316" s="55" t="s">
        <v>736</v>
      </c>
    </row>
    <row r="317" spans="2:6" ht="30" hidden="1" x14ac:dyDescent="0.25">
      <c r="B317" s="30">
        <v>49</v>
      </c>
      <c r="C317" s="43" t="s">
        <v>1298</v>
      </c>
      <c r="D317" s="2" t="s">
        <v>737</v>
      </c>
      <c r="E317" s="6" t="s">
        <v>738</v>
      </c>
      <c r="F317" s="55" t="s">
        <v>739</v>
      </c>
    </row>
    <row r="318" spans="2:6" hidden="1" x14ac:dyDescent="0.25">
      <c r="B318" s="30">
        <v>49</v>
      </c>
      <c r="C318" s="43" t="s">
        <v>1298</v>
      </c>
      <c r="D318" s="2" t="s">
        <v>639</v>
      </c>
      <c r="E318" s="6" t="s">
        <v>611</v>
      </c>
      <c r="F318" s="55" t="s">
        <v>612</v>
      </c>
    </row>
    <row r="319" spans="2:6" ht="30" hidden="1" x14ac:dyDescent="0.25">
      <c r="B319" s="30">
        <v>49</v>
      </c>
      <c r="C319" s="43" t="s">
        <v>1298</v>
      </c>
      <c r="D319" s="2" t="s">
        <v>625</v>
      </c>
      <c r="E319" s="6" t="s">
        <v>626</v>
      </c>
      <c r="F319" s="55" t="s">
        <v>627</v>
      </c>
    </row>
    <row r="320" spans="2:6" ht="15.75" hidden="1" thickBot="1" x14ac:dyDescent="0.3">
      <c r="B320" s="31">
        <v>49</v>
      </c>
      <c r="C320" s="44" t="s">
        <v>1298</v>
      </c>
      <c r="D320" s="10" t="s">
        <v>616</v>
      </c>
      <c r="E320" s="12" t="s">
        <v>617</v>
      </c>
      <c r="F320" s="56" t="s">
        <v>618</v>
      </c>
    </row>
    <row r="321" spans="2:6" ht="30" hidden="1" x14ac:dyDescent="0.25">
      <c r="B321" s="29">
        <v>50</v>
      </c>
      <c r="C321" s="42" t="s">
        <v>1299</v>
      </c>
      <c r="D321" s="7" t="s">
        <v>741</v>
      </c>
      <c r="E321" s="11" t="s">
        <v>742</v>
      </c>
      <c r="F321" s="57" t="s">
        <v>743</v>
      </c>
    </row>
    <row r="322" spans="2:6" ht="30.75" hidden="1" thickBot="1" x14ac:dyDescent="0.3">
      <c r="B322" s="31">
        <v>50</v>
      </c>
      <c r="C322" s="44" t="s">
        <v>1299</v>
      </c>
      <c r="D322" s="10" t="s">
        <v>744</v>
      </c>
      <c r="E322" s="12" t="s">
        <v>745</v>
      </c>
      <c r="F322" s="56" t="s">
        <v>746</v>
      </c>
    </row>
    <row r="323" spans="2:6" ht="60" hidden="1" x14ac:dyDescent="0.25">
      <c r="B323" s="29">
        <v>51</v>
      </c>
      <c r="C323" s="42" t="s">
        <v>1300</v>
      </c>
      <c r="D323" s="7" t="s">
        <v>748</v>
      </c>
      <c r="E323" s="11" t="s">
        <v>749</v>
      </c>
      <c r="F323" s="57" t="s">
        <v>750</v>
      </c>
    </row>
    <row r="324" spans="2:6" ht="30" hidden="1" x14ac:dyDescent="0.25">
      <c r="B324" s="30">
        <v>51</v>
      </c>
      <c r="C324" s="43" t="s">
        <v>1300</v>
      </c>
      <c r="D324" s="2" t="s">
        <v>751</v>
      </c>
      <c r="E324" s="6" t="s">
        <v>752</v>
      </c>
      <c r="F324" s="55" t="s">
        <v>753</v>
      </c>
    </row>
    <row r="325" spans="2:6" ht="30.75" hidden="1" thickBot="1" x14ac:dyDescent="0.3">
      <c r="B325" s="31">
        <v>51</v>
      </c>
      <c r="C325" s="44" t="s">
        <v>1300</v>
      </c>
      <c r="D325" s="10" t="s">
        <v>754</v>
      </c>
      <c r="E325" s="12" t="s">
        <v>206</v>
      </c>
      <c r="F325" s="56" t="s">
        <v>207</v>
      </c>
    </row>
    <row r="326" spans="2:6" ht="30" hidden="1" x14ac:dyDescent="0.25">
      <c r="B326" s="28">
        <v>52</v>
      </c>
      <c r="C326" s="42" t="s">
        <v>1301</v>
      </c>
      <c r="D326" s="7" t="s">
        <v>534</v>
      </c>
      <c r="E326" s="11" t="s">
        <v>535</v>
      </c>
      <c r="F326" s="61" t="s">
        <v>536</v>
      </c>
    </row>
    <row r="327" spans="2:6" ht="30" hidden="1" x14ac:dyDescent="0.25">
      <c r="B327" s="24">
        <v>52</v>
      </c>
      <c r="C327" s="43" t="s">
        <v>1301</v>
      </c>
      <c r="D327" s="2" t="s">
        <v>418</v>
      </c>
      <c r="E327" s="6" t="s">
        <v>419</v>
      </c>
      <c r="F327" s="58" t="s">
        <v>420</v>
      </c>
    </row>
    <row r="328" spans="2:6" ht="15.75" hidden="1" thickBot="1" x14ac:dyDescent="0.3">
      <c r="B328" s="26">
        <v>52</v>
      </c>
      <c r="C328" s="44" t="s">
        <v>1301</v>
      </c>
      <c r="D328" s="10" t="s">
        <v>639</v>
      </c>
      <c r="E328" s="12" t="s">
        <v>611</v>
      </c>
      <c r="F328" s="59" t="s">
        <v>612</v>
      </c>
    </row>
    <row r="329" spans="2:6" ht="30" hidden="1" x14ac:dyDescent="0.25">
      <c r="B329" s="29">
        <v>56</v>
      </c>
      <c r="C329" s="34" t="s">
        <v>1302</v>
      </c>
      <c r="D329" s="7" t="s">
        <v>757</v>
      </c>
      <c r="E329" s="11" t="s">
        <v>758</v>
      </c>
      <c r="F329" s="57" t="s">
        <v>759</v>
      </c>
    </row>
    <row r="330" spans="2:6" hidden="1" x14ac:dyDescent="0.25">
      <c r="B330" s="30">
        <v>56</v>
      </c>
      <c r="C330" s="25" t="s">
        <v>1302</v>
      </c>
      <c r="D330" s="2" t="s">
        <v>760</v>
      </c>
      <c r="E330" s="6" t="s">
        <v>761</v>
      </c>
      <c r="F330" s="55" t="s">
        <v>762</v>
      </c>
    </row>
    <row r="331" spans="2:6" ht="30" hidden="1" x14ac:dyDescent="0.25">
      <c r="B331" s="30">
        <v>56</v>
      </c>
      <c r="C331" s="25" t="s">
        <v>1302</v>
      </c>
      <c r="D331" s="2" t="s">
        <v>763</v>
      </c>
      <c r="E331" s="6" t="s">
        <v>764</v>
      </c>
      <c r="F331" s="55" t="s">
        <v>765</v>
      </c>
    </row>
    <row r="332" spans="2:6" ht="15.75" hidden="1" thickBot="1" x14ac:dyDescent="0.3">
      <c r="B332" s="31">
        <v>56</v>
      </c>
      <c r="C332" s="27" t="s">
        <v>1302</v>
      </c>
      <c r="D332" s="10" t="s">
        <v>51</v>
      </c>
      <c r="E332" s="12" t="s">
        <v>52</v>
      </c>
      <c r="F332" s="56" t="s">
        <v>53</v>
      </c>
    </row>
    <row r="333" spans="2:6" ht="16.5" hidden="1" thickTop="1" thickBot="1" x14ac:dyDescent="0.3">
      <c r="B333" s="32">
        <v>72</v>
      </c>
      <c r="C333" s="45" t="s">
        <v>1303</v>
      </c>
      <c r="D333" s="13" t="s">
        <v>51</v>
      </c>
      <c r="E333" s="14" t="s">
        <v>52</v>
      </c>
      <c r="F333" s="60" t="s">
        <v>53</v>
      </c>
    </row>
    <row r="334" spans="2:6" ht="30" hidden="1" x14ac:dyDescent="0.25">
      <c r="B334" s="29">
        <v>74</v>
      </c>
      <c r="C334" s="42" t="s">
        <v>1305</v>
      </c>
      <c r="D334" s="7" t="s">
        <v>768</v>
      </c>
      <c r="E334" s="11" t="s">
        <v>769</v>
      </c>
      <c r="F334" s="57" t="s">
        <v>770</v>
      </c>
    </row>
    <row r="335" spans="2:6" hidden="1" x14ac:dyDescent="0.25">
      <c r="B335" s="30">
        <v>74</v>
      </c>
      <c r="C335" s="43" t="s">
        <v>1305</v>
      </c>
      <c r="D335" s="2" t="s">
        <v>771</v>
      </c>
      <c r="E335" s="6" t="s">
        <v>772</v>
      </c>
      <c r="F335" s="55" t="s">
        <v>773</v>
      </c>
    </row>
    <row r="336" spans="2:6" hidden="1" x14ac:dyDescent="0.25">
      <c r="B336" s="30">
        <v>74</v>
      </c>
      <c r="C336" s="43" t="s">
        <v>1305</v>
      </c>
      <c r="D336" s="2" t="s">
        <v>774</v>
      </c>
      <c r="E336" s="6" t="s">
        <v>775</v>
      </c>
      <c r="F336" s="55" t="s">
        <v>776</v>
      </c>
    </row>
    <row r="337" spans="2:6" ht="30" hidden="1" x14ac:dyDescent="0.25">
      <c r="B337" s="30">
        <v>74</v>
      </c>
      <c r="C337" s="43" t="s">
        <v>1305</v>
      </c>
      <c r="D337" s="2" t="s">
        <v>777</v>
      </c>
      <c r="E337" s="6" t="s">
        <v>778</v>
      </c>
      <c r="F337" s="55" t="s">
        <v>779</v>
      </c>
    </row>
    <row r="338" spans="2:6" ht="30" hidden="1" x14ac:dyDescent="0.25">
      <c r="B338" s="30">
        <v>74</v>
      </c>
      <c r="C338" s="43" t="s">
        <v>1305</v>
      </c>
      <c r="D338" s="2" t="s">
        <v>780</v>
      </c>
      <c r="E338" s="6" t="s">
        <v>781</v>
      </c>
      <c r="F338" s="55" t="s">
        <v>782</v>
      </c>
    </row>
    <row r="339" spans="2:6" hidden="1" x14ac:dyDescent="0.25">
      <c r="B339" s="30">
        <v>74</v>
      </c>
      <c r="C339" s="43" t="s">
        <v>1305</v>
      </c>
      <c r="D339" s="2" t="s">
        <v>477</v>
      </c>
      <c r="E339" s="6" t="s">
        <v>478</v>
      </c>
      <c r="F339" s="55" t="s">
        <v>479</v>
      </c>
    </row>
    <row r="340" spans="2:6" ht="30" hidden="1" x14ac:dyDescent="0.25">
      <c r="B340" s="30">
        <v>74</v>
      </c>
      <c r="C340" s="43" t="s">
        <v>1305</v>
      </c>
      <c r="D340" s="2" t="s">
        <v>783</v>
      </c>
      <c r="E340" s="6" t="s">
        <v>784</v>
      </c>
      <c r="F340" s="55" t="s">
        <v>785</v>
      </c>
    </row>
    <row r="341" spans="2:6" hidden="1" x14ac:dyDescent="0.25">
      <c r="B341" s="30">
        <v>74</v>
      </c>
      <c r="C341" s="43" t="s">
        <v>1305</v>
      </c>
      <c r="D341" s="2" t="s">
        <v>786</v>
      </c>
      <c r="E341" s="6" t="s">
        <v>787</v>
      </c>
      <c r="F341" s="55" t="s">
        <v>788</v>
      </c>
    </row>
    <row r="342" spans="2:6" ht="15.75" hidden="1" thickBot="1" x14ac:dyDescent="0.3">
      <c r="B342" s="31">
        <v>74</v>
      </c>
      <c r="C342" s="44" t="s">
        <v>1305</v>
      </c>
      <c r="D342" s="10" t="s">
        <v>51</v>
      </c>
      <c r="E342" s="12" t="s">
        <v>52</v>
      </c>
      <c r="F342" s="56" t="s">
        <v>53</v>
      </c>
    </row>
    <row r="343" spans="2:6" x14ac:dyDescent="0.25">
      <c r="B343" s="29">
        <v>79</v>
      </c>
      <c r="C343" s="42" t="s">
        <v>1307</v>
      </c>
      <c r="D343" s="7" t="s">
        <v>616</v>
      </c>
      <c r="E343" s="11" t="s">
        <v>617</v>
      </c>
      <c r="F343" s="57" t="s">
        <v>618</v>
      </c>
    </row>
    <row r="344" spans="2:6" x14ac:dyDescent="0.25">
      <c r="B344" s="30">
        <v>79</v>
      </c>
      <c r="C344" s="43" t="s">
        <v>1307</v>
      </c>
      <c r="D344" s="2" t="s">
        <v>211</v>
      </c>
      <c r="E344" s="6" t="s">
        <v>212</v>
      </c>
      <c r="F344" s="58" t="s">
        <v>213</v>
      </c>
    </row>
    <row r="345" spans="2:6" ht="30" x14ac:dyDescent="0.25">
      <c r="B345" s="30">
        <v>79</v>
      </c>
      <c r="C345" s="43" t="s">
        <v>1307</v>
      </c>
      <c r="D345" s="2" t="s">
        <v>412</v>
      </c>
      <c r="E345" s="6" t="s">
        <v>413</v>
      </c>
      <c r="F345" s="55" t="s">
        <v>414</v>
      </c>
    </row>
    <row r="346" spans="2:6" ht="30" x14ac:dyDescent="0.25">
      <c r="B346" s="30">
        <v>79</v>
      </c>
      <c r="C346" s="43" t="s">
        <v>1307</v>
      </c>
      <c r="D346" s="2" t="s">
        <v>793</v>
      </c>
      <c r="E346" s="6" t="s">
        <v>794</v>
      </c>
      <c r="F346" s="55" t="s">
        <v>795</v>
      </c>
    </row>
    <row r="347" spans="2:6" x14ac:dyDescent="0.25">
      <c r="B347" s="30">
        <v>79</v>
      </c>
      <c r="C347" s="43" t="s">
        <v>1307</v>
      </c>
      <c r="D347" s="2" t="s">
        <v>388</v>
      </c>
      <c r="E347" s="6" t="s">
        <v>796</v>
      </c>
      <c r="F347" s="55" t="s">
        <v>797</v>
      </c>
    </row>
    <row r="348" spans="2:6" ht="30" x14ac:dyDescent="0.25">
      <c r="B348" s="30">
        <v>79</v>
      </c>
      <c r="C348" s="43" t="s">
        <v>1307</v>
      </c>
      <c r="D348" s="2" t="s">
        <v>790</v>
      </c>
      <c r="E348" s="6" t="s">
        <v>791</v>
      </c>
      <c r="F348" s="55" t="s">
        <v>792</v>
      </c>
    </row>
    <row r="349" spans="2:6" ht="30" x14ac:dyDescent="0.25">
      <c r="B349" s="30">
        <v>79</v>
      </c>
      <c r="C349" s="43" t="s">
        <v>1307</v>
      </c>
      <c r="D349" s="2" t="s">
        <v>799</v>
      </c>
      <c r="E349" s="6" t="s">
        <v>800</v>
      </c>
      <c r="F349" s="55" t="s">
        <v>801</v>
      </c>
    </row>
    <row r="350" spans="2:6" x14ac:dyDescent="0.25">
      <c r="B350" s="30">
        <v>79</v>
      </c>
      <c r="C350" s="43" t="s">
        <v>1307</v>
      </c>
      <c r="D350" s="2" t="s">
        <v>697</v>
      </c>
      <c r="E350" s="6" t="s">
        <v>698</v>
      </c>
      <c r="F350" s="55" t="s">
        <v>805</v>
      </c>
    </row>
    <row r="351" spans="2:6" ht="30" x14ac:dyDescent="0.25">
      <c r="B351" s="30">
        <v>79</v>
      </c>
      <c r="C351" s="43" t="s">
        <v>1307</v>
      </c>
      <c r="D351" s="2" t="s">
        <v>798</v>
      </c>
      <c r="E351" s="6" t="s">
        <v>572</v>
      </c>
      <c r="F351" s="55" t="s">
        <v>573</v>
      </c>
    </row>
    <row r="352" spans="2:6" ht="30" x14ac:dyDescent="0.25">
      <c r="B352" s="30">
        <v>79</v>
      </c>
      <c r="C352" s="43" t="s">
        <v>1307</v>
      </c>
      <c r="D352" s="2" t="s">
        <v>558</v>
      </c>
      <c r="E352" s="6" t="s">
        <v>559</v>
      </c>
      <c r="F352" s="55" t="s">
        <v>560</v>
      </c>
    </row>
    <row r="353" spans="2:6" ht="30" x14ac:dyDescent="0.25">
      <c r="B353" s="30">
        <v>79</v>
      </c>
      <c r="C353" s="43" t="s">
        <v>1307</v>
      </c>
      <c r="D353" s="2" t="s">
        <v>802</v>
      </c>
      <c r="E353" s="6" t="s">
        <v>803</v>
      </c>
      <c r="F353" s="55" t="s">
        <v>804</v>
      </c>
    </row>
    <row r="354" spans="2:6" ht="30" x14ac:dyDescent="0.25">
      <c r="B354" s="30">
        <v>79</v>
      </c>
      <c r="C354" s="43" t="s">
        <v>1307</v>
      </c>
      <c r="D354" s="2" t="s">
        <v>702</v>
      </c>
      <c r="E354" s="6" t="s">
        <v>703</v>
      </c>
      <c r="F354" s="55" t="s">
        <v>704</v>
      </c>
    </row>
    <row r="355" spans="2:6" ht="30" x14ac:dyDescent="0.25">
      <c r="B355" s="30">
        <v>79</v>
      </c>
      <c r="C355" s="43" t="s">
        <v>1307</v>
      </c>
      <c r="D355" s="2" t="s">
        <v>503</v>
      </c>
      <c r="E355" s="6" t="s">
        <v>504</v>
      </c>
      <c r="F355" s="55" t="s">
        <v>505</v>
      </c>
    </row>
    <row r="356" spans="2:6" ht="30" x14ac:dyDescent="0.25">
      <c r="B356" s="30">
        <v>79</v>
      </c>
      <c r="C356" s="43" t="s">
        <v>1307</v>
      </c>
      <c r="D356" s="2" t="s">
        <v>418</v>
      </c>
      <c r="E356" s="6" t="s">
        <v>419</v>
      </c>
      <c r="F356" s="58" t="s">
        <v>420</v>
      </c>
    </row>
    <row r="357" spans="2:6" ht="30" x14ac:dyDescent="0.25">
      <c r="B357" s="30">
        <v>79</v>
      </c>
      <c r="C357" s="43" t="s">
        <v>1307</v>
      </c>
      <c r="D357" s="2" t="s">
        <v>512</v>
      </c>
      <c r="E357" s="6" t="s">
        <v>513</v>
      </c>
      <c r="F357" s="58" t="s">
        <v>514</v>
      </c>
    </row>
    <row r="358" spans="2:6" ht="30.75" thickBot="1" x14ac:dyDescent="0.3">
      <c r="B358" s="31">
        <v>79</v>
      </c>
      <c r="C358" s="44" t="s">
        <v>1307</v>
      </c>
      <c r="D358" s="10" t="s">
        <v>534</v>
      </c>
      <c r="E358" s="12" t="s">
        <v>535</v>
      </c>
      <c r="F358" s="56" t="s">
        <v>536</v>
      </c>
    </row>
    <row r="359" spans="2:6" ht="16.5" hidden="1" thickTop="1" thickBot="1" x14ac:dyDescent="0.3">
      <c r="B359" s="33">
        <v>80</v>
      </c>
      <c r="C359" s="45" t="s">
        <v>1308</v>
      </c>
      <c r="D359" s="13" t="s">
        <v>697</v>
      </c>
      <c r="E359" s="14" t="s">
        <v>698</v>
      </c>
      <c r="F359" s="62" t="s">
        <v>699</v>
      </c>
    </row>
    <row r="360" spans="2:6" ht="16.5" hidden="1" thickTop="1" thickBot="1" x14ac:dyDescent="0.3">
      <c r="B360" s="33">
        <v>81</v>
      </c>
      <c r="C360" s="45" t="s">
        <v>1309</v>
      </c>
      <c r="D360" s="13" t="s">
        <v>51</v>
      </c>
      <c r="E360" s="14" t="s">
        <v>52</v>
      </c>
      <c r="F360" s="62" t="s">
        <v>53</v>
      </c>
    </row>
    <row r="361" spans="2:6" ht="30.75" hidden="1" thickTop="1" x14ac:dyDescent="0.25">
      <c r="B361" s="28">
        <v>82</v>
      </c>
      <c r="C361" s="34" t="s">
        <v>1310</v>
      </c>
      <c r="D361" s="7" t="s">
        <v>809</v>
      </c>
      <c r="E361" s="11" t="s">
        <v>810</v>
      </c>
      <c r="F361" s="57" t="s">
        <v>811</v>
      </c>
    </row>
    <row r="362" spans="2:6" ht="30.75" hidden="1" thickTop="1" x14ac:dyDescent="0.25">
      <c r="B362" s="24">
        <v>82</v>
      </c>
      <c r="C362" s="25" t="s">
        <v>1310</v>
      </c>
      <c r="D362" s="2" t="s">
        <v>812</v>
      </c>
      <c r="E362" s="6" t="s">
        <v>813</v>
      </c>
      <c r="F362" s="55" t="s">
        <v>814</v>
      </c>
    </row>
    <row r="363" spans="2:6" ht="15.75" hidden="1" thickTop="1" x14ac:dyDescent="0.25">
      <c r="B363" s="24">
        <v>82</v>
      </c>
      <c r="C363" s="25" t="s">
        <v>1310</v>
      </c>
      <c r="D363" s="2" t="s">
        <v>815</v>
      </c>
      <c r="E363" s="6" t="s">
        <v>816</v>
      </c>
      <c r="F363" s="55" t="s">
        <v>817</v>
      </c>
    </row>
    <row r="364" spans="2:6" ht="30.75" hidden="1" thickTop="1" x14ac:dyDescent="0.25">
      <c r="B364" s="24">
        <v>82</v>
      </c>
      <c r="C364" s="25" t="s">
        <v>1310</v>
      </c>
      <c r="D364" s="2" t="s">
        <v>818</v>
      </c>
      <c r="E364" s="6" t="s">
        <v>819</v>
      </c>
      <c r="F364" s="55" t="s">
        <v>820</v>
      </c>
    </row>
    <row r="365" spans="2:6" ht="30.75" hidden="1" thickTop="1" x14ac:dyDescent="0.25">
      <c r="B365" s="24">
        <v>82</v>
      </c>
      <c r="C365" s="25" t="s">
        <v>1310</v>
      </c>
      <c r="D365" s="2" t="s">
        <v>190</v>
      </c>
      <c r="E365" s="6" t="s">
        <v>821</v>
      </c>
      <c r="F365" s="55" t="s">
        <v>822</v>
      </c>
    </row>
    <row r="366" spans="2:6" ht="15.75" hidden="1" thickTop="1" x14ac:dyDescent="0.25">
      <c r="B366" s="24">
        <v>82</v>
      </c>
      <c r="C366" s="25" t="s">
        <v>1310</v>
      </c>
      <c r="D366" s="2" t="s">
        <v>142</v>
      </c>
      <c r="E366" s="6" t="s">
        <v>556</v>
      </c>
      <c r="F366" s="55" t="s">
        <v>557</v>
      </c>
    </row>
    <row r="367" spans="2:6" ht="30.75" hidden="1" thickTop="1" x14ac:dyDescent="0.25">
      <c r="B367" s="24">
        <v>82</v>
      </c>
      <c r="C367" s="25" t="s">
        <v>1310</v>
      </c>
      <c r="D367" s="2" t="s">
        <v>823</v>
      </c>
      <c r="E367" s="6" t="s">
        <v>824</v>
      </c>
      <c r="F367" s="55" t="s">
        <v>825</v>
      </c>
    </row>
    <row r="368" spans="2:6" ht="15.75" hidden="1" thickTop="1" x14ac:dyDescent="0.25">
      <c r="B368" s="24">
        <v>82</v>
      </c>
      <c r="C368" s="25" t="s">
        <v>1310</v>
      </c>
      <c r="D368" s="2" t="s">
        <v>826</v>
      </c>
      <c r="E368" s="6" t="s">
        <v>827</v>
      </c>
      <c r="F368" s="55" t="s">
        <v>828</v>
      </c>
    </row>
    <row r="369" spans="2:6" ht="30.75" hidden="1" thickTop="1" x14ac:dyDescent="0.25">
      <c r="B369" s="24">
        <v>82</v>
      </c>
      <c r="C369" s="25" t="s">
        <v>1310</v>
      </c>
      <c r="D369" s="2" t="s">
        <v>829</v>
      </c>
      <c r="E369" s="6" t="s">
        <v>830</v>
      </c>
      <c r="F369" s="55" t="s">
        <v>831</v>
      </c>
    </row>
    <row r="370" spans="2:6" ht="15.75" hidden="1" thickTop="1" x14ac:dyDescent="0.25">
      <c r="B370" s="24">
        <v>82</v>
      </c>
      <c r="C370" s="25" t="s">
        <v>1310</v>
      </c>
      <c r="D370" s="2" t="s">
        <v>616</v>
      </c>
      <c r="E370" s="6" t="s">
        <v>617</v>
      </c>
      <c r="F370" s="55" t="s">
        <v>618</v>
      </c>
    </row>
    <row r="371" spans="2:6" ht="15.75" hidden="1" thickTop="1" x14ac:dyDescent="0.25">
      <c r="B371" s="24">
        <v>82</v>
      </c>
      <c r="C371" s="25" t="s">
        <v>1310</v>
      </c>
      <c r="D371" s="2" t="s">
        <v>334</v>
      </c>
      <c r="E371" s="6" t="s">
        <v>335</v>
      </c>
      <c r="F371" s="55" t="s">
        <v>336</v>
      </c>
    </row>
    <row r="372" spans="2:6" ht="15.75" hidden="1" thickTop="1" x14ac:dyDescent="0.25">
      <c r="B372" s="24">
        <v>82</v>
      </c>
      <c r="C372" s="25" t="s">
        <v>1310</v>
      </c>
      <c r="D372" s="2" t="s">
        <v>628</v>
      </c>
      <c r="E372" s="6" t="s">
        <v>629</v>
      </c>
      <c r="F372" s="55" t="s">
        <v>630</v>
      </c>
    </row>
    <row r="373" spans="2:6" ht="30.75" hidden="1" thickTop="1" x14ac:dyDescent="0.25">
      <c r="B373" s="24">
        <v>82</v>
      </c>
      <c r="C373" s="25" t="s">
        <v>1310</v>
      </c>
      <c r="D373" s="2" t="s">
        <v>631</v>
      </c>
      <c r="E373" s="6" t="s">
        <v>632</v>
      </c>
      <c r="F373" s="55" t="s">
        <v>633</v>
      </c>
    </row>
    <row r="374" spans="2:6" ht="30.75" hidden="1" thickTop="1" x14ac:dyDescent="0.25">
      <c r="B374" s="24">
        <v>82</v>
      </c>
      <c r="C374" s="25" t="s">
        <v>1310</v>
      </c>
      <c r="D374" s="2" t="s">
        <v>418</v>
      </c>
      <c r="E374" s="6" t="s">
        <v>419</v>
      </c>
      <c r="F374" s="58" t="s">
        <v>420</v>
      </c>
    </row>
    <row r="375" spans="2:6" ht="31.5" hidden="1" thickTop="1" thickBot="1" x14ac:dyDescent="0.3">
      <c r="B375" s="26">
        <v>82</v>
      </c>
      <c r="C375" s="27" t="s">
        <v>1310</v>
      </c>
      <c r="D375" s="10" t="s">
        <v>537</v>
      </c>
      <c r="E375" s="12" t="s">
        <v>538</v>
      </c>
      <c r="F375" s="56" t="s">
        <v>539</v>
      </c>
    </row>
    <row r="376" spans="2:6" ht="30.75" hidden="1" thickTop="1" x14ac:dyDescent="0.25">
      <c r="B376" s="29">
        <v>83</v>
      </c>
      <c r="C376" s="42" t="s">
        <v>1311</v>
      </c>
      <c r="D376" s="7" t="s">
        <v>833</v>
      </c>
      <c r="E376" s="11" t="s">
        <v>834</v>
      </c>
      <c r="F376" s="57" t="s">
        <v>835</v>
      </c>
    </row>
    <row r="377" spans="2:6" ht="16.5" hidden="1" thickTop="1" thickBot="1" x14ac:dyDescent="0.3">
      <c r="B377" s="31">
        <v>83</v>
      </c>
      <c r="C377" s="44" t="s">
        <v>1311</v>
      </c>
      <c r="D377" s="10" t="s">
        <v>616</v>
      </c>
      <c r="E377" s="12" t="s">
        <v>617</v>
      </c>
      <c r="F377" s="56" t="s">
        <v>618</v>
      </c>
    </row>
    <row r="378" spans="2:6" ht="30.75" hidden="1" thickTop="1" x14ac:dyDescent="0.25">
      <c r="B378" s="28" t="s">
        <v>836</v>
      </c>
      <c r="C378" s="42" t="s">
        <v>1312</v>
      </c>
      <c r="D378" s="7" t="s">
        <v>838</v>
      </c>
      <c r="E378" s="11" t="s">
        <v>839</v>
      </c>
      <c r="F378" s="57" t="s">
        <v>840</v>
      </c>
    </row>
    <row r="379" spans="2:6" ht="30.75" hidden="1" thickTop="1" x14ac:dyDescent="0.25">
      <c r="B379" s="24" t="s">
        <v>836</v>
      </c>
      <c r="C379" s="43" t="s">
        <v>1312</v>
      </c>
      <c r="D379" s="2" t="s">
        <v>841</v>
      </c>
      <c r="E379" s="6" t="s">
        <v>842</v>
      </c>
      <c r="F379" s="55" t="s">
        <v>843</v>
      </c>
    </row>
    <row r="380" spans="2:6" ht="30.75" hidden="1" thickTop="1" x14ac:dyDescent="0.25">
      <c r="B380" s="24" t="s">
        <v>836</v>
      </c>
      <c r="C380" s="43" t="s">
        <v>1312</v>
      </c>
      <c r="D380" s="2" t="s">
        <v>844</v>
      </c>
      <c r="E380" s="6" t="s">
        <v>845</v>
      </c>
      <c r="F380" s="55" t="s">
        <v>846</v>
      </c>
    </row>
    <row r="381" spans="2:6" ht="30.75" hidden="1" thickTop="1" x14ac:dyDescent="0.25">
      <c r="B381" s="24" t="s">
        <v>836</v>
      </c>
      <c r="C381" s="43" t="s">
        <v>1312</v>
      </c>
      <c r="D381" s="2" t="s">
        <v>847</v>
      </c>
      <c r="E381" s="6" t="s">
        <v>848</v>
      </c>
      <c r="F381" s="55" t="s">
        <v>849</v>
      </c>
    </row>
    <row r="382" spans="2:6" ht="30.75" hidden="1" thickTop="1" x14ac:dyDescent="0.25">
      <c r="B382" s="24" t="s">
        <v>836</v>
      </c>
      <c r="C382" s="43" t="s">
        <v>1312</v>
      </c>
      <c r="D382" s="2" t="s">
        <v>850</v>
      </c>
      <c r="E382" s="6" t="s">
        <v>851</v>
      </c>
      <c r="F382" s="55" t="s">
        <v>852</v>
      </c>
    </row>
    <row r="383" spans="2:6" ht="30.75" hidden="1" thickTop="1" x14ac:dyDescent="0.25">
      <c r="B383" s="24" t="s">
        <v>836</v>
      </c>
      <c r="C383" s="43" t="s">
        <v>1312</v>
      </c>
      <c r="D383" s="2" t="s">
        <v>853</v>
      </c>
      <c r="E383" s="6" t="s">
        <v>854</v>
      </c>
      <c r="F383" s="55" t="s">
        <v>855</v>
      </c>
    </row>
    <row r="384" spans="2:6" ht="30.75" hidden="1" thickTop="1" x14ac:dyDescent="0.25">
      <c r="B384" s="24" t="s">
        <v>836</v>
      </c>
      <c r="C384" s="43" t="s">
        <v>1312</v>
      </c>
      <c r="D384" s="2" t="s">
        <v>856</v>
      </c>
      <c r="E384" s="6" t="s">
        <v>857</v>
      </c>
      <c r="F384" s="55" t="s">
        <v>858</v>
      </c>
    </row>
    <row r="385" spans="2:6" ht="60.75" hidden="1" thickTop="1" x14ac:dyDescent="0.25">
      <c r="B385" s="24" t="s">
        <v>836</v>
      </c>
      <c r="C385" s="43" t="s">
        <v>1312</v>
      </c>
      <c r="D385" s="2" t="s">
        <v>859</v>
      </c>
      <c r="E385" s="6" t="s">
        <v>860</v>
      </c>
      <c r="F385" s="55" t="s">
        <v>861</v>
      </c>
    </row>
    <row r="386" spans="2:6" ht="45.75" hidden="1" thickTop="1" x14ac:dyDescent="0.25">
      <c r="B386" s="24" t="s">
        <v>836</v>
      </c>
      <c r="C386" s="43" t="s">
        <v>1312</v>
      </c>
      <c r="D386" s="2" t="s">
        <v>862</v>
      </c>
      <c r="E386" s="6" t="s">
        <v>863</v>
      </c>
      <c r="F386" s="55" t="s">
        <v>864</v>
      </c>
    </row>
    <row r="387" spans="2:6" ht="30.75" hidden="1" thickTop="1" x14ac:dyDescent="0.25">
      <c r="B387" s="24" t="s">
        <v>836</v>
      </c>
      <c r="C387" s="43" t="s">
        <v>1312</v>
      </c>
      <c r="D387" s="2" t="s">
        <v>865</v>
      </c>
      <c r="E387" s="6" t="s">
        <v>866</v>
      </c>
      <c r="F387" s="55" t="s">
        <v>867</v>
      </c>
    </row>
    <row r="388" spans="2:6" ht="75.75" hidden="1" thickTop="1" x14ac:dyDescent="0.25">
      <c r="B388" s="24" t="s">
        <v>836</v>
      </c>
      <c r="C388" s="43" t="s">
        <v>1312</v>
      </c>
      <c r="D388" s="2" t="s">
        <v>868</v>
      </c>
      <c r="E388" s="6" t="s">
        <v>869</v>
      </c>
      <c r="F388" s="55" t="s">
        <v>870</v>
      </c>
    </row>
    <row r="389" spans="2:6" ht="30.75" hidden="1" thickTop="1" x14ac:dyDescent="0.25">
      <c r="B389" s="24" t="s">
        <v>836</v>
      </c>
      <c r="C389" s="43" t="s">
        <v>1312</v>
      </c>
      <c r="D389" s="2" t="s">
        <v>475</v>
      </c>
      <c r="E389" s="6" t="s">
        <v>476</v>
      </c>
      <c r="F389" s="65" t="s">
        <v>116</v>
      </c>
    </row>
    <row r="390" spans="2:6" ht="31.5" hidden="1" thickTop="1" thickBot="1" x14ac:dyDescent="0.3">
      <c r="B390" s="26" t="s">
        <v>836</v>
      </c>
      <c r="C390" s="44" t="s">
        <v>1312</v>
      </c>
      <c r="D390" s="10" t="s">
        <v>211</v>
      </c>
      <c r="E390" s="12" t="s">
        <v>212</v>
      </c>
      <c r="F390" s="56" t="s">
        <v>213</v>
      </c>
    </row>
    <row r="391" spans="2:6" ht="30.75" hidden="1" thickTop="1" x14ac:dyDescent="0.25">
      <c r="B391" s="29" t="s">
        <v>871</v>
      </c>
      <c r="C391" s="34" t="s">
        <v>1313</v>
      </c>
      <c r="D391" s="7" t="s">
        <v>873</v>
      </c>
      <c r="E391" s="11" t="s">
        <v>874</v>
      </c>
      <c r="F391" s="57" t="s">
        <v>875</v>
      </c>
    </row>
    <row r="392" spans="2:6" ht="30" hidden="1" x14ac:dyDescent="0.25">
      <c r="B392" s="30" t="s">
        <v>871</v>
      </c>
      <c r="C392" s="25" t="s">
        <v>1313</v>
      </c>
      <c r="D392" s="2" t="s">
        <v>876</v>
      </c>
      <c r="E392" s="6" t="s">
        <v>877</v>
      </c>
      <c r="F392" s="55" t="s">
        <v>878</v>
      </c>
    </row>
    <row r="393" spans="2:6" ht="30" hidden="1" x14ac:dyDescent="0.25">
      <c r="B393" s="30" t="s">
        <v>871</v>
      </c>
      <c r="C393" s="25" t="s">
        <v>1313</v>
      </c>
      <c r="D393" s="2" t="s">
        <v>879</v>
      </c>
      <c r="E393" s="6" t="s">
        <v>880</v>
      </c>
      <c r="F393" s="55" t="s">
        <v>881</v>
      </c>
    </row>
    <row r="394" spans="2:6" ht="30" hidden="1" x14ac:dyDescent="0.25">
      <c r="B394" s="30" t="s">
        <v>871</v>
      </c>
      <c r="C394" s="25" t="s">
        <v>1313</v>
      </c>
      <c r="D394" s="2" t="s">
        <v>882</v>
      </c>
      <c r="E394" s="6" t="s">
        <v>883</v>
      </c>
      <c r="F394" s="55" t="s">
        <v>884</v>
      </c>
    </row>
    <row r="395" spans="2:6" ht="30" hidden="1" x14ac:dyDescent="0.25">
      <c r="B395" s="30" t="s">
        <v>871</v>
      </c>
      <c r="C395" s="25" t="s">
        <v>1313</v>
      </c>
      <c r="D395" s="2" t="s">
        <v>885</v>
      </c>
      <c r="E395" s="6" t="s">
        <v>886</v>
      </c>
      <c r="F395" s="55" t="s">
        <v>887</v>
      </c>
    </row>
    <row r="396" spans="2:6" ht="30" hidden="1" x14ac:dyDescent="0.25">
      <c r="B396" s="30" t="s">
        <v>871</v>
      </c>
      <c r="C396" s="25" t="s">
        <v>1313</v>
      </c>
      <c r="D396" s="2" t="s">
        <v>888</v>
      </c>
      <c r="E396" s="6" t="s">
        <v>889</v>
      </c>
      <c r="F396" s="55" t="s">
        <v>890</v>
      </c>
    </row>
    <row r="397" spans="2:6" ht="30" hidden="1" x14ac:dyDescent="0.25">
      <c r="B397" s="30" t="s">
        <v>871</v>
      </c>
      <c r="C397" s="25" t="s">
        <v>1313</v>
      </c>
      <c r="D397" s="2" t="s">
        <v>891</v>
      </c>
      <c r="E397" s="6" t="s">
        <v>892</v>
      </c>
      <c r="F397" s="55" t="s">
        <v>893</v>
      </c>
    </row>
    <row r="398" spans="2:6" hidden="1" x14ac:dyDescent="0.25">
      <c r="B398" s="30" t="s">
        <v>871</v>
      </c>
      <c r="C398" s="25" t="s">
        <v>1313</v>
      </c>
      <c r="D398" s="2" t="s">
        <v>894</v>
      </c>
      <c r="E398" s="6" t="s">
        <v>895</v>
      </c>
      <c r="F398" s="55" t="s">
        <v>896</v>
      </c>
    </row>
    <row r="399" spans="2:6" ht="30" hidden="1" x14ac:dyDescent="0.25">
      <c r="B399" s="30" t="s">
        <v>871</v>
      </c>
      <c r="C399" s="25" t="s">
        <v>1313</v>
      </c>
      <c r="D399" s="2" t="s">
        <v>897</v>
      </c>
      <c r="E399" s="6" t="s">
        <v>898</v>
      </c>
      <c r="F399" s="55" t="s">
        <v>899</v>
      </c>
    </row>
    <row r="400" spans="2:6" ht="30" hidden="1" x14ac:dyDescent="0.25">
      <c r="B400" s="30" t="s">
        <v>871</v>
      </c>
      <c r="C400" s="25" t="s">
        <v>1313</v>
      </c>
      <c r="D400" s="2" t="s">
        <v>900</v>
      </c>
      <c r="E400" s="6" t="s">
        <v>901</v>
      </c>
      <c r="F400" s="55" t="s">
        <v>902</v>
      </c>
    </row>
    <row r="401" spans="2:6" ht="30" hidden="1" x14ac:dyDescent="0.25">
      <c r="B401" s="30" t="s">
        <v>871</v>
      </c>
      <c r="C401" s="25" t="s">
        <v>1313</v>
      </c>
      <c r="D401" s="2" t="s">
        <v>903</v>
      </c>
      <c r="E401" s="6" t="s">
        <v>904</v>
      </c>
      <c r="F401" s="55" t="s">
        <v>905</v>
      </c>
    </row>
    <row r="402" spans="2:6" ht="30" hidden="1" x14ac:dyDescent="0.25">
      <c r="B402" s="30" t="s">
        <v>871</v>
      </c>
      <c r="C402" s="25" t="s">
        <v>1313</v>
      </c>
      <c r="D402" s="2" t="s">
        <v>906</v>
      </c>
      <c r="E402" s="6" t="s">
        <v>907</v>
      </c>
      <c r="F402" s="55" t="s">
        <v>908</v>
      </c>
    </row>
    <row r="403" spans="2:6" ht="30" hidden="1" x14ac:dyDescent="0.25">
      <c r="B403" s="30" t="s">
        <v>871</v>
      </c>
      <c r="C403" s="25" t="s">
        <v>1313</v>
      </c>
      <c r="D403" s="2" t="s">
        <v>909</v>
      </c>
      <c r="E403" s="6" t="s">
        <v>910</v>
      </c>
      <c r="F403" s="55" t="s">
        <v>911</v>
      </c>
    </row>
    <row r="404" spans="2:6" hidden="1" x14ac:dyDescent="0.25">
      <c r="B404" s="30" t="s">
        <v>871</v>
      </c>
      <c r="C404" s="25" t="s">
        <v>1313</v>
      </c>
      <c r="D404" s="2" t="s">
        <v>912</v>
      </c>
      <c r="E404" s="6" t="s">
        <v>913</v>
      </c>
      <c r="F404" s="55" t="s">
        <v>914</v>
      </c>
    </row>
    <row r="405" spans="2:6" ht="30" hidden="1" x14ac:dyDescent="0.25">
      <c r="B405" s="30" t="s">
        <v>871</v>
      </c>
      <c r="C405" s="25" t="s">
        <v>1313</v>
      </c>
      <c r="D405" s="2" t="s">
        <v>915</v>
      </c>
      <c r="E405" s="6" t="s">
        <v>916</v>
      </c>
      <c r="F405" s="55" t="s">
        <v>917</v>
      </c>
    </row>
    <row r="406" spans="2:6" ht="30" hidden="1" x14ac:dyDescent="0.25">
      <c r="B406" s="30" t="s">
        <v>871</v>
      </c>
      <c r="C406" s="25" t="s">
        <v>1313</v>
      </c>
      <c r="D406" s="2" t="s">
        <v>918</v>
      </c>
      <c r="E406" s="6" t="s">
        <v>919</v>
      </c>
      <c r="F406" s="55" t="s">
        <v>920</v>
      </c>
    </row>
    <row r="407" spans="2:6" ht="30" hidden="1" x14ac:dyDescent="0.25">
      <c r="B407" s="30" t="s">
        <v>871</v>
      </c>
      <c r="C407" s="25" t="s">
        <v>1313</v>
      </c>
      <c r="D407" s="2" t="s">
        <v>921</v>
      </c>
      <c r="E407" s="6" t="s">
        <v>922</v>
      </c>
      <c r="F407" s="55" t="s">
        <v>923</v>
      </c>
    </row>
    <row r="408" spans="2:6" ht="30" hidden="1" x14ac:dyDescent="0.25">
      <c r="B408" s="30" t="s">
        <v>871</v>
      </c>
      <c r="C408" s="25" t="s">
        <v>1313</v>
      </c>
      <c r="D408" s="2" t="s">
        <v>924</v>
      </c>
      <c r="E408" s="6" t="s">
        <v>925</v>
      </c>
      <c r="F408" s="55" t="s">
        <v>926</v>
      </c>
    </row>
    <row r="409" spans="2:6" ht="30" hidden="1" x14ac:dyDescent="0.25">
      <c r="B409" s="30" t="s">
        <v>871</v>
      </c>
      <c r="C409" s="25" t="s">
        <v>1313</v>
      </c>
      <c r="D409" s="2" t="s">
        <v>927</v>
      </c>
      <c r="E409" s="6" t="s">
        <v>928</v>
      </c>
      <c r="F409" s="55" t="s">
        <v>929</v>
      </c>
    </row>
    <row r="410" spans="2:6" ht="30" hidden="1" x14ac:dyDescent="0.25">
      <c r="B410" s="30" t="s">
        <v>871</v>
      </c>
      <c r="C410" s="25" t="s">
        <v>1313</v>
      </c>
      <c r="D410" s="2" t="s">
        <v>757</v>
      </c>
      <c r="E410" s="6" t="s">
        <v>758</v>
      </c>
      <c r="F410" s="55" t="s">
        <v>759</v>
      </c>
    </row>
    <row r="411" spans="2:6" ht="30" hidden="1" x14ac:dyDescent="0.25">
      <c r="B411" s="30" t="s">
        <v>871</v>
      </c>
      <c r="C411" s="25" t="s">
        <v>1313</v>
      </c>
      <c r="D411" s="2" t="s">
        <v>930</v>
      </c>
      <c r="E411" s="6" t="s">
        <v>931</v>
      </c>
      <c r="F411" s="55" t="s">
        <v>932</v>
      </c>
    </row>
    <row r="412" spans="2:6" ht="30" hidden="1" x14ac:dyDescent="0.25">
      <c r="B412" s="30" t="s">
        <v>871</v>
      </c>
      <c r="C412" s="25" t="s">
        <v>1313</v>
      </c>
      <c r="D412" s="2" t="s">
        <v>933</v>
      </c>
      <c r="E412" s="6" t="s">
        <v>934</v>
      </c>
      <c r="F412" s="55" t="s">
        <v>935</v>
      </c>
    </row>
    <row r="413" spans="2:6" ht="30" hidden="1" x14ac:dyDescent="0.25">
      <c r="B413" s="30" t="s">
        <v>871</v>
      </c>
      <c r="C413" s="25" t="s">
        <v>1313</v>
      </c>
      <c r="D413" s="2" t="s">
        <v>936</v>
      </c>
      <c r="E413" s="6" t="s">
        <v>937</v>
      </c>
      <c r="F413" s="55" t="s">
        <v>938</v>
      </c>
    </row>
    <row r="414" spans="2:6" ht="30" hidden="1" x14ac:dyDescent="0.25">
      <c r="B414" s="30" t="s">
        <v>871</v>
      </c>
      <c r="C414" s="25" t="s">
        <v>1313</v>
      </c>
      <c r="D414" s="2" t="s">
        <v>939</v>
      </c>
      <c r="E414" s="6" t="s">
        <v>940</v>
      </c>
      <c r="F414" s="55" t="s">
        <v>941</v>
      </c>
    </row>
    <row r="415" spans="2:6" ht="30" hidden="1" x14ac:dyDescent="0.25">
      <c r="B415" s="30" t="s">
        <v>871</v>
      </c>
      <c r="C415" s="25" t="s">
        <v>1313</v>
      </c>
      <c r="D415" s="2" t="s">
        <v>942</v>
      </c>
      <c r="E415" s="6" t="s">
        <v>943</v>
      </c>
      <c r="F415" s="55" t="s">
        <v>944</v>
      </c>
    </row>
    <row r="416" spans="2:6" ht="30" hidden="1" x14ac:dyDescent="0.25">
      <c r="B416" s="30" t="s">
        <v>871</v>
      </c>
      <c r="C416" s="25" t="s">
        <v>1313</v>
      </c>
      <c r="D416" s="2" t="s">
        <v>190</v>
      </c>
      <c r="E416" s="6" t="s">
        <v>945</v>
      </c>
      <c r="F416" s="55" t="s">
        <v>946</v>
      </c>
    </row>
    <row r="417" spans="2:6" hidden="1" x14ac:dyDescent="0.25">
      <c r="B417" s="30" t="s">
        <v>871</v>
      </c>
      <c r="C417" s="25" t="s">
        <v>1313</v>
      </c>
      <c r="D417" s="2" t="s">
        <v>947</v>
      </c>
      <c r="E417" s="6" t="s">
        <v>948</v>
      </c>
      <c r="F417" s="55" t="s">
        <v>949</v>
      </c>
    </row>
    <row r="418" spans="2:6" hidden="1" x14ac:dyDescent="0.25">
      <c r="B418" s="30" t="s">
        <v>871</v>
      </c>
      <c r="C418" s="25" t="s">
        <v>1313</v>
      </c>
      <c r="D418" s="2" t="s">
        <v>415</v>
      </c>
      <c r="E418" s="6" t="s">
        <v>416</v>
      </c>
      <c r="F418" s="55" t="s">
        <v>417</v>
      </c>
    </row>
    <row r="419" spans="2:6" ht="30" hidden="1" x14ac:dyDescent="0.25">
      <c r="B419" s="30" t="s">
        <v>871</v>
      </c>
      <c r="C419" s="25" t="s">
        <v>1313</v>
      </c>
      <c r="D419" s="2" t="s">
        <v>950</v>
      </c>
      <c r="E419" s="6" t="s">
        <v>951</v>
      </c>
      <c r="F419" s="55" t="s">
        <v>952</v>
      </c>
    </row>
    <row r="420" spans="2:6" hidden="1" x14ac:dyDescent="0.25">
      <c r="B420" s="30" t="s">
        <v>871</v>
      </c>
      <c r="C420" s="25" t="s">
        <v>1313</v>
      </c>
      <c r="D420" s="2" t="s">
        <v>953</v>
      </c>
      <c r="E420" s="6" t="s">
        <v>954</v>
      </c>
      <c r="F420" s="55" t="s">
        <v>955</v>
      </c>
    </row>
    <row r="421" spans="2:6" hidden="1" x14ac:dyDescent="0.25">
      <c r="B421" s="30" t="s">
        <v>871</v>
      </c>
      <c r="C421" s="25" t="s">
        <v>1313</v>
      </c>
      <c r="D421" s="2" t="s">
        <v>956</v>
      </c>
      <c r="E421" s="6" t="s">
        <v>957</v>
      </c>
      <c r="F421" s="55" t="s">
        <v>958</v>
      </c>
    </row>
    <row r="422" spans="2:6" hidden="1" x14ac:dyDescent="0.25"/>
    <row r="423" spans="2:6" hidden="1" x14ac:dyDescent="0.25"/>
    <row r="424" spans="2:6" hidden="1" x14ac:dyDescent="0.25"/>
    <row r="425" spans="2:6" hidden="1" x14ac:dyDescent="0.25"/>
    <row r="426" spans="2:6" hidden="1" x14ac:dyDescent="0.25"/>
    <row r="427" spans="2:6" hidden="1" x14ac:dyDescent="0.25"/>
    <row r="428" spans="2:6" hidden="1" x14ac:dyDescent="0.25"/>
    <row r="429" spans="2:6" hidden="1" x14ac:dyDescent="0.25"/>
    <row r="430" spans="2:6" hidden="1" x14ac:dyDescent="0.25"/>
    <row r="431" spans="2:6" hidden="1" x14ac:dyDescent="0.25"/>
    <row r="432" spans="2:6" ht="15.75" thickTop="1" x14ac:dyDescent="0.25"/>
  </sheetData>
  <autoFilter ref="B2:F431" xr:uid="{00000000-0001-0000-0000-000000000000}">
    <filterColumn colId="1">
      <filters>
        <filter val="Gold (Au)"/>
      </filters>
    </filterColumn>
    <sortState xmlns:xlrd2="http://schemas.microsoft.com/office/spreadsheetml/2017/richdata2" ref="B343:F358">
      <sortCondition ref="D2:D431"/>
    </sortState>
  </autoFilter>
  <hyperlinks>
    <hyperlink ref="F3" r:id="rId1" xr:uid="{00000000-0004-0000-0000-000000000000}"/>
    <hyperlink ref="F4" r:id="rId2" xr:uid="{00000000-0004-0000-0000-000001000000}"/>
    <hyperlink ref="F5" r:id="rId3" xr:uid="{00000000-0004-0000-0000-000002000000}"/>
    <hyperlink ref="F6" r:id="rId4" xr:uid="{00000000-0004-0000-0000-000003000000}"/>
    <hyperlink ref="F7" r:id="rId5" xr:uid="{00000000-0004-0000-0000-000004000000}"/>
    <hyperlink ref="F8" r:id="rId6" xr:uid="{00000000-0004-0000-0000-000005000000}"/>
    <hyperlink ref="F9" r:id="rId7" xr:uid="{00000000-0004-0000-0000-000006000000}"/>
    <hyperlink ref="F10" r:id="rId8" xr:uid="{00000000-0004-0000-0000-000007000000}"/>
    <hyperlink ref="F11" r:id="rId9" xr:uid="{00000000-0004-0000-0000-000008000000}"/>
    <hyperlink ref="F12" r:id="rId10" xr:uid="{00000000-0004-0000-0000-000009000000}"/>
    <hyperlink ref="F13" r:id="rId11" xr:uid="{00000000-0004-0000-0000-00000A000000}"/>
    <hyperlink ref="F14" r:id="rId12" xr:uid="{00000000-0004-0000-0000-00000B000000}"/>
    <hyperlink ref="F15" r:id="rId13" xr:uid="{00000000-0004-0000-0000-00000C000000}"/>
    <hyperlink ref="F177" r:id="rId14" xr:uid="{00000000-0004-0000-0000-00000E000000}"/>
    <hyperlink ref="F178" r:id="rId15" xr:uid="{00000000-0004-0000-0000-00000F000000}"/>
    <hyperlink ref="F180" r:id="rId16" xr:uid="{00000000-0004-0000-0000-000010000000}"/>
    <hyperlink ref="F181" r:id="rId17" xr:uid="{00000000-0004-0000-0000-000011000000}"/>
    <hyperlink ref="F182" r:id="rId18" xr:uid="{00000000-0004-0000-0000-000012000000}"/>
    <hyperlink ref="F183" r:id="rId19" xr:uid="{00000000-0004-0000-0000-000013000000}"/>
    <hyperlink ref="F184" r:id="rId20" xr:uid="{00000000-0004-0000-0000-000014000000}"/>
    <hyperlink ref="F185" r:id="rId21" xr:uid="{00000000-0004-0000-0000-000015000000}"/>
    <hyperlink ref="F186" r:id="rId22" xr:uid="{00000000-0004-0000-0000-000016000000}"/>
    <hyperlink ref="F187" r:id="rId23" xr:uid="{00000000-0004-0000-0000-000017000000}"/>
    <hyperlink ref="F188" r:id="rId24" xr:uid="{00000000-0004-0000-0000-000018000000}"/>
    <hyperlink ref="F189" r:id="rId25" xr:uid="{00000000-0004-0000-0000-000019000000}"/>
    <hyperlink ref="F190" r:id="rId26" xr:uid="{00000000-0004-0000-0000-00001A000000}"/>
    <hyperlink ref="F191" r:id="rId27" xr:uid="{00000000-0004-0000-0000-00001B000000}"/>
    <hyperlink ref="F25" r:id="rId28" xr:uid="{00000000-0004-0000-0000-00001C000000}"/>
    <hyperlink ref="F26" r:id="rId29" xr:uid="{00000000-0004-0000-0000-00001D000000}"/>
    <hyperlink ref="F27" r:id="rId30" xr:uid="{00000000-0004-0000-0000-00001E000000}"/>
    <hyperlink ref="F28" r:id="rId31" xr:uid="{00000000-0004-0000-0000-00001F000000}"/>
    <hyperlink ref="F29" r:id="rId32" xr:uid="{00000000-0004-0000-0000-000020000000}"/>
    <hyperlink ref="F30" r:id="rId33" xr:uid="{00000000-0004-0000-0000-000021000000}"/>
    <hyperlink ref="F31" r:id="rId34" xr:uid="{00000000-0004-0000-0000-000022000000}"/>
    <hyperlink ref="F32" r:id="rId35" xr:uid="{00000000-0004-0000-0000-000023000000}"/>
    <hyperlink ref="F97" r:id="rId36" xr:uid="{00000000-0004-0000-0000-000025000000}"/>
    <hyperlink ref="F98" r:id="rId37" xr:uid="{00000000-0004-0000-0000-000026000000}"/>
    <hyperlink ref="F99" r:id="rId38" xr:uid="{00000000-0004-0000-0000-000027000000}"/>
    <hyperlink ref="F100" r:id="rId39" xr:uid="{00000000-0004-0000-0000-000028000000}"/>
    <hyperlink ref="F101" r:id="rId40" xr:uid="{00000000-0004-0000-0000-000029000000}"/>
    <hyperlink ref="F102" r:id="rId41" xr:uid="{00000000-0004-0000-0000-00002A000000}"/>
    <hyperlink ref="F103" r:id="rId42" xr:uid="{00000000-0004-0000-0000-00002B000000}"/>
    <hyperlink ref="F104" r:id="rId43" xr:uid="{00000000-0004-0000-0000-00002C000000}"/>
    <hyperlink ref="F105" r:id="rId44" xr:uid="{00000000-0004-0000-0000-00002D000000}"/>
    <hyperlink ref="F117" r:id="rId45" xr:uid="{00000000-0004-0000-0000-00002E000000}"/>
    <hyperlink ref="F118" r:id="rId46" xr:uid="{00000000-0004-0000-0000-00002F000000}"/>
    <hyperlink ref="F119" r:id="rId47" xr:uid="{00000000-0004-0000-0000-000030000000}"/>
    <hyperlink ref="F120" r:id="rId48" xr:uid="{00000000-0004-0000-0000-000031000000}"/>
    <hyperlink ref="F121" r:id="rId49" xr:uid="{00000000-0004-0000-0000-000032000000}"/>
    <hyperlink ref="F122" r:id="rId50" xr:uid="{00000000-0004-0000-0000-000033000000}"/>
    <hyperlink ref="F123" r:id="rId51" xr:uid="{00000000-0004-0000-0000-000034000000}"/>
    <hyperlink ref="F124" r:id="rId52" xr:uid="{00000000-0004-0000-0000-000035000000}"/>
    <hyperlink ref="F125" r:id="rId53" xr:uid="{00000000-0004-0000-0000-000036000000}"/>
    <hyperlink ref="F126" r:id="rId54" xr:uid="{00000000-0004-0000-0000-000037000000}"/>
    <hyperlink ref="F127" r:id="rId55" xr:uid="{00000000-0004-0000-0000-000038000000}"/>
    <hyperlink ref="F128" r:id="rId56" xr:uid="{00000000-0004-0000-0000-000039000000}"/>
    <hyperlink ref="F129" r:id="rId57" xr:uid="{00000000-0004-0000-0000-00003A000000}"/>
    <hyperlink ref="F130" r:id="rId58" xr:uid="{00000000-0004-0000-0000-00003B000000}"/>
    <hyperlink ref="F131" r:id="rId59" xr:uid="{00000000-0004-0000-0000-00003C000000}"/>
    <hyperlink ref="F132" r:id="rId60" xr:uid="{00000000-0004-0000-0000-00003D000000}"/>
    <hyperlink ref="F133" r:id="rId61" xr:uid="{00000000-0004-0000-0000-00003E000000}"/>
    <hyperlink ref="F134" r:id="rId62" xr:uid="{00000000-0004-0000-0000-00003F000000}"/>
    <hyperlink ref="F135" r:id="rId63" xr:uid="{00000000-0004-0000-0000-000040000000}"/>
    <hyperlink ref="F136" r:id="rId64" xr:uid="{00000000-0004-0000-0000-000041000000}"/>
    <hyperlink ref="F137" r:id="rId65" xr:uid="{00000000-0004-0000-0000-000043000000}"/>
    <hyperlink ref="F138" r:id="rId66" xr:uid="{00000000-0004-0000-0000-000044000000}"/>
    <hyperlink ref="F139" r:id="rId67" xr:uid="{00000000-0004-0000-0000-000045000000}"/>
    <hyperlink ref="F140" r:id="rId68" xr:uid="{00000000-0004-0000-0000-000046000000}"/>
    <hyperlink ref="F141" r:id="rId69" xr:uid="{00000000-0004-0000-0000-000047000000}"/>
    <hyperlink ref="F142" r:id="rId70" xr:uid="{00000000-0004-0000-0000-000048000000}"/>
    <hyperlink ref="F143" r:id="rId71" xr:uid="{00000000-0004-0000-0000-000049000000}"/>
    <hyperlink ref="F275" r:id="rId72" xr:uid="{00000000-0004-0000-0000-00004B000000}"/>
    <hyperlink ref="F276" r:id="rId73" xr:uid="{00000000-0004-0000-0000-00004C000000}"/>
    <hyperlink ref="F277" r:id="rId74" xr:uid="{00000000-0004-0000-0000-00004D000000}"/>
    <hyperlink ref="F278" r:id="rId75" xr:uid="{00000000-0004-0000-0000-00004E000000}"/>
    <hyperlink ref="F279" r:id="rId76" xr:uid="{00000000-0004-0000-0000-00004F000000}"/>
    <hyperlink ref="F280" r:id="rId77" xr:uid="{00000000-0004-0000-0000-000050000000}"/>
    <hyperlink ref="F281" r:id="rId78" xr:uid="{00000000-0004-0000-0000-000051000000}"/>
    <hyperlink ref="F282" r:id="rId79" xr:uid="{00000000-0004-0000-0000-000052000000}"/>
    <hyperlink ref="F272" r:id="rId80" xr:uid="{00000000-0004-0000-0000-000053000000}"/>
    <hyperlink ref="F329" r:id="rId81" xr:uid="{00000000-0004-0000-0000-000054000000}"/>
    <hyperlink ref="F330" r:id="rId82" xr:uid="{00000000-0004-0000-0000-000055000000}"/>
    <hyperlink ref="F331" r:id="rId83" xr:uid="{00000000-0004-0000-0000-000056000000}"/>
    <hyperlink ref="F332" r:id="rId84" xr:uid="{00000000-0004-0000-0000-000057000000}"/>
    <hyperlink ref="F391" r:id="rId85" xr:uid="{00000000-0004-0000-0000-000058000000}"/>
    <hyperlink ref="F392" r:id="rId86" xr:uid="{00000000-0004-0000-0000-000059000000}"/>
    <hyperlink ref="F393" r:id="rId87" xr:uid="{00000000-0004-0000-0000-00005A000000}"/>
    <hyperlink ref="F394" r:id="rId88" xr:uid="{00000000-0004-0000-0000-00005B000000}"/>
    <hyperlink ref="F395" r:id="rId89" xr:uid="{00000000-0004-0000-0000-00005C000000}"/>
    <hyperlink ref="F396" r:id="rId90" xr:uid="{00000000-0004-0000-0000-00005D000000}"/>
    <hyperlink ref="F397" r:id="rId91" xr:uid="{00000000-0004-0000-0000-00005E000000}"/>
    <hyperlink ref="F398" r:id="rId92" xr:uid="{00000000-0004-0000-0000-00005F000000}"/>
    <hyperlink ref="F399" r:id="rId93" xr:uid="{00000000-0004-0000-0000-000060000000}"/>
    <hyperlink ref="F400" r:id="rId94" xr:uid="{00000000-0004-0000-0000-000061000000}"/>
    <hyperlink ref="F401" r:id="rId95" xr:uid="{00000000-0004-0000-0000-000062000000}"/>
    <hyperlink ref="F402" r:id="rId96" xr:uid="{00000000-0004-0000-0000-000063000000}"/>
    <hyperlink ref="F403" r:id="rId97" xr:uid="{00000000-0004-0000-0000-000064000000}"/>
    <hyperlink ref="F404" r:id="rId98" xr:uid="{00000000-0004-0000-0000-000065000000}"/>
    <hyperlink ref="F405" r:id="rId99" xr:uid="{00000000-0004-0000-0000-000066000000}"/>
    <hyperlink ref="F406" r:id="rId100" xr:uid="{00000000-0004-0000-0000-000067000000}"/>
    <hyperlink ref="F407" r:id="rId101" xr:uid="{00000000-0004-0000-0000-000068000000}"/>
    <hyperlink ref="F408" r:id="rId102" xr:uid="{00000000-0004-0000-0000-000069000000}"/>
    <hyperlink ref="F409" r:id="rId103" xr:uid="{00000000-0004-0000-0000-00006A000000}"/>
    <hyperlink ref="F410" r:id="rId104" xr:uid="{00000000-0004-0000-0000-00006B000000}"/>
    <hyperlink ref="F411" r:id="rId105" xr:uid="{00000000-0004-0000-0000-00006C000000}"/>
    <hyperlink ref="F412" r:id="rId106" xr:uid="{00000000-0004-0000-0000-00006D000000}"/>
    <hyperlink ref="F413" r:id="rId107" xr:uid="{00000000-0004-0000-0000-00006E000000}"/>
    <hyperlink ref="F414" r:id="rId108" xr:uid="{00000000-0004-0000-0000-00006F000000}"/>
    <hyperlink ref="F415" r:id="rId109" xr:uid="{00000000-0004-0000-0000-000070000000}"/>
    <hyperlink ref="F416" r:id="rId110" xr:uid="{00000000-0004-0000-0000-000071000000}"/>
    <hyperlink ref="F417" r:id="rId111" xr:uid="{00000000-0004-0000-0000-000072000000}"/>
    <hyperlink ref="F418" r:id="rId112" xr:uid="{00000000-0004-0000-0000-000073000000}"/>
    <hyperlink ref="F419" r:id="rId113" xr:uid="{00000000-0004-0000-0000-000074000000}"/>
    <hyperlink ref="F420" r:id="rId114" xr:uid="{00000000-0004-0000-0000-000075000000}"/>
    <hyperlink ref="F421" r:id="rId115" xr:uid="{00000000-0004-0000-0000-000076000000}"/>
    <hyperlink ref="F35" r:id="rId116" xr:uid="{00000000-0004-0000-0000-000077000000}"/>
    <hyperlink ref="F36" r:id="rId117" xr:uid="{00000000-0004-0000-0000-000078000000}"/>
    <hyperlink ref="F37" r:id="rId118" xr:uid="{00000000-0004-0000-0000-000079000000}"/>
    <hyperlink ref="F38" r:id="rId119" xr:uid="{00000000-0004-0000-0000-00007A000000}"/>
    <hyperlink ref="F40" r:id="rId120" xr:uid="{00000000-0004-0000-0000-00007B000000}"/>
    <hyperlink ref="F41" r:id="rId121" xr:uid="{00000000-0004-0000-0000-00007C000000}"/>
    <hyperlink ref="F42" r:id="rId122" xr:uid="{00000000-0004-0000-0000-00007D000000}"/>
    <hyperlink ref="F43" r:id="rId123" xr:uid="{00000000-0004-0000-0000-00007E000000}"/>
    <hyperlink ref="F44" r:id="rId124" xr:uid="{00000000-0004-0000-0000-00007F000000}"/>
    <hyperlink ref="F45" r:id="rId125" xr:uid="{00000000-0004-0000-0000-000080000000}"/>
    <hyperlink ref="F86" r:id="rId126" xr:uid="{00000000-0004-0000-0000-000081000000}"/>
    <hyperlink ref="F87" r:id="rId127" xr:uid="{00000000-0004-0000-0000-000082000000}"/>
    <hyperlink ref="F88" r:id="rId128" xr:uid="{00000000-0004-0000-0000-000083000000}"/>
    <hyperlink ref="F89" r:id="rId129" xr:uid="{00000000-0004-0000-0000-000084000000}"/>
    <hyperlink ref="F90" r:id="rId130" xr:uid="{00000000-0004-0000-0000-000085000000}"/>
    <hyperlink ref="F91" r:id="rId131" xr:uid="{00000000-0004-0000-0000-000086000000}"/>
    <hyperlink ref="F92" r:id="rId132" xr:uid="{00000000-0004-0000-0000-000087000000}"/>
    <hyperlink ref="F93" r:id="rId133" xr:uid="{00000000-0004-0000-0000-000088000000}"/>
    <hyperlink ref="F273" r:id="rId134" xr:uid="{00000000-0004-0000-0000-00008A000000}"/>
    <hyperlink ref="F72" r:id="rId135" xr:uid="{00000000-0004-0000-0000-00008B000000}"/>
    <hyperlink ref="F73" r:id="rId136" xr:uid="{00000000-0004-0000-0000-00008C000000}"/>
    <hyperlink ref="F74" r:id="rId137" xr:uid="{00000000-0004-0000-0000-00008D000000}"/>
    <hyperlink ref="F75" r:id="rId138" xr:uid="{00000000-0004-0000-0000-00008E000000}"/>
    <hyperlink ref="F76" r:id="rId139" xr:uid="{00000000-0004-0000-0000-00008F000000}"/>
    <hyperlink ref="F77" r:id="rId140" xr:uid="{00000000-0004-0000-0000-000090000000}"/>
    <hyperlink ref="F79" r:id="rId141" xr:uid="{00000000-0004-0000-0000-000091000000}"/>
    <hyperlink ref="F80" r:id="rId142" xr:uid="{00000000-0004-0000-0000-000092000000}"/>
    <hyperlink ref="F81" r:id="rId143" xr:uid="{00000000-0004-0000-0000-000093000000}"/>
    <hyperlink ref="F247" r:id="rId144" xr:uid="{00000000-0004-0000-0000-000094000000}"/>
    <hyperlink ref="F248" r:id="rId145" xr:uid="{00000000-0004-0000-0000-000095000000}"/>
    <hyperlink ref="F249" r:id="rId146" xr:uid="{00000000-0004-0000-0000-000096000000}"/>
    <hyperlink ref="F250" r:id="rId147" xr:uid="{00000000-0004-0000-0000-000097000000}"/>
    <hyperlink ref="F251" r:id="rId148" xr:uid="{00000000-0004-0000-0000-000098000000}"/>
    <hyperlink ref="F252" r:id="rId149" xr:uid="{00000000-0004-0000-0000-000099000000}"/>
    <hyperlink ref="F253" r:id="rId150" xr:uid="{00000000-0004-0000-0000-00009A000000}"/>
    <hyperlink ref="F254" r:id="rId151" xr:uid="{00000000-0004-0000-0000-00009B000000}"/>
    <hyperlink ref="F361" r:id="rId152" xr:uid="{00000000-0004-0000-0000-00009C000000}"/>
    <hyperlink ref="F362" r:id="rId153" xr:uid="{00000000-0004-0000-0000-00009D000000}"/>
    <hyperlink ref="F363" r:id="rId154" xr:uid="{00000000-0004-0000-0000-00009E000000}"/>
    <hyperlink ref="F364" r:id="rId155" xr:uid="{00000000-0004-0000-0000-00009F000000}"/>
    <hyperlink ref="F365" r:id="rId156" xr:uid="{00000000-0004-0000-0000-0000A0000000}"/>
    <hyperlink ref="F366" r:id="rId157" xr:uid="{00000000-0004-0000-0000-0000A1000000}"/>
    <hyperlink ref="F367" r:id="rId158" xr:uid="{00000000-0004-0000-0000-0000A2000000}"/>
    <hyperlink ref="F368" r:id="rId159" xr:uid="{00000000-0004-0000-0000-0000A3000000}"/>
    <hyperlink ref="F111" r:id="rId160" xr:uid="{87E2BD16-6DD6-43C3-BCEF-6A6CAA7082FA}"/>
    <hyperlink ref="F112" r:id="rId161" xr:uid="{49742809-C91A-4EE2-A52B-C90AFD2DD58E}"/>
    <hyperlink ref="F113" r:id="rId162" xr:uid="{77EEFB7F-E10F-45BF-8F5E-27F6031E93D6}"/>
    <hyperlink ref="F114" r:id="rId163" xr:uid="{CD45A601-E71F-4808-8A1F-43BCAD5261FE}"/>
    <hyperlink ref="F378" r:id="rId164" xr:uid="{9E8A2D13-582A-4718-A832-D99CEDC12FA7}"/>
    <hyperlink ref="F379" r:id="rId165" xr:uid="{E159EF27-71CD-4C12-ADFD-18AD8E2BB36C}"/>
    <hyperlink ref="F380" r:id="rId166" xr:uid="{BD1CC12D-A311-4E0C-A311-FE9640B5CF1F}"/>
    <hyperlink ref="F381" r:id="rId167" xr:uid="{2ED48E1E-EA8D-4648-B205-0C732724DD59}"/>
    <hyperlink ref="F382" r:id="rId168" xr:uid="{E2F401DF-01EE-4A85-AB23-88DD8DA8AB7E}"/>
    <hyperlink ref="F383" r:id="rId169" xr:uid="{860FC786-FCDE-4002-8996-D2BFECC063D2}"/>
    <hyperlink ref="F384" r:id="rId170" xr:uid="{40512160-F90B-45DD-9D80-BB4028C52E17}"/>
    <hyperlink ref="F385" r:id="rId171" xr:uid="{08BEFD64-479C-4374-B1FD-AABBF4F3AC7F}"/>
    <hyperlink ref="F386" r:id="rId172" xr:uid="{BCA58671-CF2C-40AB-A3B7-3E82F6499D52}"/>
    <hyperlink ref="F323" r:id="rId173" xr:uid="{00BF0932-DE6B-405C-BABF-2C64F42B64AE}"/>
    <hyperlink ref="F324" r:id="rId174" xr:uid="{D40B496C-3001-433B-A12A-71EE053EBE09}"/>
    <hyperlink ref="F325" r:id="rId175" xr:uid="{D1A81D8A-EE6D-48F9-95CA-FAA236E03371}"/>
    <hyperlink ref="F18" r:id="rId176" xr:uid="{B072DE71-7B3C-4B2A-90F0-0F24AE33E539}"/>
    <hyperlink ref="F19" r:id="rId177" xr:uid="{CA912B90-ADFB-4EF2-A522-FD52859A172B}"/>
    <hyperlink ref="F20" r:id="rId178" xr:uid="{4E81517C-6C40-4761-BC2A-58766D045A74}"/>
    <hyperlink ref="F21" r:id="rId179" xr:uid="{418A1BC1-C283-43AE-82F5-1F1AEB7DE446}"/>
    <hyperlink ref="F22" r:id="rId180" xr:uid="{18E6693E-9667-49A7-8068-673FFDD48AEE}"/>
    <hyperlink ref="F23" r:id="rId181" xr:uid="{AF37E774-39DA-478D-BC5A-5C4582BD0487}"/>
    <hyperlink ref="F24" r:id="rId182" xr:uid="{F4A08AF8-ADF9-4375-819B-B8DDE4F9C07D}"/>
    <hyperlink ref="F321" r:id="rId183" xr:uid="{6318F693-1D24-43DB-A5A7-5C030D4C6AFE}"/>
    <hyperlink ref="F322" r:id="rId184" xr:uid="{4665033C-AA5D-40EE-8E6F-9BA7EF4344A2}"/>
    <hyperlink ref="F106" r:id="rId185" xr:uid="{DA1BDB46-3AD6-48F0-8AF9-0C2E6AFCCABF}"/>
    <hyperlink ref="F107" r:id="rId186" xr:uid="{44AAD1A1-C7BF-4BEE-B88D-CFC62DFEA579}"/>
    <hyperlink ref="F108" r:id="rId187" xr:uid="{23A18D7B-CBDE-42A5-8C40-C9A9F63AA875}"/>
    <hyperlink ref="F109" r:id="rId188" xr:uid="{3D07F187-4CFC-4ADE-8FFC-DFDFD802969E}"/>
    <hyperlink ref="F110" r:id="rId189" xr:uid="{E2731459-EC97-41F3-9DFD-BF0A4EA3269A}"/>
    <hyperlink ref="F334" r:id="rId190" xr:uid="{658DC91A-A80E-463D-A172-68C0E43299C0}"/>
    <hyperlink ref="F335" r:id="rId191" xr:uid="{A805B2F7-C2F7-4565-AC6A-B6798D83AB3E}"/>
    <hyperlink ref="F336" r:id="rId192" xr:uid="{C785D889-1820-49E8-A402-E279C36E03AD}"/>
    <hyperlink ref="F337" r:id="rId193" xr:uid="{9FEE4C25-0756-4C21-8ED5-7584DF0933C7}"/>
    <hyperlink ref="F338" r:id="rId194" xr:uid="{5356116C-A8BB-4A1E-BE96-1863D13EE3AC}"/>
    <hyperlink ref="F339" r:id="rId195" xr:uid="{9DA3E3D2-2713-4DA8-9E93-C5DC7AF88EEB}"/>
    <hyperlink ref="F340" r:id="rId196" xr:uid="{0B2D7056-605E-4B0C-91A7-E9B9AFADA0BD}"/>
    <hyperlink ref="F263" r:id="rId197" xr:uid="{D783FE36-96CA-4F4A-B4B7-B64A14FFECCE}"/>
    <hyperlink ref="F313" r:id="rId198" xr:uid="{F3E2FF7D-DF72-455A-96F9-F9C023F7EB38}"/>
    <hyperlink ref="F314" r:id="rId199" xr:uid="{DCB46997-9E36-4416-9FBB-4134EB88A6F8}"/>
    <hyperlink ref="F318" r:id="rId200" xr:uid="{42A5D20D-D02D-419C-B6A4-E101372E4656}"/>
    <hyperlink ref="F315" r:id="rId201" xr:uid="{09DA4041-8288-474F-9169-8C5EA1754356}"/>
    <hyperlink ref="F316" r:id="rId202" xr:uid="{61FD584C-444B-4BBE-BA83-56F439D39560}"/>
    <hyperlink ref="F317" r:id="rId203" xr:uid="{038528E9-C4B5-4D84-A515-27F2F8CE2284}"/>
    <hyperlink ref="F320" r:id="rId204" display="https://doi.org/10.1007/s11367-022-02100-6" xr:uid="{DC17F06E-FA11-4964-889E-80550BF7D786}"/>
    <hyperlink ref="F264" r:id="rId205" xr:uid="{98923C25-783F-42D8-9EE8-486172BE44A8}"/>
    <hyperlink ref="F303" r:id="rId206" xr:uid="{83750979-BC9B-464D-91C1-F69F8FAD55A4}"/>
    <hyperlink ref="F262" r:id="rId207" xr:uid="{374DCE63-B7E9-412D-AE0E-E7E159FEB734}"/>
    <hyperlink ref="F284" r:id="rId208" xr:uid="{00A60667-26CA-4A73-8750-5EF7E0ED3F76}"/>
    <hyperlink ref="F268" r:id="rId209" xr:uid="{F7EAA17D-8F87-4DD5-94DD-9F75B95CDD3C}"/>
    <hyperlink ref="F326" r:id="rId210" display="https://doi.org/10.1016/j.rser.2007.11.012" xr:uid="{B2861B9A-5920-49CE-9892-363EA0B85C7E}"/>
    <hyperlink ref="F341" r:id="rId211" xr:uid="{C900B327-D105-4268-B319-520B4EC7CB21}"/>
    <hyperlink ref="F342" r:id="rId212" xr:uid="{207A4A0F-B656-4523-BBFA-9C3185859C46}"/>
    <hyperlink ref="F304" r:id="rId213" xr:uid="{AA56CCAC-92B1-45A5-AFED-89C58FED6AED}"/>
    <hyperlink ref="F305" r:id="rId214" xr:uid="{A1E8BE4F-AAAA-4B95-AC36-BDB3B8F58C02}"/>
    <hyperlink ref="F306" r:id="rId215" xr:uid="{D2517BAB-45FD-4968-9A72-BE01CD82403F}"/>
    <hyperlink ref="F307" r:id="rId216" xr:uid="{1EEC0251-06CE-4734-A675-E64FF1FF58BA}"/>
    <hyperlink ref="F309" r:id="rId217" xr:uid="{520E3B52-FD1C-4BBD-ADFC-9499EC23BF09}"/>
    <hyperlink ref="F310" r:id="rId218" xr:uid="{B4ECBC4E-4AFC-4DF2-8B1E-7E402BF2C661}"/>
    <hyperlink ref="F376" r:id="rId219" xr:uid="{D0F876A6-1E53-4823-A239-8C4A1AAFFDF0}"/>
    <hyperlink ref="F377" r:id="rId220" xr:uid="{020FCF73-9931-4884-AEA9-24669D3BBE9B}"/>
    <hyperlink ref="F46" r:id="rId221" xr:uid="{05BE6BA2-1780-4ED1-8E7C-52498F597F6C}"/>
    <hyperlink ref="F47" r:id="rId222" xr:uid="{0253E337-AB07-41BF-88FF-0E9950A5FB84}"/>
    <hyperlink ref="F48" r:id="rId223" xr:uid="{F702DBA3-F8BB-4F9E-AD54-B427C1576C35}"/>
    <hyperlink ref="F49" r:id="rId224" xr:uid="{7DB840AD-9A0A-491D-9216-DAB212D7313D}"/>
    <hyperlink ref="F51" r:id="rId225" xr:uid="{AD546677-6153-4BF0-AA19-037211C5EC0A}"/>
    <hyperlink ref="F387" r:id="rId226" xr:uid="{42151E90-CDFD-45D7-B84C-A85F2EE89571}"/>
    <hyperlink ref="F52" r:id="rId227" xr:uid="{AA927330-52E1-4C99-8EB2-30C4467A95E3}"/>
    <hyperlink ref="F53" r:id="rId228" xr:uid="{21323916-364E-4005-9E3E-1B181E35114D}"/>
    <hyperlink ref="F54" r:id="rId229" xr:uid="{4BF41C52-4246-443D-9072-25B7F69B219C}"/>
    <hyperlink ref="F55" r:id="rId230" xr:uid="{463FCC79-8688-489D-84D5-DD9CFCF5F278}"/>
    <hyperlink ref="F57" r:id="rId231" xr:uid="{47F4E599-CD3B-473C-9B17-5BA5FEBE9B90}"/>
    <hyperlink ref="F58" r:id="rId232" xr:uid="{FEC86811-8B82-4BF6-BA24-237D3AF745D4}"/>
    <hyperlink ref="F59" r:id="rId233" xr:uid="{86BD0E17-3904-4A01-91FE-D6DD95DACF8C}"/>
    <hyperlink ref="F60" r:id="rId234" xr:uid="{BFA30B22-4FFF-4C96-922E-BE0D7271967F}"/>
    <hyperlink ref="F61" r:id="rId235" xr:uid="{93EB4E4C-704D-4EBA-AC48-560A7E292807}"/>
    <hyperlink ref="F62" r:id="rId236" xr:uid="{62C2B159-4C59-4BA2-9887-E07BB5790386}"/>
    <hyperlink ref="F63" r:id="rId237" xr:uid="{1128C303-B6E3-4BB9-B435-805B0F0DBF0D}"/>
    <hyperlink ref="F64" r:id="rId238" xr:uid="{E3468461-EAAB-41BC-95CF-91847C80B5C8}"/>
    <hyperlink ref="F65" r:id="rId239" xr:uid="{DFA09A1E-E699-4C02-8992-0C22570A1E67}"/>
    <hyperlink ref="F66" r:id="rId240" xr:uid="{30E8F00C-C107-4C5D-926A-F3F6161EB04B}"/>
    <hyperlink ref="F67" r:id="rId241" xr:uid="{32AE3206-287F-4C7F-806B-6F79B72BE621}"/>
    <hyperlink ref="F348" r:id="rId242" xr:uid="{46B390E3-D3F6-49AA-AC48-8E688C9A5371}"/>
    <hyperlink ref="F346" r:id="rId243" xr:uid="{056E9AE6-9073-42D5-A953-59CF44AC5ED1}"/>
    <hyperlink ref="F352" r:id="rId244" xr:uid="{F3E36874-3807-4A0C-BB31-E8CB8532DCC9}"/>
    <hyperlink ref="F355" r:id="rId245" xr:uid="{39DA002A-323A-4754-A5DE-05E69F72AC18}"/>
    <hyperlink ref="F347" r:id="rId246" xr:uid="{782D36F3-1038-41B2-8388-80220B31D8FD}"/>
    <hyperlink ref="F354" r:id="rId247" xr:uid="{7DE60685-5C89-43FC-80E2-18BF15A3B870}"/>
    <hyperlink ref="F351" r:id="rId248" xr:uid="{346AC88C-437F-490A-85B3-F3B9C08740DA}"/>
    <hyperlink ref="F345" r:id="rId249" xr:uid="{82C20A03-742D-482A-BB88-0E1E8AE1851E}"/>
    <hyperlink ref="F349" r:id="rId250" xr:uid="{1C646ABF-E928-461C-A381-6FF6CBC20C24}"/>
    <hyperlink ref="F353" r:id="rId251" xr:uid="{1D6E3882-8293-4BCA-A50A-A1A714D4910C}"/>
    <hyperlink ref="F294" r:id="rId252" xr:uid="{09777669-106F-4127-99AC-7A2025E3C7BA}"/>
    <hyperlink ref="F295" r:id="rId253" xr:uid="{5ECBB02D-8B8D-455F-A4C8-5CC94F6DA640}"/>
    <hyperlink ref="F359" r:id="rId254" xr:uid="{0A1CE28A-E1C1-455B-AE1B-BE75A5B22FF6}"/>
    <hyperlink ref="F16" r:id="rId255" xr:uid="{4FA8FC24-5639-4786-A56B-602B40601322}"/>
    <hyperlink ref="F17" r:id="rId256" xr:uid="{43BE081F-7E42-4CA1-B83C-8D9EFA6DF7E7}"/>
    <hyperlink ref="F199" r:id="rId257" xr:uid="{A4CA16A2-F33F-47A9-8175-1785E27F96B5}"/>
    <hyperlink ref="F200" r:id="rId258" xr:uid="{4F4C544B-591D-4BAD-8328-92782F6EFF1A}"/>
    <hyperlink ref="F201" r:id="rId259" xr:uid="{C90FBE3C-CA4F-48A1-B94D-91D0F23FE81D}"/>
    <hyperlink ref="F202" r:id="rId260" xr:uid="{11E2D272-F2A2-4107-BE55-3C1C531ABCAF}"/>
    <hyperlink ref="F203" r:id="rId261" xr:uid="{81817817-03D5-4DAA-A4B1-1BD9C07005DB}"/>
    <hyperlink ref="F204" r:id="rId262" xr:uid="{635D6F1D-31F8-40BF-BE3B-56FE399ADB58}"/>
    <hyperlink ref="F205" r:id="rId263" xr:uid="{B204CB34-0F11-4B8E-98EE-2914350E0EA4}"/>
    <hyperlink ref="F206" r:id="rId264" xr:uid="{E4BB84F6-9609-4615-B80A-211C455311D3}"/>
    <hyperlink ref="F207" r:id="rId265" xr:uid="{D678020E-7929-45E3-A2AB-5193825DC04F}"/>
    <hyperlink ref="F208" r:id="rId266" xr:uid="{32E7007A-61C2-4B41-A335-E7EC6555E28C}"/>
    <hyperlink ref="F209" r:id="rId267" xr:uid="{4EB5CF0B-2A8F-4683-A2F1-6E5C3D0D54B7}"/>
    <hyperlink ref="F210" r:id="rId268" xr:uid="{ECB05B57-2EFB-4CE0-9ED0-288774E0120A}"/>
    <hyperlink ref="F211" r:id="rId269" xr:uid="{6CC393E9-C0FA-4F1F-B7AC-8C2897C9C779}"/>
    <hyperlink ref="F212" r:id="rId270" xr:uid="{625DC21D-A1FD-43B0-A837-DBC733618672}"/>
    <hyperlink ref="F213" r:id="rId271" xr:uid="{183753E3-8340-4006-9098-1B46E43372A8}"/>
    <hyperlink ref="F214" r:id="rId272" xr:uid="{E9A867B0-3478-4743-8616-168A445D00B5}"/>
    <hyperlink ref="F215" r:id="rId273" xr:uid="{F7AD3B6E-02B7-4507-BBE8-1E004BEB109E}"/>
    <hyperlink ref="F216" r:id="rId274" xr:uid="{5A7C5B90-EDBD-412F-826C-E775BD048E24}"/>
    <hyperlink ref="F217" r:id="rId275" xr:uid="{00E5CEDF-6B5F-491B-9E85-23D1BD6A2E1B}"/>
    <hyperlink ref="F218" r:id="rId276" xr:uid="{B56F58FF-CF7C-445D-B2B0-8ACE81836EFD}"/>
    <hyperlink ref="F219" r:id="rId277" xr:uid="{499D936E-5E3E-4DB1-9E7B-E1230481FF5E}"/>
    <hyperlink ref="F220" r:id="rId278" xr:uid="{29E0D9DC-67E5-4E5A-A18F-AAC472049DB5}"/>
    <hyperlink ref="F221" r:id="rId279" xr:uid="{A1132E81-2660-436F-B10F-82A09FBC95EF}"/>
    <hyperlink ref="F222" r:id="rId280" xr:uid="{69E15659-1804-4E7C-A1DC-9F7DB4395141}"/>
    <hyperlink ref="F223" r:id="rId281" xr:uid="{B653A077-DFAC-4A79-AEE3-9EA0792580C4}"/>
    <hyperlink ref="F224" r:id="rId282" xr:uid="{0F1D5816-5033-4B8D-8FEA-1614718F4323}"/>
    <hyperlink ref="F225" r:id="rId283" xr:uid="{0B0A8313-5C8F-4F6A-9CDC-13720AA54152}"/>
    <hyperlink ref="F226" r:id="rId284" xr:uid="{46375936-3D2F-4B47-A481-9E58C10CBE7F}"/>
    <hyperlink ref="F227" r:id="rId285" xr:uid="{3E21CB74-8BD3-4F32-8708-AEBCEBE04889}"/>
    <hyperlink ref="F228" r:id="rId286" xr:uid="{B769C86A-D56D-40FC-A689-AF05C090C266}"/>
    <hyperlink ref="F229" r:id="rId287" xr:uid="{F808FFDB-CB71-41D2-9396-1E5D11E806A5}"/>
    <hyperlink ref="F230" r:id="rId288" xr:uid="{FB76CF50-F5B4-4832-B7CD-043FE265CA47}"/>
    <hyperlink ref="F231" r:id="rId289" xr:uid="{41887E85-07EA-42F3-A8F1-072934DB05BE}"/>
    <hyperlink ref="F232" r:id="rId290" xr:uid="{7B9E9016-58FD-45F5-B5A8-B5ED38D295FE}"/>
    <hyperlink ref="F233" r:id="rId291" xr:uid="{B9B76352-9769-4043-ACB9-2C5A8BBBAD69}"/>
    <hyperlink ref="F234" r:id="rId292" xr:uid="{6560AB45-9969-4238-80E9-6989AC09F274}"/>
    <hyperlink ref="F235" r:id="rId293" xr:uid="{B309F6EC-47F0-4F25-B63F-2C5DB571B2EA}"/>
    <hyperlink ref="F236" r:id="rId294" xr:uid="{62D1A622-A0A4-40CA-A7B1-E45181D6CBB6}"/>
    <hyperlink ref="F237" r:id="rId295" xr:uid="{63C7A4F4-A386-42C0-8208-A00B4D0E647A}"/>
    <hyperlink ref="F238" r:id="rId296" xr:uid="{36D3BDEA-6B7E-40D7-8E4D-B276D4BEEBE3}"/>
    <hyperlink ref="F239" r:id="rId297" xr:uid="{65B3B305-A329-4F97-8B8C-04E9B5B1CFAF}"/>
    <hyperlink ref="F240" r:id="rId298" xr:uid="{48B4EA62-1CF5-4236-A193-353674A28E06}"/>
    <hyperlink ref="F155" r:id="rId299" xr:uid="{8DB375FC-105B-4A40-98B6-E161C6595C08}"/>
    <hyperlink ref="F156" r:id="rId300" xr:uid="{F3A7C284-6D45-4A75-91AF-1D54D27F5527}"/>
    <hyperlink ref="F157" r:id="rId301" xr:uid="{D05B2A4B-3E73-4070-AB62-EE777BE339A2}"/>
    <hyperlink ref="F158" r:id="rId302" xr:uid="{F4050346-A1CA-4639-A5BE-E909E5A899BF}"/>
    <hyperlink ref="F159" r:id="rId303" xr:uid="{43FD2451-0037-44D5-8426-47B7493BF5A9}"/>
    <hyperlink ref="F160" r:id="rId304" xr:uid="{D0A85C32-06FC-46DC-B6F1-7B2BDAD2DD7A}"/>
    <hyperlink ref="F161" r:id="rId305" xr:uid="{CB64CF94-772F-4ECA-9F78-6C8916CAB828}"/>
    <hyperlink ref="F162" r:id="rId306" xr:uid="{8DBB08AC-F73E-426B-84F7-66F40FF7E4CA}"/>
    <hyperlink ref="F163" r:id="rId307" xr:uid="{A7D4D984-2277-4EFA-9800-7A1E72D9300E}"/>
    <hyperlink ref="F164" r:id="rId308" xr:uid="{0562824B-CD3D-448D-8BAC-3B549CA5CDB9}"/>
    <hyperlink ref="F165" r:id="rId309" xr:uid="{B4D6CBF2-DC4C-4DAA-99AE-85D8EC583E97}"/>
    <hyperlink ref="F166" r:id="rId310" xr:uid="{5973BFE0-5432-4152-A49F-89A413F378DA}"/>
    <hyperlink ref="F167" r:id="rId311" xr:uid="{8E301FBB-934F-4186-B894-3DEBEC701BAB}"/>
    <hyperlink ref="F168" r:id="rId312" xr:uid="{EBF902DC-B7F9-47A7-94E5-684241E796FE}"/>
    <hyperlink ref="F169" r:id="rId313" xr:uid="{D3CB6365-BE8E-4A38-969B-80845ABEF8D8}"/>
    <hyperlink ref="F170" r:id="rId314" xr:uid="{E4D9A05B-A955-478A-A46C-FE98179FB925}"/>
    <hyperlink ref="F171" r:id="rId315" xr:uid="{CCB4AAE5-EEA1-4FBD-AF03-A4D8CFFE5B2F}"/>
    <hyperlink ref="F172" r:id="rId316" xr:uid="{58D0456F-6123-42B2-AB17-97084C5B51FB}"/>
    <hyperlink ref="F173" r:id="rId317" xr:uid="{9614D3B3-639D-4975-8C6A-BAE5E9D7398D}"/>
    <hyperlink ref="F175" r:id="rId318" xr:uid="{079A4725-3B04-48C3-B1EF-7C2CD21FB162}"/>
    <hyperlink ref="F176" r:id="rId319" xr:uid="{C04C0583-92BF-44BF-853E-D86174984CAF}"/>
    <hyperlink ref="F241" r:id="rId320" xr:uid="{3AD53213-6762-4ACA-955F-B01FC976E39C}"/>
    <hyperlink ref="F144" r:id="rId321" xr:uid="{DA863738-A067-4166-8ABA-7D1B41A21192}"/>
    <hyperlink ref="F145" r:id="rId322" xr:uid="{6A666879-AF9E-406B-AFE7-0ED94FA419BD}"/>
    <hyperlink ref="F370" r:id="rId323" xr:uid="{B0BDFBF9-9774-4865-9FDD-57BDD6384588}"/>
    <hyperlink ref="F371" r:id="rId324" xr:uid="{DDC4DD6A-2C80-4CE6-8269-2DC9FFCC0FD2}"/>
    <hyperlink ref="F372" r:id="rId325" xr:uid="{6DE80A02-0D24-4CAA-9A66-2A863A726D63}"/>
    <hyperlink ref="F94" r:id="rId326" xr:uid="{09486CC8-4C6E-44FC-B37B-6FCD3758244A}"/>
    <hyperlink ref="F146" r:id="rId327" xr:uid="{7DD2FB50-AE20-4C61-B92B-41E1B9696B08}"/>
    <hyperlink ref="F147" r:id="rId328" xr:uid="{7641476A-81B6-4335-88A3-4138D0248EFA}"/>
    <hyperlink ref="F148" r:id="rId329" xr:uid="{A58B71D2-3BF3-4122-A920-5AEC9C4745BB}"/>
    <hyperlink ref="F149" r:id="rId330" xr:uid="{CA4643DF-1408-41FD-A512-F5DFEC23FBE5}"/>
    <hyperlink ref="F33" r:id="rId331" xr:uid="{ACA6262E-536D-486B-9A1C-91E784CC9A1C}"/>
    <hyperlink ref="F34" r:id="rId332" xr:uid="{2CDA88EE-BFB4-49FF-A57B-80C0153EB87A}"/>
    <hyperlink ref="F296" r:id="rId333" xr:uid="{5A9EA95A-8544-4DCE-ADEC-A5B2959842C4}"/>
    <hyperlink ref="F297" r:id="rId334" xr:uid="{5FB35C41-F2E4-4FE7-90F8-FE79FEF970B3}"/>
    <hyperlink ref="F298" r:id="rId335" xr:uid="{2FD5D24B-4874-42C8-8466-31FF735FCFB3}"/>
    <hyperlink ref="F285" r:id="rId336" xr:uid="{9CBA4B39-D2EB-42AB-AB13-E67B34D52CA1}"/>
    <hyperlink ref="F286" r:id="rId337" xr:uid="{121118EF-7DB8-43B2-AEF8-6F068256A7D2}"/>
    <hyperlink ref="F287" r:id="rId338" xr:uid="{01F49FDC-D10C-4603-A96F-7318E4C21F32}"/>
    <hyperlink ref="F288" r:id="rId339" xr:uid="{D4B2420F-BDB0-4928-A728-FE6F5ADF17A3}"/>
    <hyperlink ref="F289" r:id="rId340" xr:uid="{1F24868D-5302-4EDD-AEF1-6683A842FB62}"/>
    <hyperlink ref="F290" r:id="rId341" xr:uid="{ABE1D91E-1EA9-4EA4-963A-9E30607E087B}"/>
    <hyperlink ref="F291" r:id="rId342" xr:uid="{676F8607-6D34-4817-BFEC-FF0BDBDB99AD}"/>
    <hyperlink ref="F150" r:id="rId343" xr:uid="{6EF69EF4-D7A2-4E15-93EC-11EB3864619F}"/>
    <hyperlink ref="F95" r:id="rId344" xr:uid="{DBEADD13-9572-4162-A1A8-5D92AFBA6CB5}"/>
    <hyperlink ref="F96" r:id="rId345" xr:uid="{3DFA07B9-8A32-4F6D-B081-D6B0852F60CB}"/>
    <hyperlink ref="F388" r:id="rId346" xr:uid="{D47718D3-D4FA-4B0E-BA5F-44DCE59A353F}"/>
    <hyperlink ref="F243" r:id="rId347" xr:uid="{26763FBB-BBC7-484D-8AEF-ED7AD48088A5}"/>
    <hyperlink ref="F244" r:id="rId348" xr:uid="{4C2225BC-4089-48DB-996F-1BBEE4868DE9}"/>
    <hyperlink ref="F350" r:id="rId349" xr:uid="{255109BC-5B9A-4A5A-B5F7-4E1DC5F8FA44}"/>
    <hyperlink ref="F343" r:id="rId350" xr:uid="{CD42A702-A620-4726-814A-3C31DA508D50}"/>
    <hyperlink ref="F245" r:id="rId351" xr:uid="{4E4CE0F9-9380-45F9-9388-BA2FB0A3D35D}"/>
    <hyperlink ref="F299" r:id="rId352" xr:uid="{0E3486F9-EFCA-4B27-90AF-BD344DB1F557}"/>
    <hyperlink ref="F301" r:id="rId353" xr:uid="{8812E0D0-68DB-48F6-86D1-E7BA6FF46E8C}"/>
    <hyperlink ref="F302" r:id="rId354" xr:uid="{C07AA256-CE3E-4CD3-B313-9BF9EE0F2C6D}"/>
    <hyperlink ref="F328" r:id="rId355" xr:uid="{9A7BE8FB-855F-4F27-BC9C-7016D1F24DD3}"/>
    <hyperlink ref="F270" r:id="rId356" xr:uid="{2355FE01-0E0A-4724-AB98-B76B0EE95EBD}"/>
    <hyperlink ref="F271" r:id="rId357" xr:uid="{2C3F23A0-453B-4177-A045-0EBA87BA472F}"/>
    <hyperlink ref="F193" r:id="rId358" xr:uid="{ACC62BC0-E132-46B6-9788-09452C87E768}"/>
    <hyperlink ref="F194" r:id="rId359" xr:uid="{6BD094B0-480E-4F27-9718-CE7693A4EBAD}"/>
    <hyperlink ref="F195" r:id="rId360" xr:uid="{F1BC7287-43BC-4808-A1EE-B9D69252BBEE}"/>
    <hyperlink ref="F196" r:id="rId361" xr:uid="{DFBB8A93-53C9-4A9D-98E2-B3B30810D95A}"/>
    <hyperlink ref="F197" r:id="rId362" xr:uid="{4907CE74-82EF-4D5C-BEFC-B8975AE14CFA}"/>
    <hyperlink ref="F198" r:id="rId363" xr:uid="{D5AC3371-E267-4767-AEF2-0CA32919A7B7}"/>
    <hyperlink ref="F356" r:id="rId364" xr:uid="{B76AE502-FF43-47C8-AE24-90A1552CF107}"/>
    <hyperlink ref="F344" r:id="rId365" xr:uid="{02E545B1-6707-408D-B49D-07B627946885}"/>
    <hyperlink ref="F357" r:id="rId366" xr:uid="{90B62186-32F9-4723-A711-77AE61BF7C22}"/>
    <hyperlink ref="F358" r:id="rId367" xr:uid="{E0FDF20C-8F3D-45C4-A574-59649E1D5EE9}"/>
    <hyperlink ref="F256" r:id="rId368" xr:uid="{69A3460F-DEC4-466F-869F-27C6DE1D1161}"/>
    <hyperlink ref="F257" r:id="rId369" xr:uid="{A14A6951-C4DB-472A-A8EA-978720B79B6E}"/>
    <hyperlink ref="F258" r:id="rId370" xr:uid="{5EF43449-9BA0-4543-9745-3162A98D0BAC}"/>
    <hyperlink ref="F259" r:id="rId371" xr:uid="{D891B037-90F2-4E3E-BDCB-095FB1C21A97}"/>
    <hyperlink ref="F260" r:id="rId372" xr:uid="{290B17A9-79A2-4762-80A7-CE98EA7E0756}"/>
    <hyperlink ref="F261" r:id="rId373" xr:uid="{2B01E402-F42E-4931-9E14-2A112D6E615A}"/>
    <hyperlink ref="F373" r:id="rId374" xr:uid="{074CC0AA-0D96-4963-8275-414B05AD0B5B}"/>
    <hyperlink ref="F374" r:id="rId375" xr:uid="{F32F851E-BBE7-4C00-8753-B95B3C87E7FE}"/>
    <hyperlink ref="F375" r:id="rId376" xr:uid="{3435737C-FDEC-4EEF-A8A0-F27D207AA01E}"/>
    <hyperlink ref="F151" r:id="rId377" xr:uid="{61D1757D-F489-40CD-8175-4F180DD30B35}"/>
    <hyperlink ref="F152" r:id="rId378" xr:uid="{489C2665-BACA-4CD4-839D-C2FB437FF8B2}"/>
    <hyperlink ref="F153" r:id="rId379" xr:uid="{448482E5-A454-4413-BD9E-E2B41CBD1609}"/>
    <hyperlink ref="F154" r:id="rId380" xr:uid="{C2F9823B-6CA5-47FB-8BCC-3B86725570E4}"/>
    <hyperlink ref="F311" r:id="rId381" xr:uid="{D53A7B70-ADE1-4379-88EE-5E9E62FBA1BA}"/>
    <hyperlink ref="F312" r:id="rId382" xr:uid="{417E9F86-C361-4C9B-8572-CA1C08D60722}"/>
    <hyperlink ref="F69" r:id="rId383" xr:uid="{EB59BC0D-263D-4D4E-8FE4-F08B9A0CBDEB}"/>
    <hyperlink ref="F70" r:id="rId384" xr:uid="{142B2C61-0251-4150-82D5-7C3957344DED}"/>
    <hyperlink ref="F71" r:id="rId385" xr:uid="{CC9839BF-7DD4-4224-8FDA-4559D560FFCC}"/>
    <hyperlink ref="F390" r:id="rId386" xr:uid="{5F817902-F50C-404C-8EE1-44B9371CCC31}"/>
  </hyperlinks>
  <pageMargins left="0.7" right="0.7" top="0.75" bottom="0.75" header="0.3" footer="0.3"/>
  <pageSetup paperSize="9" orientation="portrait" r:id="rId38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B1:H77"/>
  <sheetViews>
    <sheetView showGridLines="0" zoomScaleNormal="100" workbookViewId="0">
      <pane xSplit="3" ySplit="2" topLeftCell="D3" activePane="bottomRight" state="frozen"/>
      <selection pane="topRight" activeCell="C1" sqref="C1"/>
      <selection pane="bottomLeft" activeCell="A2" sqref="A2"/>
      <selection pane="bottomRight" activeCell="H62" sqref="H62"/>
    </sheetView>
  </sheetViews>
  <sheetFormatPr baseColWidth="10" defaultColWidth="11.42578125" defaultRowHeight="24.95" customHeight="1" x14ac:dyDescent="0.25"/>
  <cols>
    <col min="1" max="1" width="1.42578125" style="1" customWidth="1"/>
    <col min="2" max="2" width="13" style="1" bestFit="1" customWidth="1"/>
    <col min="3" max="3" width="18.140625" style="1" bestFit="1" customWidth="1"/>
    <col min="4" max="4" width="22.5703125" style="1" customWidth="1"/>
    <col min="5" max="5" width="31.42578125" style="1" customWidth="1"/>
    <col min="6" max="6" width="27.42578125" style="1" bestFit="1" customWidth="1"/>
    <col min="7" max="7" width="35.140625" style="1" bestFit="1" customWidth="1"/>
    <col min="8" max="8" width="26.42578125" style="1" bestFit="1" customWidth="1"/>
    <col min="9" max="16384" width="11.42578125" style="1"/>
  </cols>
  <sheetData>
    <row r="1" spans="2:8" ht="7.5" customHeight="1" x14ac:dyDescent="0.25"/>
    <row r="2" spans="2:8" ht="30" x14ac:dyDescent="0.25">
      <c r="B2" s="4" t="s">
        <v>0</v>
      </c>
      <c r="C2" s="4" t="s">
        <v>1476</v>
      </c>
      <c r="D2" s="4" t="s">
        <v>1478</v>
      </c>
      <c r="E2" s="4" t="s">
        <v>1479</v>
      </c>
      <c r="F2" s="4" t="s">
        <v>1480</v>
      </c>
      <c r="G2" s="4" t="s">
        <v>1481</v>
      </c>
      <c r="H2" s="88" t="s">
        <v>1485</v>
      </c>
    </row>
    <row r="3" spans="2:8" ht="15" x14ac:dyDescent="0.25">
      <c r="B3" s="24">
        <v>3</v>
      </c>
      <c r="C3" s="25" t="s">
        <v>1272</v>
      </c>
      <c r="D3" s="2">
        <v>15</v>
      </c>
      <c r="E3" s="2">
        <v>7</v>
      </c>
      <c r="F3" s="2">
        <v>17</v>
      </c>
      <c r="G3" s="84">
        <v>0</v>
      </c>
      <c r="H3" s="89">
        <v>13</v>
      </c>
    </row>
    <row r="4" spans="2:8" ht="15" x14ac:dyDescent="0.25">
      <c r="B4" s="24">
        <v>4</v>
      </c>
      <c r="C4" s="25" t="s">
        <v>1273</v>
      </c>
      <c r="D4" s="2">
        <v>1</v>
      </c>
      <c r="E4" s="2">
        <v>1</v>
      </c>
      <c r="F4" s="2">
        <v>1</v>
      </c>
      <c r="G4" s="84">
        <v>0</v>
      </c>
      <c r="H4" s="89">
        <v>1</v>
      </c>
    </row>
    <row r="5" spans="2:8" ht="15" x14ac:dyDescent="0.25">
      <c r="B5" s="24">
        <v>5</v>
      </c>
      <c r="C5" s="25" t="s">
        <v>1274</v>
      </c>
      <c r="D5" s="2">
        <v>6</v>
      </c>
      <c r="E5" s="2">
        <v>3</v>
      </c>
      <c r="F5" s="2">
        <v>12</v>
      </c>
      <c r="G5" s="84">
        <v>0</v>
      </c>
      <c r="H5" s="89">
        <v>6</v>
      </c>
    </row>
    <row r="6" spans="2:8" ht="15" x14ac:dyDescent="0.25">
      <c r="B6" s="24">
        <v>6</v>
      </c>
      <c r="C6" s="25" t="s">
        <v>1275</v>
      </c>
      <c r="D6" s="2">
        <v>10</v>
      </c>
      <c r="E6" s="2">
        <v>7</v>
      </c>
      <c r="F6" s="2">
        <v>7</v>
      </c>
      <c r="G6" s="84">
        <v>0</v>
      </c>
      <c r="H6" s="89">
        <v>2</v>
      </c>
    </row>
    <row r="7" spans="2:8" s="53" customFormat="1" ht="15" x14ac:dyDescent="0.25">
      <c r="B7" s="24">
        <v>12</v>
      </c>
      <c r="C7" s="25" t="s">
        <v>1276</v>
      </c>
      <c r="D7" s="2">
        <v>11</v>
      </c>
      <c r="E7" s="2">
        <v>7</v>
      </c>
      <c r="F7" s="2">
        <v>10</v>
      </c>
      <c r="G7" s="84">
        <v>0</v>
      </c>
      <c r="H7" s="89">
        <v>4</v>
      </c>
    </row>
    <row r="8" spans="2:8" s="53" customFormat="1" ht="15" x14ac:dyDescent="0.25">
      <c r="B8" s="24">
        <v>13</v>
      </c>
      <c r="C8" s="25" t="s">
        <v>1277</v>
      </c>
      <c r="D8" s="2">
        <v>26</v>
      </c>
      <c r="E8" s="2">
        <v>13</v>
      </c>
      <c r="F8" s="2">
        <v>29</v>
      </c>
      <c r="G8" s="84">
        <v>6</v>
      </c>
      <c r="H8" s="89">
        <v>13</v>
      </c>
    </row>
    <row r="9" spans="2:8" s="53" customFormat="1" ht="15" x14ac:dyDescent="0.25">
      <c r="B9" s="24">
        <v>14</v>
      </c>
      <c r="C9" s="25" t="s">
        <v>1278</v>
      </c>
      <c r="D9" s="2">
        <v>14</v>
      </c>
      <c r="E9" s="2">
        <v>7</v>
      </c>
      <c r="F9" s="2">
        <v>15</v>
      </c>
      <c r="G9" s="2">
        <v>0</v>
      </c>
      <c r="H9" s="89">
        <v>5</v>
      </c>
    </row>
    <row r="10" spans="2:8" s="53" customFormat="1" ht="15" x14ac:dyDescent="0.25">
      <c r="B10" s="24">
        <v>22</v>
      </c>
      <c r="C10" s="25" t="s">
        <v>1279</v>
      </c>
      <c r="D10" s="2">
        <v>11</v>
      </c>
      <c r="E10" s="2">
        <v>6</v>
      </c>
      <c r="F10" s="2">
        <v>9</v>
      </c>
      <c r="G10" s="84">
        <v>1</v>
      </c>
      <c r="H10" s="89">
        <v>4</v>
      </c>
    </row>
    <row r="11" spans="2:8" s="53" customFormat="1" ht="15" x14ac:dyDescent="0.25">
      <c r="B11" s="24">
        <v>23</v>
      </c>
      <c r="C11" s="25" t="s">
        <v>1280</v>
      </c>
      <c r="D11" s="2">
        <v>9</v>
      </c>
      <c r="E11" s="2">
        <v>6</v>
      </c>
      <c r="F11" s="2">
        <v>8</v>
      </c>
      <c r="G11" s="84">
        <v>2</v>
      </c>
      <c r="H11" s="89">
        <v>4</v>
      </c>
    </row>
    <row r="12" spans="2:8" s="53" customFormat="1" ht="15" x14ac:dyDescent="0.25">
      <c r="B12" s="24">
        <v>24</v>
      </c>
      <c r="C12" s="25" t="s">
        <v>1281</v>
      </c>
      <c r="D12" s="2">
        <v>5</v>
      </c>
      <c r="E12" s="2">
        <v>2</v>
      </c>
      <c r="F12" s="2">
        <v>7</v>
      </c>
      <c r="G12" s="84">
        <v>0</v>
      </c>
      <c r="H12" s="89">
        <v>4</v>
      </c>
    </row>
    <row r="13" spans="2:8" s="53" customFormat="1" ht="15" x14ac:dyDescent="0.25">
      <c r="B13" s="24">
        <v>25</v>
      </c>
      <c r="C13" s="25" t="s">
        <v>1282</v>
      </c>
      <c r="D13" s="2">
        <v>6</v>
      </c>
      <c r="E13" s="2">
        <v>2</v>
      </c>
      <c r="F13" s="2">
        <v>3</v>
      </c>
      <c r="G13" s="84">
        <v>1</v>
      </c>
      <c r="H13" s="89">
        <v>3</v>
      </c>
    </row>
    <row r="14" spans="2:8" s="53" customFormat="1" ht="15" x14ac:dyDescent="0.25">
      <c r="B14" s="24">
        <v>26</v>
      </c>
      <c r="C14" s="25" t="s">
        <v>1283</v>
      </c>
      <c r="D14" s="64">
        <v>38</v>
      </c>
      <c r="E14" s="64">
        <v>24</v>
      </c>
      <c r="F14" s="64">
        <v>39</v>
      </c>
      <c r="G14" s="85">
        <v>12</v>
      </c>
      <c r="H14" s="90">
        <v>18</v>
      </c>
    </row>
    <row r="15" spans="2:8" s="53" customFormat="1" ht="15" x14ac:dyDescent="0.25">
      <c r="B15" s="24">
        <v>27</v>
      </c>
      <c r="C15" s="25" t="s">
        <v>1284</v>
      </c>
      <c r="D15" s="2">
        <v>22</v>
      </c>
      <c r="E15" s="2">
        <v>7</v>
      </c>
      <c r="F15" s="2">
        <v>10</v>
      </c>
      <c r="G15" s="84">
        <v>10</v>
      </c>
      <c r="H15" s="89">
        <v>7</v>
      </c>
    </row>
    <row r="16" spans="2:8" s="53" customFormat="1" ht="15" x14ac:dyDescent="0.25">
      <c r="B16" s="24">
        <v>28</v>
      </c>
      <c r="C16" s="25" t="s">
        <v>1285</v>
      </c>
      <c r="D16" s="2">
        <v>22</v>
      </c>
      <c r="E16" s="2">
        <v>17</v>
      </c>
      <c r="F16" s="2">
        <v>27</v>
      </c>
      <c r="G16" s="84">
        <v>6</v>
      </c>
      <c r="H16" s="89">
        <v>11</v>
      </c>
    </row>
    <row r="17" spans="2:8" s="53" customFormat="1" ht="15" x14ac:dyDescent="0.25">
      <c r="B17" s="24">
        <v>29</v>
      </c>
      <c r="C17" s="25" t="s">
        <v>1286</v>
      </c>
      <c r="D17" s="2">
        <v>47</v>
      </c>
      <c r="E17" s="2">
        <v>26</v>
      </c>
      <c r="F17" s="2">
        <v>37</v>
      </c>
      <c r="G17" s="84">
        <v>5</v>
      </c>
      <c r="H17" s="89">
        <v>17</v>
      </c>
    </row>
    <row r="18" spans="2:8" ht="15" x14ac:dyDescent="0.25">
      <c r="B18" s="24">
        <v>30</v>
      </c>
      <c r="C18" s="25" t="s">
        <v>1287</v>
      </c>
      <c r="D18" s="2">
        <v>16</v>
      </c>
      <c r="E18" s="2">
        <v>11</v>
      </c>
      <c r="F18" s="2">
        <v>11</v>
      </c>
      <c r="G18" s="84">
        <v>8</v>
      </c>
      <c r="H18" s="89">
        <v>6</v>
      </c>
    </row>
    <row r="19" spans="2:8" s="53" customFormat="1" ht="15" x14ac:dyDescent="0.25">
      <c r="B19" s="24">
        <v>31</v>
      </c>
      <c r="C19" s="25" t="s">
        <v>1288</v>
      </c>
      <c r="D19" s="2">
        <v>1</v>
      </c>
      <c r="E19" s="2">
        <v>1</v>
      </c>
      <c r="F19" s="2">
        <v>0</v>
      </c>
      <c r="G19" s="84">
        <v>0</v>
      </c>
      <c r="H19" s="89">
        <v>0</v>
      </c>
    </row>
    <row r="20" spans="2:8" s="53" customFormat="1" ht="15" x14ac:dyDescent="0.25">
      <c r="B20" s="24">
        <v>32</v>
      </c>
      <c r="C20" s="25" t="s">
        <v>1289</v>
      </c>
      <c r="D20" s="2">
        <v>4</v>
      </c>
      <c r="E20" s="2">
        <v>1</v>
      </c>
      <c r="F20" s="2">
        <v>1</v>
      </c>
      <c r="G20" s="84">
        <v>1</v>
      </c>
      <c r="H20" s="89">
        <v>1</v>
      </c>
    </row>
    <row r="21" spans="2:8" s="53" customFormat="1" ht="15" x14ac:dyDescent="0.25">
      <c r="B21" s="24">
        <v>33</v>
      </c>
      <c r="C21" s="25" t="s">
        <v>1290</v>
      </c>
      <c r="D21" s="2">
        <v>1</v>
      </c>
      <c r="E21" s="2">
        <v>1</v>
      </c>
      <c r="F21" s="2">
        <v>1</v>
      </c>
      <c r="G21" s="84">
        <v>1</v>
      </c>
      <c r="H21" s="89">
        <v>1</v>
      </c>
    </row>
    <row r="22" spans="2:8" s="53" customFormat="1" ht="15" x14ac:dyDescent="0.25">
      <c r="B22" s="24">
        <v>34</v>
      </c>
      <c r="C22" s="25" t="s">
        <v>1291</v>
      </c>
      <c r="D22" s="2">
        <v>4</v>
      </c>
      <c r="E22" s="2">
        <v>4</v>
      </c>
      <c r="F22" s="2">
        <v>4</v>
      </c>
      <c r="G22" s="84">
        <v>4</v>
      </c>
      <c r="H22" s="89">
        <v>3</v>
      </c>
    </row>
    <row r="23" spans="2:8" s="53" customFormat="1" ht="15" x14ac:dyDescent="0.25">
      <c r="B23" s="24">
        <v>38</v>
      </c>
      <c r="C23" s="25" t="s">
        <v>1292</v>
      </c>
      <c r="D23" s="2">
        <v>1</v>
      </c>
      <c r="E23" s="2">
        <v>1</v>
      </c>
      <c r="F23" s="2">
        <v>1</v>
      </c>
      <c r="G23" s="84">
        <v>0</v>
      </c>
      <c r="H23" s="89">
        <v>1</v>
      </c>
    </row>
    <row r="24" spans="2:8" s="53" customFormat="1" ht="15" x14ac:dyDescent="0.25">
      <c r="B24" s="24">
        <v>40</v>
      </c>
      <c r="C24" s="25" t="s">
        <v>1293</v>
      </c>
      <c r="D24" s="2">
        <v>2</v>
      </c>
      <c r="E24" s="2">
        <v>1</v>
      </c>
      <c r="F24" s="2">
        <v>1</v>
      </c>
      <c r="G24" s="84">
        <v>1</v>
      </c>
      <c r="H24" s="89">
        <v>1</v>
      </c>
    </row>
    <row r="25" spans="2:8" s="53" customFormat="1" ht="15" x14ac:dyDescent="0.25">
      <c r="B25" s="24">
        <v>41</v>
      </c>
      <c r="C25" s="25" t="s">
        <v>1294</v>
      </c>
      <c r="D25" s="2">
        <v>9</v>
      </c>
      <c r="E25" s="2">
        <v>6</v>
      </c>
      <c r="F25" s="2">
        <v>8</v>
      </c>
      <c r="G25" s="84">
        <v>0</v>
      </c>
      <c r="H25" s="89">
        <v>2</v>
      </c>
    </row>
    <row r="26" spans="2:8" s="53" customFormat="1" ht="15" x14ac:dyDescent="0.25">
      <c r="B26" s="24">
        <v>42</v>
      </c>
      <c r="C26" s="25" t="s">
        <v>1295</v>
      </c>
      <c r="D26" s="2">
        <v>8</v>
      </c>
      <c r="E26" s="2">
        <v>3</v>
      </c>
      <c r="F26" s="2">
        <v>6</v>
      </c>
      <c r="G26" s="84">
        <v>3</v>
      </c>
      <c r="H26" s="89">
        <v>3</v>
      </c>
    </row>
    <row r="27" spans="2:8" s="53" customFormat="1" ht="15" x14ac:dyDescent="0.25">
      <c r="B27" s="24">
        <v>47</v>
      </c>
      <c r="C27" s="25" t="s">
        <v>1296</v>
      </c>
      <c r="D27" s="2">
        <v>11</v>
      </c>
      <c r="E27" s="2">
        <v>8</v>
      </c>
      <c r="F27" s="2">
        <v>10</v>
      </c>
      <c r="G27" s="84">
        <v>10</v>
      </c>
      <c r="H27" s="89">
        <v>4</v>
      </c>
    </row>
    <row r="28" spans="2:8" s="53" customFormat="1" ht="15" x14ac:dyDescent="0.25">
      <c r="B28" s="24">
        <v>48</v>
      </c>
      <c r="C28" s="25" t="s">
        <v>1297</v>
      </c>
      <c r="D28" s="2">
        <v>10</v>
      </c>
      <c r="E28" s="2">
        <v>4</v>
      </c>
      <c r="F28" s="2">
        <v>4</v>
      </c>
      <c r="G28" s="84">
        <v>4</v>
      </c>
      <c r="H28" s="89">
        <f>2</f>
        <v>2</v>
      </c>
    </row>
    <row r="29" spans="2:8" s="53" customFormat="1" ht="15" x14ac:dyDescent="0.25">
      <c r="B29" s="24">
        <v>49</v>
      </c>
      <c r="C29" s="25" t="s">
        <v>1298</v>
      </c>
      <c r="D29" s="2">
        <f>8</f>
        <v>8</v>
      </c>
      <c r="E29" s="2">
        <f>3</f>
        <v>3</v>
      </c>
      <c r="F29" s="2">
        <v>3</v>
      </c>
      <c r="G29" s="84">
        <v>4</v>
      </c>
      <c r="H29" s="89">
        <v>3</v>
      </c>
    </row>
    <row r="30" spans="2:8" s="53" customFormat="1" ht="15" x14ac:dyDescent="0.25">
      <c r="B30" s="24">
        <v>50</v>
      </c>
      <c r="C30" s="25" t="s">
        <v>1299</v>
      </c>
      <c r="D30" s="2">
        <v>2</v>
      </c>
      <c r="E30" s="2">
        <v>0</v>
      </c>
      <c r="F30" s="2">
        <v>0</v>
      </c>
      <c r="G30" s="84">
        <v>0</v>
      </c>
      <c r="H30" s="89">
        <v>0</v>
      </c>
    </row>
    <row r="31" spans="2:8" s="53" customFormat="1" ht="15" x14ac:dyDescent="0.25">
      <c r="B31" s="24">
        <v>51</v>
      </c>
      <c r="C31" s="25" t="s">
        <v>1300</v>
      </c>
      <c r="D31" s="2">
        <v>3</v>
      </c>
      <c r="E31" s="2">
        <v>1</v>
      </c>
      <c r="F31" s="2">
        <v>1</v>
      </c>
      <c r="G31" s="84">
        <v>0</v>
      </c>
      <c r="H31" s="89">
        <v>1</v>
      </c>
    </row>
    <row r="32" spans="2:8" s="53" customFormat="1" ht="15" x14ac:dyDescent="0.25">
      <c r="B32" s="24">
        <v>52</v>
      </c>
      <c r="C32" s="25" t="s">
        <v>1301</v>
      </c>
      <c r="D32" s="2">
        <v>3</v>
      </c>
      <c r="E32" s="2">
        <v>2</v>
      </c>
      <c r="F32" s="2">
        <v>2</v>
      </c>
      <c r="G32" s="84">
        <v>2</v>
      </c>
      <c r="H32" s="89">
        <v>2</v>
      </c>
    </row>
    <row r="33" spans="2:8" s="53" customFormat="1" ht="15" x14ac:dyDescent="0.25">
      <c r="B33" s="24">
        <v>56</v>
      </c>
      <c r="C33" s="25" t="s">
        <v>1302</v>
      </c>
      <c r="D33" s="2">
        <v>4</v>
      </c>
      <c r="E33" s="2">
        <v>1</v>
      </c>
      <c r="F33" s="2">
        <v>1</v>
      </c>
      <c r="G33" s="84">
        <v>4</v>
      </c>
      <c r="H33" s="89">
        <v>0</v>
      </c>
    </row>
    <row r="34" spans="2:8" s="53" customFormat="1" ht="15" x14ac:dyDescent="0.25">
      <c r="B34" s="24">
        <v>72</v>
      </c>
      <c r="C34" s="25" t="s">
        <v>1303</v>
      </c>
      <c r="D34" s="2">
        <v>1</v>
      </c>
      <c r="E34" s="2">
        <v>1</v>
      </c>
      <c r="F34" s="2">
        <v>1</v>
      </c>
      <c r="G34" s="84">
        <v>1</v>
      </c>
      <c r="H34" s="89">
        <v>0</v>
      </c>
    </row>
    <row r="35" spans="2:8" ht="15" x14ac:dyDescent="0.25">
      <c r="B35" s="24">
        <v>73</v>
      </c>
      <c r="C35" s="25" t="s">
        <v>1304</v>
      </c>
      <c r="D35" s="2">
        <v>0</v>
      </c>
      <c r="E35" s="2">
        <v>0</v>
      </c>
      <c r="F35" s="2">
        <v>0</v>
      </c>
      <c r="G35" s="84">
        <v>0</v>
      </c>
      <c r="H35" s="89">
        <v>0</v>
      </c>
    </row>
    <row r="36" spans="2:8" ht="15" x14ac:dyDescent="0.25">
      <c r="B36" s="24">
        <v>74</v>
      </c>
      <c r="C36" s="25" t="s">
        <v>1305</v>
      </c>
      <c r="D36" s="2">
        <f>9</f>
        <v>9</v>
      </c>
      <c r="E36" s="2">
        <f>4</f>
        <v>4</v>
      </c>
      <c r="F36" s="2">
        <f>4</f>
        <v>4</v>
      </c>
      <c r="G36" s="84">
        <v>0</v>
      </c>
      <c r="H36" s="89">
        <f>4</f>
        <v>4</v>
      </c>
    </row>
    <row r="37" spans="2:8" ht="15" x14ac:dyDescent="0.25">
      <c r="B37" s="24">
        <v>75</v>
      </c>
      <c r="C37" s="25" t="s">
        <v>1306</v>
      </c>
      <c r="D37" s="2">
        <v>0</v>
      </c>
      <c r="E37" s="2">
        <v>0</v>
      </c>
      <c r="F37" s="2">
        <v>0</v>
      </c>
      <c r="G37" s="84">
        <v>0</v>
      </c>
      <c r="H37" s="89">
        <v>0</v>
      </c>
    </row>
    <row r="38" spans="2:8" ht="15" x14ac:dyDescent="0.25">
      <c r="B38" s="24">
        <v>79</v>
      </c>
      <c r="C38" s="25" t="s">
        <v>1307</v>
      </c>
      <c r="D38" s="2">
        <v>16</v>
      </c>
      <c r="E38" s="2">
        <v>12</v>
      </c>
      <c r="F38" s="2">
        <v>20</v>
      </c>
      <c r="G38" s="84">
        <v>5</v>
      </c>
      <c r="H38" s="89">
        <v>14</v>
      </c>
    </row>
    <row r="39" spans="2:8" ht="15" x14ac:dyDescent="0.25">
      <c r="B39" s="24">
        <v>80</v>
      </c>
      <c r="C39" s="25" t="s">
        <v>1308</v>
      </c>
      <c r="D39" s="2">
        <v>1</v>
      </c>
      <c r="E39" s="2">
        <v>1</v>
      </c>
      <c r="F39" s="2">
        <v>1</v>
      </c>
      <c r="G39" s="84">
        <v>1</v>
      </c>
      <c r="H39" s="89">
        <v>0</v>
      </c>
    </row>
    <row r="40" spans="2:8" ht="15" x14ac:dyDescent="0.25">
      <c r="B40" s="24">
        <v>81</v>
      </c>
      <c r="C40" s="25" t="s">
        <v>1309</v>
      </c>
      <c r="D40" s="2">
        <v>1</v>
      </c>
      <c r="E40" s="2">
        <v>1</v>
      </c>
      <c r="F40" s="2">
        <v>1</v>
      </c>
      <c r="G40" s="84">
        <v>1</v>
      </c>
      <c r="H40" s="89">
        <v>1</v>
      </c>
    </row>
    <row r="41" spans="2:8" ht="15" x14ac:dyDescent="0.25">
      <c r="B41" s="24">
        <v>82</v>
      </c>
      <c r="C41" s="25" t="s">
        <v>1310</v>
      </c>
      <c r="D41" s="2">
        <v>15</v>
      </c>
      <c r="E41" s="2">
        <v>10</v>
      </c>
      <c r="F41" s="2">
        <v>11</v>
      </c>
      <c r="G41" s="84">
        <v>6</v>
      </c>
      <c r="H41" s="89">
        <v>8</v>
      </c>
    </row>
    <row r="42" spans="2:8" ht="15" x14ac:dyDescent="0.25">
      <c r="B42" s="24">
        <v>83</v>
      </c>
      <c r="C42" s="25" t="s">
        <v>1311</v>
      </c>
      <c r="D42" s="2">
        <v>2</v>
      </c>
      <c r="E42" s="2">
        <v>1</v>
      </c>
      <c r="F42" s="2">
        <v>1</v>
      </c>
      <c r="G42" s="84">
        <v>1</v>
      </c>
      <c r="H42" s="89">
        <v>1</v>
      </c>
    </row>
    <row r="43" spans="2:8" ht="30" x14ac:dyDescent="0.25">
      <c r="B43" s="24" t="s">
        <v>836</v>
      </c>
      <c r="C43" s="25" t="s">
        <v>1312</v>
      </c>
      <c r="D43" s="2">
        <v>13</v>
      </c>
      <c r="E43" s="2">
        <v>3</v>
      </c>
      <c r="F43" s="2">
        <v>2</v>
      </c>
      <c r="G43" s="2">
        <v>2</v>
      </c>
      <c r="H43" s="89" t="s">
        <v>1486</v>
      </c>
    </row>
    <row r="44" spans="2:8" ht="15" x14ac:dyDescent="0.25">
      <c r="B44" s="24" t="s">
        <v>871</v>
      </c>
      <c r="C44" s="25" t="s">
        <v>1313</v>
      </c>
      <c r="D44" s="2">
        <v>31</v>
      </c>
      <c r="E44" s="2">
        <v>10</v>
      </c>
      <c r="F44" s="2">
        <v>16</v>
      </c>
      <c r="G44" s="2">
        <v>0</v>
      </c>
      <c r="H44" s="89" t="s">
        <v>1482</v>
      </c>
    </row>
    <row r="45" spans="2:8" ht="15" x14ac:dyDescent="0.25">
      <c r="C45" s="92" t="s">
        <v>1483</v>
      </c>
      <c r="D45" s="93">
        <v>419</v>
      </c>
      <c r="E45" s="93">
        <v>226</v>
      </c>
      <c r="F45" s="93">
        <v>345</v>
      </c>
      <c r="G45" s="93" t="s">
        <v>116</v>
      </c>
      <c r="H45" s="94">
        <v>182</v>
      </c>
    </row>
    <row r="46" spans="2:8" ht="30" x14ac:dyDescent="0.25">
      <c r="B46" s="3"/>
      <c r="C46" s="93" t="s">
        <v>1484</v>
      </c>
      <c r="D46" s="93">
        <v>308</v>
      </c>
      <c r="E46" s="93">
        <v>130</v>
      </c>
      <c r="F46" s="93">
        <f>F45-60</f>
        <v>285</v>
      </c>
      <c r="G46" s="93" t="s">
        <v>116</v>
      </c>
      <c r="H46" s="94">
        <v>156</v>
      </c>
    </row>
    <row r="48" spans="2:8" ht="15" x14ac:dyDescent="0.25">
      <c r="C48" s="86"/>
      <c r="D48" s="87" t="s">
        <v>1517</v>
      </c>
    </row>
    <row r="49" spans="3:8" ht="15" x14ac:dyDescent="0.25">
      <c r="C49" s="86"/>
      <c r="D49" s="87" t="s">
        <v>1518</v>
      </c>
    </row>
    <row r="50" spans="3:8" ht="15" x14ac:dyDescent="0.25">
      <c r="D50" s="87" t="s">
        <v>1487</v>
      </c>
    </row>
    <row r="52" spans="3:8" ht="30" x14ac:dyDescent="0.25">
      <c r="E52"/>
      <c r="F52" s="4" t="s">
        <v>0</v>
      </c>
      <c r="G52" s="4" t="s">
        <v>1476</v>
      </c>
      <c r="H52" s="88" t="s">
        <v>1485</v>
      </c>
    </row>
    <row r="53" spans="3:8" ht="15" x14ac:dyDescent="0.25">
      <c r="E53"/>
      <c r="F53" s="24" t="s">
        <v>836</v>
      </c>
      <c r="G53" s="25" t="s">
        <v>1312</v>
      </c>
      <c r="H53" s="91">
        <v>2</v>
      </c>
    </row>
    <row r="54" spans="3:8" ht="15" x14ac:dyDescent="0.25">
      <c r="E54"/>
      <c r="F54" s="24">
        <v>44</v>
      </c>
      <c r="G54" s="24" t="s">
        <v>1331</v>
      </c>
      <c r="H54" s="2">
        <v>1</v>
      </c>
    </row>
    <row r="55" spans="3:8" ht="15" x14ac:dyDescent="0.25">
      <c r="E55"/>
      <c r="F55" s="24">
        <v>45</v>
      </c>
      <c r="G55" s="24" t="s">
        <v>1332</v>
      </c>
      <c r="H55" s="2">
        <v>2</v>
      </c>
    </row>
    <row r="56" spans="3:8" ht="15" x14ac:dyDescent="0.25">
      <c r="E56"/>
      <c r="F56" s="24">
        <v>46</v>
      </c>
      <c r="G56" s="24" t="s">
        <v>1333</v>
      </c>
      <c r="H56" s="2">
        <v>2</v>
      </c>
    </row>
    <row r="57" spans="3:8" ht="15" x14ac:dyDescent="0.25">
      <c r="E57"/>
      <c r="F57" s="24">
        <v>76</v>
      </c>
      <c r="G57" s="24" t="s">
        <v>1334</v>
      </c>
      <c r="H57" s="2">
        <v>0</v>
      </c>
    </row>
    <row r="58" spans="3:8" ht="15" x14ac:dyDescent="0.25">
      <c r="E58"/>
      <c r="F58" s="24">
        <v>77</v>
      </c>
      <c r="G58" s="24" t="s">
        <v>1335</v>
      </c>
      <c r="H58" s="2">
        <v>1</v>
      </c>
    </row>
    <row r="59" spans="3:8" ht="15" x14ac:dyDescent="0.25">
      <c r="E59"/>
      <c r="F59" s="24">
        <v>78</v>
      </c>
      <c r="G59" s="24" t="s">
        <v>1336</v>
      </c>
      <c r="H59" s="2">
        <v>2</v>
      </c>
    </row>
    <row r="60" spans="3:8" ht="15" x14ac:dyDescent="0.25">
      <c r="E60"/>
      <c r="F60" s="24" t="s">
        <v>871</v>
      </c>
      <c r="G60" s="25" t="s">
        <v>1313</v>
      </c>
      <c r="H60" s="91">
        <v>10</v>
      </c>
    </row>
    <row r="61" spans="3:8" ht="15" x14ac:dyDescent="0.25">
      <c r="E61"/>
      <c r="F61" s="24">
        <v>21</v>
      </c>
      <c r="G61" s="24" t="s">
        <v>1314</v>
      </c>
      <c r="H61" s="2">
        <v>0</v>
      </c>
    </row>
    <row r="62" spans="3:8" ht="15" x14ac:dyDescent="0.25">
      <c r="E62"/>
      <c r="F62" s="24">
        <v>39</v>
      </c>
      <c r="G62" s="24" t="s">
        <v>1315</v>
      </c>
      <c r="H62" s="2">
        <v>10</v>
      </c>
    </row>
    <row r="63" spans="3:8" ht="15" x14ac:dyDescent="0.25">
      <c r="E63"/>
      <c r="F63" s="24">
        <v>57</v>
      </c>
      <c r="G63" s="24" t="s">
        <v>1316</v>
      </c>
      <c r="H63" s="2">
        <v>10</v>
      </c>
    </row>
    <row r="64" spans="3:8" ht="15" x14ac:dyDescent="0.25">
      <c r="E64"/>
      <c r="F64" s="24">
        <v>58</v>
      </c>
      <c r="G64" s="24" t="s">
        <v>1317</v>
      </c>
      <c r="H64" s="2">
        <v>10</v>
      </c>
    </row>
    <row r="65" spans="5:8" ht="15" x14ac:dyDescent="0.25">
      <c r="E65"/>
      <c r="F65" s="24">
        <v>59</v>
      </c>
      <c r="G65" s="24" t="s">
        <v>1318</v>
      </c>
      <c r="H65" s="2">
        <v>10</v>
      </c>
    </row>
    <row r="66" spans="5:8" ht="15" x14ac:dyDescent="0.25">
      <c r="E66"/>
      <c r="F66" s="24">
        <v>60</v>
      </c>
      <c r="G66" s="24" t="s">
        <v>1319</v>
      </c>
      <c r="H66" s="2">
        <v>10</v>
      </c>
    </row>
    <row r="67" spans="5:8" ht="15" x14ac:dyDescent="0.25">
      <c r="E67"/>
      <c r="F67" s="24">
        <v>61</v>
      </c>
      <c r="G67" s="24" t="s">
        <v>1320</v>
      </c>
      <c r="H67" s="2">
        <v>0</v>
      </c>
    </row>
    <row r="68" spans="5:8" ht="15" x14ac:dyDescent="0.25">
      <c r="E68"/>
      <c r="F68" s="24">
        <v>62</v>
      </c>
      <c r="G68" s="24" t="s">
        <v>1321</v>
      </c>
      <c r="H68" s="2">
        <v>10</v>
      </c>
    </row>
    <row r="69" spans="5:8" ht="15" x14ac:dyDescent="0.25">
      <c r="E69"/>
      <c r="F69" s="24">
        <v>63</v>
      </c>
      <c r="G69" s="24" t="s">
        <v>1322</v>
      </c>
      <c r="H69" s="2">
        <v>10</v>
      </c>
    </row>
    <row r="70" spans="5:8" ht="15" x14ac:dyDescent="0.25">
      <c r="E70"/>
      <c r="F70" s="24">
        <v>64</v>
      </c>
      <c r="G70" s="24" t="s">
        <v>1323</v>
      </c>
      <c r="H70" s="2">
        <v>10</v>
      </c>
    </row>
    <row r="71" spans="5:8" ht="15" x14ac:dyDescent="0.25">
      <c r="E71"/>
      <c r="F71" s="24">
        <v>65</v>
      </c>
      <c r="G71" s="24" t="s">
        <v>1324</v>
      </c>
      <c r="H71" s="2">
        <v>8</v>
      </c>
    </row>
    <row r="72" spans="5:8" ht="15" x14ac:dyDescent="0.25">
      <c r="E72"/>
      <c r="F72" s="24">
        <v>66</v>
      </c>
      <c r="G72" s="24" t="s">
        <v>1325</v>
      </c>
      <c r="H72" s="2">
        <v>8</v>
      </c>
    </row>
    <row r="73" spans="5:8" ht="15" x14ac:dyDescent="0.25">
      <c r="E73"/>
      <c r="F73" s="24">
        <v>67</v>
      </c>
      <c r="G73" s="24" t="s">
        <v>1326</v>
      </c>
      <c r="H73" s="2">
        <v>8</v>
      </c>
    </row>
    <row r="74" spans="5:8" ht="15" x14ac:dyDescent="0.25">
      <c r="E74"/>
      <c r="F74" s="24">
        <v>68</v>
      </c>
      <c r="G74" s="24" t="s">
        <v>1327</v>
      </c>
      <c r="H74" s="2">
        <v>9</v>
      </c>
    </row>
    <row r="75" spans="5:8" ht="15" x14ac:dyDescent="0.25">
      <c r="E75"/>
      <c r="F75" s="24">
        <v>69</v>
      </c>
      <c r="G75" s="24" t="s">
        <v>1328</v>
      </c>
      <c r="H75" s="2">
        <v>8</v>
      </c>
    </row>
    <row r="76" spans="5:8" ht="15" x14ac:dyDescent="0.25">
      <c r="E76"/>
      <c r="F76" s="24">
        <v>70</v>
      </c>
      <c r="G76" s="24" t="s">
        <v>1329</v>
      </c>
      <c r="H76" s="2">
        <v>8</v>
      </c>
    </row>
    <row r="77" spans="5:8" ht="15" x14ac:dyDescent="0.25">
      <c r="E77"/>
      <c r="F77" s="24">
        <v>71</v>
      </c>
      <c r="G77" s="24" t="s">
        <v>1330</v>
      </c>
      <c r="H77" s="2">
        <v>8</v>
      </c>
    </row>
  </sheetData>
  <autoFilter ref="B2:G45" xr:uid="{00000000-0001-0000-0200-000000000000}">
    <sortState xmlns:xlrd2="http://schemas.microsoft.com/office/spreadsheetml/2017/richdata2" ref="B3:G45">
      <sortCondition ref="B2"/>
    </sortState>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8" tint="0.39997558519241921"/>
  </sheetPr>
  <dimension ref="B1:H540"/>
  <sheetViews>
    <sheetView showGridLines="0" tabSelected="1" zoomScaleNormal="100" workbookViewId="0">
      <pane xSplit="3" ySplit="2" topLeftCell="D416" activePane="bottomRight" state="frozen"/>
      <selection pane="topRight" activeCell="D1" sqref="D1"/>
      <selection pane="bottomLeft" activeCell="A3" sqref="A3"/>
      <selection pane="bottomRight" activeCell="F549" sqref="F549"/>
    </sheetView>
  </sheetViews>
  <sheetFormatPr baseColWidth="10" defaultColWidth="11.42578125" defaultRowHeight="15" x14ac:dyDescent="0.25"/>
  <cols>
    <col min="1" max="1" width="1.42578125" style="1" customWidth="1"/>
    <col min="2" max="2" width="13" style="1" bestFit="1" customWidth="1"/>
    <col min="3" max="3" width="19.42578125" style="1" customWidth="1"/>
    <col min="4" max="4" width="40" style="1" bestFit="1" customWidth="1"/>
    <col min="5" max="5" width="25.140625" style="1" bestFit="1" customWidth="1"/>
    <col min="6" max="6" width="54.42578125" style="1" customWidth="1"/>
    <col min="7" max="7" width="22.85546875" style="1" customWidth="1"/>
    <col min="8" max="8" width="49.85546875" style="1" customWidth="1"/>
    <col min="9" max="16384" width="11.42578125" style="1"/>
  </cols>
  <sheetData>
    <row r="1" spans="2:8" ht="7.5" customHeight="1" x14ac:dyDescent="0.25"/>
    <row r="2" spans="2:8" ht="30" customHeight="1" x14ac:dyDescent="0.25">
      <c r="B2" s="4" t="s">
        <v>0</v>
      </c>
      <c r="C2" s="4" t="s">
        <v>1476</v>
      </c>
      <c r="D2" s="4" t="s">
        <v>1367</v>
      </c>
      <c r="E2" s="4" t="s">
        <v>1504</v>
      </c>
      <c r="F2" s="4" t="s">
        <v>1491</v>
      </c>
      <c r="G2" s="4" t="s">
        <v>1520</v>
      </c>
      <c r="H2" s="4" t="s">
        <v>1521</v>
      </c>
    </row>
    <row r="3" spans="2:8" ht="30" hidden="1" x14ac:dyDescent="0.25">
      <c r="B3" s="24">
        <v>13</v>
      </c>
      <c r="C3" s="25" t="s">
        <v>1277</v>
      </c>
      <c r="D3" s="17" t="s">
        <v>148</v>
      </c>
      <c r="E3" s="17" t="s">
        <v>959</v>
      </c>
      <c r="F3" s="17" t="s">
        <v>1017</v>
      </c>
      <c r="G3" s="39" t="s">
        <v>974</v>
      </c>
      <c r="H3" s="17" t="s">
        <v>980</v>
      </c>
    </row>
    <row r="4" spans="2:8" ht="14.1" hidden="1" customHeight="1" x14ac:dyDescent="0.25">
      <c r="B4" s="24">
        <v>13</v>
      </c>
      <c r="C4" s="25" t="s">
        <v>1277</v>
      </c>
      <c r="D4" s="17" t="s">
        <v>211</v>
      </c>
      <c r="E4" s="17" t="s">
        <v>959</v>
      </c>
      <c r="F4" s="17" t="s">
        <v>1036</v>
      </c>
      <c r="G4" s="39" t="s">
        <v>974</v>
      </c>
      <c r="H4" s="17" t="s">
        <v>978</v>
      </c>
    </row>
    <row r="5" spans="2:8" hidden="1" x14ac:dyDescent="0.25">
      <c r="B5" s="24">
        <v>13</v>
      </c>
      <c r="C5" s="25" t="s">
        <v>1277</v>
      </c>
      <c r="D5" s="8" t="s">
        <v>154</v>
      </c>
      <c r="E5" s="37" t="s">
        <v>974</v>
      </c>
      <c r="F5" s="8" t="s">
        <v>116</v>
      </c>
      <c r="G5" s="8" t="s">
        <v>116</v>
      </c>
      <c r="H5" s="8" t="s">
        <v>977</v>
      </c>
    </row>
    <row r="6" spans="2:8" hidden="1" x14ac:dyDescent="0.25">
      <c r="B6" s="24">
        <v>13</v>
      </c>
      <c r="C6" s="25" t="s">
        <v>1277</v>
      </c>
      <c r="D6" s="8" t="s">
        <v>172</v>
      </c>
      <c r="E6" s="37" t="s">
        <v>974</v>
      </c>
      <c r="F6" s="8" t="s">
        <v>116</v>
      </c>
      <c r="G6" s="8" t="s">
        <v>116</v>
      </c>
      <c r="H6" s="8" t="s">
        <v>978</v>
      </c>
    </row>
    <row r="7" spans="2:8" hidden="1" x14ac:dyDescent="0.25">
      <c r="B7" s="24">
        <v>13</v>
      </c>
      <c r="C7" s="25" t="s">
        <v>1277</v>
      </c>
      <c r="D7" s="17" t="s">
        <v>145</v>
      </c>
      <c r="E7" s="17" t="s">
        <v>959</v>
      </c>
      <c r="F7" s="17" t="s">
        <v>1016</v>
      </c>
      <c r="G7" s="39" t="s">
        <v>974</v>
      </c>
      <c r="H7" s="17" t="s">
        <v>1001</v>
      </c>
    </row>
    <row r="8" spans="2:8" hidden="1" x14ac:dyDescent="0.25">
      <c r="B8" s="24">
        <v>13</v>
      </c>
      <c r="C8" s="25" t="s">
        <v>1277</v>
      </c>
      <c r="D8" s="17" t="s">
        <v>145</v>
      </c>
      <c r="E8" s="17" t="s">
        <v>959</v>
      </c>
      <c r="F8" s="17" t="s">
        <v>1014</v>
      </c>
      <c r="G8" s="39" t="s">
        <v>974</v>
      </c>
      <c r="H8" s="17" t="s">
        <v>1001</v>
      </c>
    </row>
    <row r="9" spans="2:8" ht="30" hidden="1" x14ac:dyDescent="0.25">
      <c r="B9" s="24">
        <v>13</v>
      </c>
      <c r="C9" s="25" t="s">
        <v>1277</v>
      </c>
      <c r="D9" s="17" t="s">
        <v>208</v>
      </c>
      <c r="E9" s="17" t="s">
        <v>959</v>
      </c>
      <c r="F9" s="17" t="s">
        <v>1033</v>
      </c>
      <c r="G9" s="39" t="s">
        <v>974</v>
      </c>
      <c r="H9" s="17" t="s">
        <v>980</v>
      </c>
    </row>
    <row r="10" spans="2:8" ht="30" hidden="1" x14ac:dyDescent="0.25">
      <c r="B10" s="24">
        <v>13</v>
      </c>
      <c r="C10" s="25" t="s">
        <v>1277</v>
      </c>
      <c r="D10" s="17" t="s">
        <v>208</v>
      </c>
      <c r="E10" s="17" t="s">
        <v>959</v>
      </c>
      <c r="F10" s="17" t="s">
        <v>1034</v>
      </c>
      <c r="G10" s="39" t="s">
        <v>974</v>
      </c>
      <c r="H10" s="17" t="s">
        <v>980</v>
      </c>
    </row>
    <row r="11" spans="2:8" hidden="1" x14ac:dyDescent="0.25">
      <c r="B11" s="24">
        <v>13</v>
      </c>
      <c r="C11" s="25" t="s">
        <v>1277</v>
      </c>
      <c r="D11" s="17" t="s">
        <v>208</v>
      </c>
      <c r="E11" s="17" t="s">
        <v>959</v>
      </c>
      <c r="F11" s="17" t="s">
        <v>1035</v>
      </c>
      <c r="G11" s="39" t="s">
        <v>974</v>
      </c>
      <c r="H11" s="17" t="s">
        <v>978</v>
      </c>
    </row>
    <row r="12" spans="2:8" hidden="1" x14ac:dyDescent="0.25">
      <c r="B12" s="24">
        <v>13</v>
      </c>
      <c r="C12" s="25" t="s">
        <v>1277</v>
      </c>
      <c r="D12" s="8" t="s">
        <v>157</v>
      </c>
      <c r="E12" s="37" t="s">
        <v>974</v>
      </c>
      <c r="F12" s="8" t="s">
        <v>116</v>
      </c>
      <c r="G12" s="8" t="s">
        <v>116</v>
      </c>
      <c r="H12" s="8" t="s">
        <v>975</v>
      </c>
    </row>
    <row r="13" spans="2:8" hidden="1" x14ac:dyDescent="0.25">
      <c r="B13" s="24">
        <v>13</v>
      </c>
      <c r="C13" s="25" t="s">
        <v>1277</v>
      </c>
      <c r="D13" s="17" t="s">
        <v>202</v>
      </c>
      <c r="E13" s="17" t="s">
        <v>959</v>
      </c>
      <c r="F13" s="17" t="s">
        <v>1030</v>
      </c>
      <c r="G13" s="39" t="s">
        <v>974</v>
      </c>
      <c r="H13" s="17" t="s">
        <v>975</v>
      </c>
    </row>
    <row r="14" spans="2:8" hidden="1" x14ac:dyDescent="0.25">
      <c r="B14" s="24">
        <v>13</v>
      </c>
      <c r="C14" s="25" t="s">
        <v>1277</v>
      </c>
      <c r="D14" s="2" t="s">
        <v>202</v>
      </c>
      <c r="E14" s="2" t="s">
        <v>959</v>
      </c>
      <c r="F14" s="2" t="s">
        <v>1031</v>
      </c>
      <c r="G14" s="2" t="s">
        <v>959</v>
      </c>
      <c r="H14" s="35" t="s">
        <v>963</v>
      </c>
    </row>
    <row r="15" spans="2:8" hidden="1" x14ac:dyDescent="0.25">
      <c r="B15" s="24">
        <v>13</v>
      </c>
      <c r="C15" s="25" t="s">
        <v>1277</v>
      </c>
      <c r="D15" s="17" t="s">
        <v>142</v>
      </c>
      <c r="E15" s="17" t="s">
        <v>959</v>
      </c>
      <c r="F15" s="17" t="s">
        <v>1015</v>
      </c>
      <c r="G15" s="39" t="s">
        <v>974</v>
      </c>
      <c r="H15" s="17" t="s">
        <v>997</v>
      </c>
    </row>
    <row r="16" spans="2:8" hidden="1" x14ac:dyDescent="0.25">
      <c r="B16" s="24">
        <v>13</v>
      </c>
      <c r="C16" s="25" t="s">
        <v>1277</v>
      </c>
      <c r="D16" s="8" t="s">
        <v>175</v>
      </c>
      <c r="E16" s="37" t="s">
        <v>974</v>
      </c>
      <c r="F16" s="8" t="s">
        <v>116</v>
      </c>
      <c r="G16" s="8" t="s">
        <v>116</v>
      </c>
      <c r="H16" s="8" t="s">
        <v>977</v>
      </c>
    </row>
    <row r="17" spans="2:8" ht="30" hidden="1" x14ac:dyDescent="0.25">
      <c r="B17" s="24">
        <v>13</v>
      </c>
      <c r="C17" s="25" t="s">
        <v>1277</v>
      </c>
      <c r="D17" s="2" t="s">
        <v>193</v>
      </c>
      <c r="E17" s="2" t="s">
        <v>959</v>
      </c>
      <c r="F17" s="2" t="s">
        <v>1018</v>
      </c>
      <c r="G17" s="2" t="s">
        <v>959</v>
      </c>
      <c r="H17" s="2" t="s">
        <v>1019</v>
      </c>
    </row>
    <row r="18" spans="2:8" hidden="1" x14ac:dyDescent="0.25">
      <c r="B18" s="24">
        <v>13</v>
      </c>
      <c r="C18" s="25" t="s">
        <v>1277</v>
      </c>
      <c r="D18" s="2" t="s">
        <v>193</v>
      </c>
      <c r="E18" s="2" t="s">
        <v>959</v>
      </c>
      <c r="F18" s="2" t="s">
        <v>1020</v>
      </c>
      <c r="G18" s="2" t="s">
        <v>959</v>
      </c>
      <c r="H18" s="35" t="s">
        <v>963</v>
      </c>
    </row>
    <row r="19" spans="2:8" hidden="1" x14ac:dyDescent="0.25">
      <c r="B19" s="24">
        <v>13</v>
      </c>
      <c r="C19" s="25" t="s">
        <v>1277</v>
      </c>
      <c r="D19" s="2" t="s">
        <v>193</v>
      </c>
      <c r="E19" s="2" t="s">
        <v>959</v>
      </c>
      <c r="F19" s="2" t="s">
        <v>1021</v>
      </c>
      <c r="G19" s="2" t="s">
        <v>959</v>
      </c>
      <c r="H19" s="35" t="s">
        <v>963</v>
      </c>
    </row>
    <row r="20" spans="2:8" hidden="1" x14ac:dyDescent="0.25">
      <c r="B20" s="24">
        <v>13</v>
      </c>
      <c r="C20" s="25" t="s">
        <v>1277</v>
      </c>
      <c r="D20" s="2" t="s">
        <v>193</v>
      </c>
      <c r="E20" s="2" t="s">
        <v>959</v>
      </c>
      <c r="F20" s="2" t="s">
        <v>1022</v>
      </c>
      <c r="G20" s="2" t="s">
        <v>959</v>
      </c>
      <c r="H20" s="35" t="s">
        <v>963</v>
      </c>
    </row>
    <row r="21" spans="2:8" hidden="1" x14ac:dyDescent="0.25">
      <c r="B21" s="24">
        <v>13</v>
      </c>
      <c r="C21" s="25" t="s">
        <v>1277</v>
      </c>
      <c r="D21" s="2" t="s">
        <v>193</v>
      </c>
      <c r="E21" s="2" t="s">
        <v>959</v>
      </c>
      <c r="F21" s="2" t="s">
        <v>1023</v>
      </c>
      <c r="G21" s="2" t="s">
        <v>959</v>
      </c>
      <c r="H21" s="35" t="s">
        <v>963</v>
      </c>
    </row>
    <row r="22" spans="2:8" hidden="1" x14ac:dyDescent="0.25">
      <c r="B22" s="24">
        <v>13</v>
      </c>
      <c r="C22" s="25" t="s">
        <v>1277</v>
      </c>
      <c r="D22" s="2" t="s">
        <v>193</v>
      </c>
      <c r="E22" s="2" t="s">
        <v>959</v>
      </c>
      <c r="F22" s="2" t="s">
        <v>1024</v>
      </c>
      <c r="G22" s="2" t="s">
        <v>959</v>
      </c>
      <c r="H22" s="35" t="s">
        <v>963</v>
      </c>
    </row>
    <row r="23" spans="2:8" ht="30" hidden="1" x14ac:dyDescent="0.25">
      <c r="B23" s="24">
        <v>13</v>
      </c>
      <c r="C23" s="25" t="s">
        <v>1277</v>
      </c>
      <c r="D23" s="2" t="s">
        <v>193</v>
      </c>
      <c r="E23" s="2" t="s">
        <v>959</v>
      </c>
      <c r="F23" s="2" t="s">
        <v>1025</v>
      </c>
      <c r="G23" s="2" t="s">
        <v>959</v>
      </c>
      <c r="H23" s="35" t="s">
        <v>963</v>
      </c>
    </row>
    <row r="24" spans="2:8" hidden="1" x14ac:dyDescent="0.25">
      <c r="B24" s="24">
        <v>13</v>
      </c>
      <c r="C24" s="25" t="s">
        <v>1277</v>
      </c>
      <c r="D24" s="2" t="s">
        <v>193</v>
      </c>
      <c r="E24" s="2" t="s">
        <v>959</v>
      </c>
      <c r="F24" s="2" t="s">
        <v>1026</v>
      </c>
      <c r="G24" s="2" t="s">
        <v>959</v>
      </c>
      <c r="H24" s="35" t="s">
        <v>963</v>
      </c>
    </row>
    <row r="25" spans="2:8" hidden="1" x14ac:dyDescent="0.25">
      <c r="B25" s="24">
        <v>13</v>
      </c>
      <c r="C25" s="25" t="s">
        <v>1277</v>
      </c>
      <c r="D25" s="2" t="s">
        <v>193</v>
      </c>
      <c r="E25" s="2" t="s">
        <v>959</v>
      </c>
      <c r="F25" s="2" t="s">
        <v>1027</v>
      </c>
      <c r="G25" s="2" t="s">
        <v>959</v>
      </c>
      <c r="H25" s="35" t="s">
        <v>963</v>
      </c>
    </row>
    <row r="26" spans="2:8" hidden="1" x14ac:dyDescent="0.25">
      <c r="B26" s="24">
        <v>13</v>
      </c>
      <c r="C26" s="25" t="s">
        <v>1277</v>
      </c>
      <c r="D26" s="17" t="s">
        <v>193</v>
      </c>
      <c r="E26" s="17" t="s">
        <v>959</v>
      </c>
      <c r="F26" s="17" t="s">
        <v>1013</v>
      </c>
      <c r="G26" s="39" t="s">
        <v>974</v>
      </c>
      <c r="H26" s="17" t="s">
        <v>1001</v>
      </c>
    </row>
    <row r="27" spans="2:8" ht="15.75" hidden="1" thickBot="1" x14ac:dyDescent="0.3">
      <c r="B27" s="26">
        <v>13</v>
      </c>
      <c r="C27" s="27" t="s">
        <v>1277</v>
      </c>
      <c r="D27" s="15" t="s">
        <v>178</v>
      </c>
      <c r="E27" s="47" t="s">
        <v>974</v>
      </c>
      <c r="F27" s="15" t="s">
        <v>116</v>
      </c>
      <c r="G27" s="15" t="s">
        <v>116</v>
      </c>
      <c r="H27" s="15" t="s">
        <v>977</v>
      </c>
    </row>
    <row r="28" spans="2:8" ht="16.5" hidden="1" thickTop="1" thickBot="1" x14ac:dyDescent="0.3">
      <c r="B28" s="33">
        <v>13</v>
      </c>
      <c r="C28" s="46" t="s">
        <v>1277</v>
      </c>
      <c r="D28" s="22" t="s">
        <v>160</v>
      </c>
      <c r="E28" s="52" t="s">
        <v>974</v>
      </c>
      <c r="F28" s="22" t="s">
        <v>116</v>
      </c>
      <c r="G28" s="22" t="s">
        <v>116</v>
      </c>
      <c r="H28" s="22" t="s">
        <v>977</v>
      </c>
    </row>
    <row r="29" spans="2:8" ht="30" hidden="1" x14ac:dyDescent="0.25">
      <c r="B29" s="28">
        <v>13</v>
      </c>
      <c r="C29" s="34" t="s">
        <v>1277</v>
      </c>
      <c r="D29" s="18" t="s">
        <v>136</v>
      </c>
      <c r="E29" s="18" t="s">
        <v>959</v>
      </c>
      <c r="F29" s="18" t="s">
        <v>1012</v>
      </c>
      <c r="G29" s="48" t="s">
        <v>974</v>
      </c>
      <c r="H29" s="18" t="s">
        <v>980</v>
      </c>
    </row>
    <row r="30" spans="2:8" hidden="1" x14ac:dyDescent="0.25">
      <c r="B30" s="24">
        <v>13</v>
      </c>
      <c r="C30" s="25" t="s">
        <v>1277</v>
      </c>
      <c r="D30" s="8" t="s">
        <v>166</v>
      </c>
      <c r="E30" s="37" t="s">
        <v>974</v>
      </c>
      <c r="F30" s="8" t="s">
        <v>116</v>
      </c>
      <c r="G30" s="8" t="s">
        <v>116</v>
      </c>
      <c r="H30" s="8" t="s">
        <v>977</v>
      </c>
    </row>
    <row r="31" spans="2:8" hidden="1" x14ac:dyDescent="0.25">
      <c r="B31" s="24">
        <v>13</v>
      </c>
      <c r="C31" s="25" t="s">
        <v>1277</v>
      </c>
      <c r="D31" s="8" t="s">
        <v>163</v>
      </c>
      <c r="E31" s="37" t="s">
        <v>974</v>
      </c>
      <c r="F31" s="8" t="s">
        <v>116</v>
      </c>
      <c r="G31" s="8" t="s">
        <v>116</v>
      </c>
      <c r="H31" s="8" t="s">
        <v>977</v>
      </c>
    </row>
    <row r="32" spans="2:8" hidden="1" x14ac:dyDescent="0.25">
      <c r="B32" s="24">
        <v>13</v>
      </c>
      <c r="C32" s="25" t="s">
        <v>1277</v>
      </c>
      <c r="D32" s="8" t="s">
        <v>181</v>
      </c>
      <c r="E32" s="37" t="s">
        <v>974</v>
      </c>
      <c r="F32" s="8" t="s">
        <v>116</v>
      </c>
      <c r="G32" s="8" t="s">
        <v>116</v>
      </c>
      <c r="H32" s="8" t="s">
        <v>977</v>
      </c>
    </row>
    <row r="33" spans="2:8" hidden="1" x14ac:dyDescent="0.25">
      <c r="B33" s="24">
        <v>13</v>
      </c>
      <c r="C33" s="25" t="s">
        <v>1277</v>
      </c>
      <c r="D33" s="8" t="s">
        <v>184</v>
      </c>
      <c r="E33" s="37" t="s">
        <v>974</v>
      </c>
      <c r="F33" s="8" t="s">
        <v>116</v>
      </c>
      <c r="G33" s="8" t="s">
        <v>116</v>
      </c>
      <c r="H33" s="8" t="s">
        <v>1001</v>
      </c>
    </row>
    <row r="34" spans="2:8" hidden="1" x14ac:dyDescent="0.25">
      <c r="B34" s="24">
        <v>13</v>
      </c>
      <c r="C34" s="25" t="s">
        <v>1277</v>
      </c>
      <c r="D34" s="8" t="s">
        <v>151</v>
      </c>
      <c r="E34" s="37" t="s">
        <v>974</v>
      </c>
      <c r="F34" s="8" t="s">
        <v>116</v>
      </c>
      <c r="G34" s="8" t="s">
        <v>116</v>
      </c>
      <c r="H34" s="8" t="s">
        <v>978</v>
      </c>
    </row>
    <row r="35" spans="2:8" hidden="1" x14ac:dyDescent="0.25">
      <c r="B35" s="24">
        <v>13</v>
      </c>
      <c r="C35" s="25" t="s">
        <v>1277</v>
      </c>
      <c r="D35" s="8" t="s">
        <v>187</v>
      </c>
      <c r="E35" s="37" t="s">
        <v>974</v>
      </c>
      <c r="F35" s="8" t="s">
        <v>116</v>
      </c>
      <c r="G35" s="8" t="s">
        <v>116</v>
      </c>
      <c r="H35" s="8" t="s">
        <v>977</v>
      </c>
    </row>
    <row r="36" spans="2:8" hidden="1" x14ac:dyDescent="0.25">
      <c r="B36" s="24">
        <v>13</v>
      </c>
      <c r="C36" s="25" t="s">
        <v>1277</v>
      </c>
      <c r="D36" s="17" t="s">
        <v>199</v>
      </c>
      <c r="E36" s="17" t="s">
        <v>959</v>
      </c>
      <c r="F36" s="17" t="s">
        <v>1028</v>
      </c>
      <c r="G36" s="39" t="s">
        <v>974</v>
      </c>
      <c r="H36" s="17" t="s">
        <v>975</v>
      </c>
    </row>
    <row r="37" spans="2:8" hidden="1" x14ac:dyDescent="0.25">
      <c r="B37" s="24">
        <v>13</v>
      </c>
      <c r="C37" s="25" t="s">
        <v>1277</v>
      </c>
      <c r="D37" s="17" t="s">
        <v>199</v>
      </c>
      <c r="E37" s="17" t="s">
        <v>959</v>
      </c>
      <c r="F37" s="17" t="s">
        <v>1029</v>
      </c>
      <c r="G37" s="39" t="s">
        <v>974</v>
      </c>
      <c r="H37" s="17" t="s">
        <v>975</v>
      </c>
    </row>
    <row r="38" spans="2:8" ht="30" hidden="1" x14ac:dyDescent="0.25">
      <c r="B38" s="24">
        <v>13</v>
      </c>
      <c r="C38" s="25" t="s">
        <v>1277</v>
      </c>
      <c r="D38" s="17" t="s">
        <v>196</v>
      </c>
      <c r="E38" s="17" t="s">
        <v>959</v>
      </c>
      <c r="F38" s="17" t="s">
        <v>1028</v>
      </c>
      <c r="G38" s="39" t="s">
        <v>974</v>
      </c>
      <c r="H38" s="17" t="s">
        <v>982</v>
      </c>
    </row>
    <row r="39" spans="2:8" hidden="1" x14ac:dyDescent="0.25">
      <c r="B39" s="24">
        <v>13</v>
      </c>
      <c r="C39" s="25" t="s">
        <v>1277</v>
      </c>
      <c r="D39" s="2" t="s">
        <v>196</v>
      </c>
      <c r="E39" s="2" t="s">
        <v>959</v>
      </c>
      <c r="F39" s="2" t="s">
        <v>1029</v>
      </c>
      <c r="G39" s="2" t="s">
        <v>959</v>
      </c>
      <c r="H39" s="35" t="s">
        <v>963</v>
      </c>
    </row>
    <row r="40" spans="2:8" hidden="1" x14ac:dyDescent="0.25">
      <c r="B40" s="24">
        <v>13</v>
      </c>
      <c r="C40" s="25" t="s">
        <v>1277</v>
      </c>
      <c r="D40" s="2" t="s">
        <v>190</v>
      </c>
      <c r="E40" s="2" t="s">
        <v>959</v>
      </c>
      <c r="F40" s="2" t="s">
        <v>1016</v>
      </c>
      <c r="G40" s="2" t="s">
        <v>959</v>
      </c>
      <c r="H40" s="35" t="s">
        <v>963</v>
      </c>
    </row>
    <row r="41" spans="2:8" ht="30" hidden="1" x14ac:dyDescent="0.25">
      <c r="B41" s="24">
        <v>13</v>
      </c>
      <c r="C41" s="25" t="s">
        <v>1277</v>
      </c>
      <c r="D41" s="17" t="s">
        <v>139</v>
      </c>
      <c r="E41" s="17" t="s">
        <v>959</v>
      </c>
      <c r="F41" s="17" t="s">
        <v>1013</v>
      </c>
      <c r="G41" s="39" t="s">
        <v>974</v>
      </c>
      <c r="H41" s="17" t="s">
        <v>1009</v>
      </c>
    </row>
    <row r="42" spans="2:8" hidden="1" x14ac:dyDescent="0.25">
      <c r="B42" s="24">
        <v>13</v>
      </c>
      <c r="C42" s="43" t="s">
        <v>1277</v>
      </c>
      <c r="D42" s="2" t="s">
        <v>139</v>
      </c>
      <c r="E42" s="2" t="s">
        <v>959</v>
      </c>
      <c r="F42" s="2" t="s">
        <v>1014</v>
      </c>
      <c r="G42" s="2" t="s">
        <v>959</v>
      </c>
      <c r="H42" s="35" t="s">
        <v>963</v>
      </c>
    </row>
    <row r="43" spans="2:8" ht="30.75" hidden="1" thickBot="1" x14ac:dyDescent="0.3">
      <c r="B43" s="26">
        <v>13</v>
      </c>
      <c r="C43" s="27" t="s">
        <v>1277</v>
      </c>
      <c r="D43" s="16" t="s">
        <v>205</v>
      </c>
      <c r="E43" s="16" t="s">
        <v>959</v>
      </c>
      <c r="F43" s="16" t="s">
        <v>1032</v>
      </c>
      <c r="G43" s="40" t="s">
        <v>974</v>
      </c>
      <c r="H43" s="16" t="s">
        <v>980</v>
      </c>
    </row>
    <row r="44" spans="2:8" hidden="1" x14ac:dyDescent="0.25">
      <c r="B44" s="28">
        <v>13</v>
      </c>
      <c r="C44" s="34" t="s">
        <v>1277</v>
      </c>
      <c r="D44" s="9" t="s">
        <v>169</v>
      </c>
      <c r="E44" s="38" t="s">
        <v>974</v>
      </c>
      <c r="F44" s="9" t="s">
        <v>116</v>
      </c>
      <c r="G44" s="9" t="s">
        <v>116</v>
      </c>
      <c r="H44" s="9" t="s">
        <v>978</v>
      </c>
    </row>
    <row r="45" spans="2:8" hidden="1" x14ac:dyDescent="0.25">
      <c r="B45" s="30">
        <v>51</v>
      </c>
      <c r="C45" s="25" t="s">
        <v>1300</v>
      </c>
      <c r="D45" s="2" t="s">
        <v>748</v>
      </c>
      <c r="E45" s="2" t="s">
        <v>959</v>
      </c>
      <c r="F45" s="2" t="s">
        <v>1220</v>
      </c>
      <c r="G45" s="2" t="s">
        <v>959</v>
      </c>
      <c r="H45" s="35" t="s">
        <v>963</v>
      </c>
    </row>
    <row r="46" spans="2:8" hidden="1" x14ac:dyDescent="0.25">
      <c r="B46" s="30">
        <v>51</v>
      </c>
      <c r="C46" s="25" t="s">
        <v>1300</v>
      </c>
      <c r="D46" s="8" t="s">
        <v>751</v>
      </c>
      <c r="E46" s="37" t="s">
        <v>974</v>
      </c>
      <c r="F46" s="8" t="s">
        <v>116</v>
      </c>
      <c r="G46" s="8" t="s">
        <v>116</v>
      </c>
      <c r="H46" s="8" t="s">
        <v>977</v>
      </c>
    </row>
    <row r="47" spans="2:8" hidden="1" x14ac:dyDescent="0.25">
      <c r="B47" s="30">
        <v>51</v>
      </c>
      <c r="C47" s="25" t="s">
        <v>1300</v>
      </c>
      <c r="D47" s="8" t="s">
        <v>754</v>
      </c>
      <c r="E47" s="37" t="s">
        <v>974</v>
      </c>
      <c r="F47" s="8" t="s">
        <v>116</v>
      </c>
      <c r="G47" s="8" t="s">
        <v>116</v>
      </c>
      <c r="H47" s="8" t="s">
        <v>977</v>
      </c>
    </row>
    <row r="48" spans="2:8" hidden="1" x14ac:dyDescent="0.25">
      <c r="B48" s="24">
        <v>33</v>
      </c>
      <c r="C48" s="25" t="s">
        <v>1290</v>
      </c>
      <c r="D48" s="2" t="s">
        <v>51</v>
      </c>
      <c r="E48" s="2" t="s">
        <v>959</v>
      </c>
      <c r="F48" s="2" t="s">
        <v>1513</v>
      </c>
      <c r="G48" s="2" t="s">
        <v>959</v>
      </c>
      <c r="H48" s="35" t="s">
        <v>963</v>
      </c>
    </row>
    <row r="49" spans="2:8" hidden="1" x14ac:dyDescent="0.25">
      <c r="B49" s="30">
        <v>56</v>
      </c>
      <c r="C49" s="25" t="s">
        <v>1302</v>
      </c>
      <c r="D49" s="8" t="s">
        <v>760</v>
      </c>
      <c r="E49" s="37" t="s">
        <v>974</v>
      </c>
      <c r="F49" s="8" t="s">
        <v>116</v>
      </c>
      <c r="G49" s="8" t="s">
        <v>116</v>
      </c>
      <c r="H49" s="8" t="s">
        <v>978</v>
      </c>
    </row>
    <row r="50" spans="2:8" hidden="1" x14ac:dyDescent="0.25">
      <c r="B50" s="30">
        <v>56</v>
      </c>
      <c r="C50" s="25" t="s">
        <v>1302</v>
      </c>
      <c r="D50" s="17" t="s">
        <v>51</v>
      </c>
      <c r="E50" s="17" t="s">
        <v>959</v>
      </c>
      <c r="F50" s="17" t="s">
        <v>1223</v>
      </c>
      <c r="G50" s="39" t="s">
        <v>974</v>
      </c>
      <c r="H50" s="17" t="s">
        <v>997</v>
      </c>
    </row>
    <row r="51" spans="2:8" hidden="1" x14ac:dyDescent="0.25">
      <c r="B51" s="30">
        <v>56</v>
      </c>
      <c r="C51" s="25" t="s">
        <v>1302</v>
      </c>
      <c r="D51" s="8" t="s">
        <v>763</v>
      </c>
      <c r="E51" s="37" t="s">
        <v>974</v>
      </c>
      <c r="F51" s="8" t="s">
        <v>116</v>
      </c>
      <c r="G51" s="8" t="s">
        <v>116</v>
      </c>
      <c r="H51" s="8" t="s">
        <v>1001</v>
      </c>
    </row>
    <row r="52" spans="2:8" hidden="1" x14ac:dyDescent="0.25">
      <c r="B52" s="30">
        <v>56</v>
      </c>
      <c r="C52" s="25" t="s">
        <v>1302</v>
      </c>
      <c r="D52" s="8" t="s">
        <v>757</v>
      </c>
      <c r="E52" s="37" t="s">
        <v>974</v>
      </c>
      <c r="F52" s="8" t="s">
        <v>116</v>
      </c>
      <c r="G52" s="8" t="s">
        <v>116</v>
      </c>
      <c r="H52" s="8" t="s">
        <v>978</v>
      </c>
    </row>
    <row r="53" spans="2:8" ht="15.75" hidden="1" thickBot="1" x14ac:dyDescent="0.3">
      <c r="B53" s="31">
        <v>4</v>
      </c>
      <c r="C53" s="27" t="s">
        <v>1273</v>
      </c>
      <c r="D53" s="10" t="s">
        <v>51</v>
      </c>
      <c r="E53" s="10" t="s">
        <v>959</v>
      </c>
      <c r="F53" s="10" t="s">
        <v>983</v>
      </c>
      <c r="G53" s="10" t="s">
        <v>959</v>
      </c>
      <c r="H53" s="20" t="s">
        <v>963</v>
      </c>
    </row>
    <row r="54" spans="2:8" ht="30" hidden="1" x14ac:dyDescent="0.25">
      <c r="B54" s="28">
        <v>83</v>
      </c>
      <c r="C54" s="34" t="s">
        <v>1311</v>
      </c>
      <c r="D54" s="7" t="s">
        <v>616</v>
      </c>
      <c r="E54" s="7" t="s">
        <v>959</v>
      </c>
      <c r="F54" s="7" t="s">
        <v>1257</v>
      </c>
      <c r="G54" s="7" t="s">
        <v>959</v>
      </c>
      <c r="H54" s="7" t="s">
        <v>1178</v>
      </c>
    </row>
    <row r="55" spans="2:8" hidden="1" x14ac:dyDescent="0.25">
      <c r="B55" s="24">
        <v>83</v>
      </c>
      <c r="C55" s="25" t="s">
        <v>1311</v>
      </c>
      <c r="D55" s="8" t="s">
        <v>833</v>
      </c>
      <c r="E55" s="37" t="s">
        <v>974</v>
      </c>
      <c r="F55" s="8" t="s">
        <v>116</v>
      </c>
      <c r="G55" s="8" t="s">
        <v>116</v>
      </c>
      <c r="H55" s="8" t="s">
        <v>977</v>
      </c>
    </row>
    <row r="56" spans="2:8" ht="30" hidden="1" x14ac:dyDescent="0.25">
      <c r="B56" s="30">
        <v>5</v>
      </c>
      <c r="C56" s="25" t="s">
        <v>1274</v>
      </c>
      <c r="D56" s="2" t="s">
        <v>61</v>
      </c>
      <c r="E56" s="2" t="s">
        <v>959</v>
      </c>
      <c r="F56" s="2" t="s">
        <v>989</v>
      </c>
      <c r="G56" s="2" t="s">
        <v>959</v>
      </c>
      <c r="H56" s="35" t="s">
        <v>963</v>
      </c>
    </row>
    <row r="57" spans="2:8" ht="30" hidden="1" x14ac:dyDescent="0.25">
      <c r="B57" s="30">
        <v>5</v>
      </c>
      <c r="C57" s="25" t="s">
        <v>1274</v>
      </c>
      <c r="D57" s="17" t="s">
        <v>61</v>
      </c>
      <c r="E57" s="17" t="s">
        <v>959</v>
      </c>
      <c r="F57" s="17" t="s">
        <v>990</v>
      </c>
      <c r="G57" s="39" t="s">
        <v>974</v>
      </c>
      <c r="H57" s="17" t="s">
        <v>978</v>
      </c>
    </row>
    <row r="58" spans="2:8" ht="30" hidden="1" x14ac:dyDescent="0.25">
      <c r="B58" s="30">
        <v>5</v>
      </c>
      <c r="C58" s="25" t="s">
        <v>1274</v>
      </c>
      <c r="D58" s="17" t="s">
        <v>61</v>
      </c>
      <c r="E58" s="17" t="s">
        <v>959</v>
      </c>
      <c r="F58" s="17" t="s">
        <v>991</v>
      </c>
      <c r="G58" s="39" t="s">
        <v>974</v>
      </c>
      <c r="H58" s="17" t="s">
        <v>978</v>
      </c>
    </row>
    <row r="59" spans="2:8" ht="30" hidden="1" x14ac:dyDescent="0.25">
      <c r="B59" s="30">
        <v>5</v>
      </c>
      <c r="C59" s="25" t="s">
        <v>1274</v>
      </c>
      <c r="D59" s="2" t="s">
        <v>61</v>
      </c>
      <c r="E59" s="2" t="s">
        <v>959</v>
      </c>
      <c r="F59" s="2" t="s">
        <v>992</v>
      </c>
      <c r="G59" s="2" t="s">
        <v>959</v>
      </c>
      <c r="H59" s="35" t="s">
        <v>963</v>
      </c>
    </row>
    <row r="60" spans="2:8" ht="30" hidden="1" x14ac:dyDescent="0.25">
      <c r="B60" s="30">
        <v>5</v>
      </c>
      <c r="C60" s="25" t="s">
        <v>1274</v>
      </c>
      <c r="D60" s="17" t="s">
        <v>61</v>
      </c>
      <c r="E60" s="17" t="s">
        <v>959</v>
      </c>
      <c r="F60" s="17" t="s">
        <v>993</v>
      </c>
      <c r="G60" s="39" t="s">
        <v>974</v>
      </c>
      <c r="H60" s="17" t="s">
        <v>978</v>
      </c>
    </row>
    <row r="61" spans="2:8" ht="30" hidden="1" x14ac:dyDescent="0.25">
      <c r="B61" s="30">
        <v>5</v>
      </c>
      <c r="C61" s="25" t="s">
        <v>1274</v>
      </c>
      <c r="D61" s="17" t="s">
        <v>61</v>
      </c>
      <c r="E61" s="17" t="s">
        <v>959</v>
      </c>
      <c r="F61" s="17" t="s">
        <v>994</v>
      </c>
      <c r="G61" s="39" t="s">
        <v>974</v>
      </c>
      <c r="H61" s="17" t="s">
        <v>978</v>
      </c>
    </row>
    <row r="62" spans="2:8" ht="30" hidden="1" x14ac:dyDescent="0.25">
      <c r="B62" s="30">
        <v>5</v>
      </c>
      <c r="C62" s="25" t="s">
        <v>1274</v>
      </c>
      <c r="D62" s="2" t="s">
        <v>61</v>
      </c>
      <c r="E62" s="2" t="s">
        <v>959</v>
      </c>
      <c r="F62" s="2" t="s">
        <v>995</v>
      </c>
      <c r="G62" s="2" t="s">
        <v>959</v>
      </c>
      <c r="H62" s="35" t="s">
        <v>963</v>
      </c>
    </row>
    <row r="63" spans="2:8" hidden="1" x14ac:dyDescent="0.25">
      <c r="B63" s="30">
        <v>5</v>
      </c>
      <c r="C63" s="25" t="s">
        <v>1274</v>
      </c>
      <c r="D63" s="8" t="s">
        <v>67</v>
      </c>
      <c r="E63" s="37" t="s">
        <v>974</v>
      </c>
      <c r="F63" s="8" t="s">
        <v>116</v>
      </c>
      <c r="G63" s="8" t="s">
        <v>116</v>
      </c>
      <c r="H63" s="8" t="s">
        <v>977</v>
      </c>
    </row>
    <row r="64" spans="2:8" hidden="1" x14ac:dyDescent="0.25">
      <c r="B64" s="30">
        <v>5</v>
      </c>
      <c r="C64" s="25" t="s">
        <v>1274</v>
      </c>
      <c r="D64" s="8" t="s">
        <v>64</v>
      </c>
      <c r="E64" s="37" t="s">
        <v>974</v>
      </c>
      <c r="F64" s="8" t="s">
        <v>116</v>
      </c>
      <c r="G64" s="8" t="s">
        <v>116</v>
      </c>
      <c r="H64" s="8" t="s">
        <v>977</v>
      </c>
    </row>
    <row r="65" spans="2:8" hidden="1" x14ac:dyDescent="0.25">
      <c r="B65" s="30">
        <v>5</v>
      </c>
      <c r="C65" s="25" t="s">
        <v>1274</v>
      </c>
      <c r="D65" s="8" t="s">
        <v>70</v>
      </c>
      <c r="E65" s="37" t="s">
        <v>974</v>
      </c>
      <c r="F65" s="8" t="s">
        <v>116</v>
      </c>
      <c r="G65" s="8" t="s">
        <v>116</v>
      </c>
      <c r="H65" s="8" t="s">
        <v>979</v>
      </c>
    </row>
    <row r="66" spans="2:8" hidden="1" x14ac:dyDescent="0.25">
      <c r="B66" s="30">
        <v>5</v>
      </c>
      <c r="C66" s="25" t="s">
        <v>1274</v>
      </c>
      <c r="D66" s="2" t="s">
        <v>55</v>
      </c>
      <c r="E66" s="2" t="s">
        <v>959</v>
      </c>
      <c r="F66" s="2" t="s">
        <v>984</v>
      </c>
      <c r="G66" s="2" t="s">
        <v>959</v>
      </c>
      <c r="H66" s="35" t="s">
        <v>963</v>
      </c>
    </row>
    <row r="67" spans="2:8" ht="30.75" hidden="1" thickBot="1" x14ac:dyDescent="0.3">
      <c r="B67" s="31">
        <v>5</v>
      </c>
      <c r="C67" s="27" t="s">
        <v>1274</v>
      </c>
      <c r="D67" s="10" t="s">
        <v>55</v>
      </c>
      <c r="E67" s="10" t="s">
        <v>959</v>
      </c>
      <c r="F67" s="10" t="s">
        <v>985</v>
      </c>
      <c r="G67" s="10" t="s">
        <v>959</v>
      </c>
      <c r="H67" s="20" t="s">
        <v>963</v>
      </c>
    </row>
    <row r="68" spans="2:8" ht="30" hidden="1" x14ac:dyDescent="0.25">
      <c r="B68" s="29">
        <v>5</v>
      </c>
      <c r="C68" s="34" t="s">
        <v>1274</v>
      </c>
      <c r="D68" s="7" t="s">
        <v>55</v>
      </c>
      <c r="E68" s="7" t="s">
        <v>959</v>
      </c>
      <c r="F68" s="7" t="s">
        <v>986</v>
      </c>
      <c r="G68" s="7" t="s">
        <v>959</v>
      </c>
      <c r="H68" s="41" t="s">
        <v>963</v>
      </c>
    </row>
    <row r="69" spans="2:8" ht="30" hidden="1" x14ac:dyDescent="0.25">
      <c r="B69" s="30">
        <v>5</v>
      </c>
      <c r="C69" s="25" t="s">
        <v>1274</v>
      </c>
      <c r="D69" s="17" t="s">
        <v>55</v>
      </c>
      <c r="E69" s="17" t="s">
        <v>959</v>
      </c>
      <c r="F69" s="17" t="s">
        <v>987</v>
      </c>
      <c r="G69" s="39" t="s">
        <v>974</v>
      </c>
      <c r="H69" s="17" t="s">
        <v>978</v>
      </c>
    </row>
    <row r="70" spans="2:8" hidden="1" x14ac:dyDescent="0.25">
      <c r="B70" s="30">
        <v>5</v>
      </c>
      <c r="C70" s="25" t="s">
        <v>1274</v>
      </c>
      <c r="D70" s="17" t="s">
        <v>58</v>
      </c>
      <c r="E70" s="17" t="s">
        <v>959</v>
      </c>
      <c r="F70" s="17" t="s">
        <v>988</v>
      </c>
      <c r="G70" s="39" t="s">
        <v>974</v>
      </c>
      <c r="H70" s="17" t="s">
        <v>978</v>
      </c>
    </row>
    <row r="71" spans="2:8" hidden="1" x14ac:dyDescent="0.25">
      <c r="B71" s="24">
        <v>48</v>
      </c>
      <c r="C71" s="25" t="s">
        <v>1297</v>
      </c>
      <c r="D71" s="2" t="s">
        <v>639</v>
      </c>
      <c r="E71" s="2" t="s">
        <v>959</v>
      </c>
      <c r="F71" s="2" t="s">
        <v>1213</v>
      </c>
      <c r="G71" s="2" t="s">
        <v>959</v>
      </c>
      <c r="H71" s="35" t="s">
        <v>963</v>
      </c>
    </row>
    <row r="72" spans="2:8" hidden="1" x14ac:dyDescent="0.25">
      <c r="B72" s="24">
        <v>48</v>
      </c>
      <c r="C72" s="25" t="s">
        <v>1297</v>
      </c>
      <c r="D72" s="8" t="s">
        <v>712</v>
      </c>
      <c r="E72" s="37" t="s">
        <v>974</v>
      </c>
      <c r="F72" s="8" t="s">
        <v>116</v>
      </c>
      <c r="G72" s="8" t="s">
        <v>116</v>
      </c>
      <c r="H72" s="8" t="s">
        <v>977</v>
      </c>
    </row>
    <row r="73" spans="2:8" hidden="1" x14ac:dyDescent="0.25">
      <c r="B73" s="24">
        <v>48</v>
      </c>
      <c r="C73" s="25" t="s">
        <v>1297</v>
      </c>
      <c r="D73" s="8" t="s">
        <v>715</v>
      </c>
      <c r="E73" s="37" t="s">
        <v>974</v>
      </c>
      <c r="F73" s="8" t="s">
        <v>116</v>
      </c>
      <c r="G73" s="8" t="s">
        <v>116</v>
      </c>
      <c r="H73" s="8" t="s">
        <v>978</v>
      </c>
    </row>
    <row r="74" spans="2:8" hidden="1" x14ac:dyDescent="0.25">
      <c r="B74" s="24">
        <v>48</v>
      </c>
      <c r="C74" s="25" t="s">
        <v>1297</v>
      </c>
      <c r="D74" s="8" t="s">
        <v>706</v>
      </c>
      <c r="E74" s="37" t="s">
        <v>974</v>
      </c>
      <c r="F74" s="8" t="s">
        <v>116</v>
      </c>
      <c r="G74" s="8" t="s">
        <v>116</v>
      </c>
      <c r="H74" s="8" t="s">
        <v>977</v>
      </c>
    </row>
    <row r="75" spans="2:8" hidden="1" x14ac:dyDescent="0.25">
      <c r="B75" s="24">
        <v>48</v>
      </c>
      <c r="C75" s="25" t="s">
        <v>1297</v>
      </c>
      <c r="D75" s="8" t="s">
        <v>718</v>
      </c>
      <c r="E75" s="37" t="s">
        <v>974</v>
      </c>
      <c r="F75" s="8" t="s">
        <v>116</v>
      </c>
      <c r="G75" s="8" t="s">
        <v>116</v>
      </c>
      <c r="H75" s="8" t="s">
        <v>977</v>
      </c>
    </row>
    <row r="76" spans="2:8" ht="30" hidden="1" x14ac:dyDescent="0.25">
      <c r="B76" s="24">
        <v>48</v>
      </c>
      <c r="C76" s="25" t="s">
        <v>1297</v>
      </c>
      <c r="D76" s="2" t="s">
        <v>625</v>
      </c>
      <c r="E76" s="2" t="s">
        <v>959</v>
      </c>
      <c r="F76" s="2" t="s">
        <v>1215</v>
      </c>
      <c r="G76" s="2" t="s">
        <v>959</v>
      </c>
      <c r="H76" s="35" t="s">
        <v>963</v>
      </c>
    </row>
    <row r="77" spans="2:8" hidden="1" x14ac:dyDescent="0.25">
      <c r="B77" s="24">
        <v>48</v>
      </c>
      <c r="C77" s="25" t="s">
        <v>1297</v>
      </c>
      <c r="D77" s="8" t="s">
        <v>709</v>
      </c>
      <c r="E77" s="37" t="s">
        <v>974</v>
      </c>
      <c r="F77" s="8" t="s">
        <v>116</v>
      </c>
      <c r="G77" s="8" t="s">
        <v>116</v>
      </c>
      <c r="H77" s="8" t="s">
        <v>978</v>
      </c>
    </row>
    <row r="78" spans="2:8" hidden="1" x14ac:dyDescent="0.25">
      <c r="B78" s="24">
        <v>48</v>
      </c>
      <c r="C78" s="25" t="s">
        <v>1297</v>
      </c>
      <c r="D78" s="8" t="s">
        <v>721</v>
      </c>
      <c r="E78" s="37" t="s">
        <v>974</v>
      </c>
      <c r="F78" s="8" t="s">
        <v>116</v>
      </c>
      <c r="G78" s="8" t="s">
        <v>116</v>
      </c>
      <c r="H78" s="8" t="s">
        <v>978</v>
      </c>
    </row>
    <row r="79" spans="2:8" ht="30" hidden="1" x14ac:dyDescent="0.25">
      <c r="B79" s="24">
        <v>48</v>
      </c>
      <c r="C79" s="25" t="s">
        <v>1297</v>
      </c>
      <c r="D79" s="17" t="s">
        <v>334</v>
      </c>
      <c r="E79" s="17" t="s">
        <v>959</v>
      </c>
      <c r="F79" s="17" t="s">
        <v>1214</v>
      </c>
      <c r="G79" s="39" t="s">
        <v>974</v>
      </c>
      <c r="H79" s="17" t="s">
        <v>982</v>
      </c>
    </row>
    <row r="80" spans="2:8" hidden="1" x14ac:dyDescent="0.25">
      <c r="B80" s="24">
        <v>48</v>
      </c>
      <c r="C80" s="25" t="s">
        <v>1297</v>
      </c>
      <c r="D80" s="17" t="s">
        <v>534</v>
      </c>
      <c r="E80" s="17" t="s">
        <v>959</v>
      </c>
      <c r="F80" s="17" t="s">
        <v>1216</v>
      </c>
      <c r="G80" s="39" t="s">
        <v>974</v>
      </c>
      <c r="H80" s="17" t="s">
        <v>978</v>
      </c>
    </row>
    <row r="81" spans="2:8" hidden="1" x14ac:dyDescent="0.25">
      <c r="B81" s="30">
        <v>24</v>
      </c>
      <c r="C81" s="25" t="s">
        <v>1281</v>
      </c>
      <c r="D81" s="17" t="s">
        <v>307</v>
      </c>
      <c r="E81" s="17" t="s">
        <v>959</v>
      </c>
      <c r="F81" s="17" t="s">
        <v>1063</v>
      </c>
      <c r="G81" s="39" t="s">
        <v>974</v>
      </c>
      <c r="H81" s="17" t="s">
        <v>978</v>
      </c>
    </row>
    <row r="82" spans="2:8" hidden="1" x14ac:dyDescent="0.25">
      <c r="B82" s="30">
        <v>24</v>
      </c>
      <c r="C82" s="25" t="s">
        <v>1281</v>
      </c>
      <c r="D82" s="8" t="s">
        <v>310</v>
      </c>
      <c r="E82" s="37" t="s">
        <v>974</v>
      </c>
      <c r="F82" s="8" t="s">
        <v>116</v>
      </c>
      <c r="G82" s="8" t="s">
        <v>116</v>
      </c>
      <c r="H82" s="8" t="s">
        <v>978</v>
      </c>
    </row>
    <row r="83" spans="2:8" hidden="1" x14ac:dyDescent="0.25">
      <c r="B83" s="30">
        <v>24</v>
      </c>
      <c r="C83" s="25" t="s">
        <v>1281</v>
      </c>
      <c r="D83" s="8" t="s">
        <v>313</v>
      </c>
      <c r="E83" s="37" t="s">
        <v>974</v>
      </c>
      <c r="F83" s="8" t="s">
        <v>116</v>
      </c>
      <c r="G83" s="8" t="s">
        <v>116</v>
      </c>
      <c r="H83" s="8" t="s">
        <v>978</v>
      </c>
    </row>
    <row r="84" spans="2:8" hidden="1" x14ac:dyDescent="0.25">
      <c r="B84" s="30">
        <v>24</v>
      </c>
      <c r="C84" s="25" t="s">
        <v>1281</v>
      </c>
      <c r="D84" s="8" t="s">
        <v>316</v>
      </c>
      <c r="E84" s="37" t="s">
        <v>974</v>
      </c>
      <c r="F84" s="8" t="s">
        <v>116</v>
      </c>
      <c r="G84" s="8" t="s">
        <v>116</v>
      </c>
      <c r="H84" s="8" t="s">
        <v>978</v>
      </c>
    </row>
    <row r="85" spans="2:8" ht="30" hidden="1" x14ac:dyDescent="0.25">
      <c r="B85" s="30">
        <v>24</v>
      </c>
      <c r="C85" s="25" t="s">
        <v>1281</v>
      </c>
      <c r="D85" s="17" t="s">
        <v>319</v>
      </c>
      <c r="E85" s="17" t="s">
        <v>959</v>
      </c>
      <c r="F85" s="17" t="s">
        <v>1064</v>
      </c>
      <c r="G85" s="39" t="s">
        <v>974</v>
      </c>
      <c r="H85" s="17" t="s">
        <v>1009</v>
      </c>
    </row>
    <row r="86" spans="2:8" ht="30" hidden="1" x14ac:dyDescent="0.25">
      <c r="B86" s="30">
        <v>24</v>
      </c>
      <c r="C86" s="25" t="s">
        <v>1281</v>
      </c>
      <c r="D86" s="17" t="s">
        <v>319</v>
      </c>
      <c r="E86" s="17" t="s">
        <v>959</v>
      </c>
      <c r="F86" s="17" t="s">
        <v>1065</v>
      </c>
      <c r="G86" s="39" t="s">
        <v>974</v>
      </c>
      <c r="H86" s="17" t="s">
        <v>1009</v>
      </c>
    </row>
    <row r="87" spans="2:8" ht="30" hidden="1" x14ac:dyDescent="0.25">
      <c r="B87" s="30">
        <v>24</v>
      </c>
      <c r="C87" s="25" t="s">
        <v>1281</v>
      </c>
      <c r="D87" s="2" t="s">
        <v>319</v>
      </c>
      <c r="E87" s="2" t="s">
        <v>959</v>
      </c>
      <c r="F87" s="2" t="s">
        <v>1066</v>
      </c>
      <c r="G87" s="2" t="s">
        <v>959</v>
      </c>
      <c r="H87" s="35" t="s">
        <v>963</v>
      </c>
    </row>
    <row r="88" spans="2:8" ht="45" hidden="1" x14ac:dyDescent="0.25">
      <c r="B88" s="30">
        <v>24</v>
      </c>
      <c r="C88" s="25" t="s">
        <v>1281</v>
      </c>
      <c r="D88" s="2" t="s">
        <v>319</v>
      </c>
      <c r="E88" s="2" t="s">
        <v>959</v>
      </c>
      <c r="F88" s="2" t="s">
        <v>1067</v>
      </c>
      <c r="G88" s="2" t="s">
        <v>959</v>
      </c>
      <c r="H88" s="35" t="s">
        <v>963</v>
      </c>
    </row>
    <row r="89" spans="2:8" ht="45" hidden="1" x14ac:dyDescent="0.25">
      <c r="B89" s="30">
        <v>24</v>
      </c>
      <c r="C89" s="25" t="s">
        <v>1281</v>
      </c>
      <c r="D89" s="2" t="s">
        <v>319</v>
      </c>
      <c r="E89" s="2" t="s">
        <v>959</v>
      </c>
      <c r="F89" s="2" t="s">
        <v>1068</v>
      </c>
      <c r="G89" s="2" t="s">
        <v>959</v>
      </c>
      <c r="H89" s="35" t="s">
        <v>963</v>
      </c>
    </row>
    <row r="90" spans="2:8" ht="30" hidden="1" x14ac:dyDescent="0.25">
      <c r="B90" s="30">
        <v>24</v>
      </c>
      <c r="C90" s="25" t="s">
        <v>1281</v>
      </c>
      <c r="D90" s="2" t="s">
        <v>319</v>
      </c>
      <c r="E90" s="2" t="s">
        <v>959</v>
      </c>
      <c r="F90" s="2" t="s">
        <v>1069</v>
      </c>
      <c r="G90" s="2" t="s">
        <v>959</v>
      </c>
      <c r="H90" s="35" t="s">
        <v>963</v>
      </c>
    </row>
    <row r="91" spans="2:8" ht="30" hidden="1" x14ac:dyDescent="0.25">
      <c r="B91" s="24">
        <v>27</v>
      </c>
      <c r="C91" s="25" t="s">
        <v>1284</v>
      </c>
      <c r="D91" s="2" t="s">
        <v>477</v>
      </c>
      <c r="E91" s="2" t="s">
        <v>959</v>
      </c>
      <c r="F91" s="2" t="s">
        <v>1116</v>
      </c>
      <c r="G91" s="2" t="s">
        <v>959</v>
      </c>
      <c r="H91" s="35" t="s">
        <v>963</v>
      </c>
    </row>
    <row r="92" spans="2:8" hidden="1" x14ac:dyDescent="0.25">
      <c r="B92" s="24">
        <v>27</v>
      </c>
      <c r="C92" s="25" t="s">
        <v>1284</v>
      </c>
      <c r="D92" s="8" t="s">
        <v>448</v>
      </c>
      <c r="E92" s="37" t="s">
        <v>974</v>
      </c>
      <c r="F92" s="8" t="s">
        <v>116</v>
      </c>
      <c r="G92" s="8" t="s">
        <v>116</v>
      </c>
      <c r="H92" s="8" t="s">
        <v>979</v>
      </c>
    </row>
    <row r="93" spans="2:8" ht="45" hidden="1" x14ac:dyDescent="0.25">
      <c r="B93" s="24">
        <v>27</v>
      </c>
      <c r="C93" s="25" t="s">
        <v>1284</v>
      </c>
      <c r="D93" s="17" t="s">
        <v>472</v>
      </c>
      <c r="E93" s="17" t="s">
        <v>959</v>
      </c>
      <c r="F93" s="17" t="s">
        <v>1113</v>
      </c>
      <c r="G93" s="39" t="s">
        <v>974</v>
      </c>
      <c r="H93" s="17" t="s">
        <v>978</v>
      </c>
    </row>
    <row r="94" spans="2:8" ht="45" hidden="1" x14ac:dyDescent="0.25">
      <c r="B94" s="24">
        <v>27</v>
      </c>
      <c r="C94" s="25" t="s">
        <v>1284</v>
      </c>
      <c r="D94" s="17" t="s">
        <v>472</v>
      </c>
      <c r="E94" s="17" t="s">
        <v>959</v>
      </c>
      <c r="F94" s="17" t="s">
        <v>1114</v>
      </c>
      <c r="G94" s="39" t="s">
        <v>974</v>
      </c>
      <c r="H94" s="17" t="s">
        <v>978</v>
      </c>
    </row>
    <row r="95" spans="2:8" hidden="1" x14ac:dyDescent="0.25">
      <c r="B95" s="24">
        <v>27</v>
      </c>
      <c r="C95" s="25" t="s">
        <v>1284</v>
      </c>
      <c r="D95" s="8" t="s">
        <v>460</v>
      </c>
      <c r="E95" s="37" t="s">
        <v>974</v>
      </c>
      <c r="F95" s="8" t="s">
        <v>116</v>
      </c>
      <c r="G95" s="8" t="s">
        <v>116</v>
      </c>
      <c r="H95" s="8" t="s">
        <v>977</v>
      </c>
    </row>
    <row r="96" spans="2:8" hidden="1" x14ac:dyDescent="0.25">
      <c r="B96" s="24">
        <v>27</v>
      </c>
      <c r="C96" s="25" t="s">
        <v>1284</v>
      </c>
      <c r="D96" s="8" t="s">
        <v>451</v>
      </c>
      <c r="E96" s="37" t="s">
        <v>974</v>
      </c>
      <c r="F96" s="8" t="s">
        <v>116</v>
      </c>
      <c r="G96" s="8" t="s">
        <v>116</v>
      </c>
      <c r="H96" s="8" t="s">
        <v>977</v>
      </c>
    </row>
    <row r="97" spans="2:8" hidden="1" x14ac:dyDescent="0.25">
      <c r="B97" s="24">
        <v>27</v>
      </c>
      <c r="C97" s="25" t="s">
        <v>1284</v>
      </c>
      <c r="D97" s="8" t="s">
        <v>436</v>
      </c>
      <c r="E97" s="37" t="s">
        <v>974</v>
      </c>
      <c r="F97" s="8" t="s">
        <v>116</v>
      </c>
      <c r="G97" s="8" t="s">
        <v>116</v>
      </c>
      <c r="H97" s="8" t="s">
        <v>978</v>
      </c>
    </row>
    <row r="98" spans="2:8" hidden="1" x14ac:dyDescent="0.25">
      <c r="B98" s="24">
        <v>27</v>
      </c>
      <c r="C98" s="25" t="s">
        <v>1284</v>
      </c>
      <c r="D98" s="8" t="s">
        <v>445</v>
      </c>
      <c r="E98" s="37" t="s">
        <v>974</v>
      </c>
      <c r="F98" s="8" t="s">
        <v>116</v>
      </c>
      <c r="G98" s="8" t="s">
        <v>116</v>
      </c>
      <c r="H98" s="8" t="s">
        <v>979</v>
      </c>
    </row>
    <row r="99" spans="2:8" ht="30" hidden="1" x14ac:dyDescent="0.25">
      <c r="B99" s="24">
        <v>27</v>
      </c>
      <c r="C99" s="25" t="s">
        <v>1284</v>
      </c>
      <c r="D99" s="2" t="s">
        <v>428</v>
      </c>
      <c r="E99" s="2" t="s">
        <v>959</v>
      </c>
      <c r="F99" s="2" t="s">
        <v>1107</v>
      </c>
      <c r="G99" s="2" t="s">
        <v>959</v>
      </c>
      <c r="H99" s="35" t="s">
        <v>963</v>
      </c>
    </row>
    <row r="100" spans="2:8" ht="30" hidden="1" x14ac:dyDescent="0.25">
      <c r="B100" s="24">
        <v>27</v>
      </c>
      <c r="C100" s="25" t="s">
        <v>1284</v>
      </c>
      <c r="D100" s="2" t="s">
        <v>428</v>
      </c>
      <c r="E100" s="2" t="s">
        <v>959</v>
      </c>
      <c r="F100" s="2" t="s">
        <v>1108</v>
      </c>
      <c r="G100" s="2" t="s">
        <v>959</v>
      </c>
      <c r="H100" s="35" t="s">
        <v>963</v>
      </c>
    </row>
    <row r="101" spans="2:8" hidden="1" x14ac:dyDescent="0.25">
      <c r="B101" s="24">
        <v>27</v>
      </c>
      <c r="C101" s="25" t="s">
        <v>1284</v>
      </c>
      <c r="D101" s="2" t="s">
        <v>428</v>
      </c>
      <c r="E101" s="2" t="s">
        <v>959</v>
      </c>
      <c r="F101" s="2" t="s">
        <v>1109</v>
      </c>
      <c r="G101" s="2" t="s">
        <v>959</v>
      </c>
      <c r="H101" s="35" t="s">
        <v>963</v>
      </c>
    </row>
    <row r="102" spans="2:8" hidden="1" x14ac:dyDescent="0.25">
      <c r="B102" s="24">
        <v>27</v>
      </c>
      <c r="C102" s="25" t="s">
        <v>1284</v>
      </c>
      <c r="D102" s="8" t="s">
        <v>263</v>
      </c>
      <c r="E102" s="37" t="s">
        <v>974</v>
      </c>
      <c r="F102" s="8" t="s">
        <v>116</v>
      </c>
      <c r="G102" s="8" t="s">
        <v>116</v>
      </c>
      <c r="H102" s="8" t="s">
        <v>978</v>
      </c>
    </row>
    <row r="103" spans="2:8" hidden="1" x14ac:dyDescent="0.25">
      <c r="B103" s="24">
        <v>27</v>
      </c>
      <c r="C103" s="25" t="s">
        <v>1284</v>
      </c>
      <c r="D103" s="8" t="s">
        <v>463</v>
      </c>
      <c r="E103" s="37" t="s">
        <v>974</v>
      </c>
      <c r="F103" s="8" t="s">
        <v>116</v>
      </c>
      <c r="G103" s="8" t="s">
        <v>116</v>
      </c>
      <c r="H103" s="8" t="s">
        <v>979</v>
      </c>
    </row>
    <row r="104" spans="2:8" hidden="1" x14ac:dyDescent="0.25">
      <c r="B104" s="24">
        <v>27</v>
      </c>
      <c r="C104" s="25" t="s">
        <v>1284</v>
      </c>
      <c r="D104" s="8" t="s">
        <v>142</v>
      </c>
      <c r="E104" s="37" t="s">
        <v>974</v>
      </c>
      <c r="F104" s="8" t="s">
        <v>116</v>
      </c>
      <c r="G104" s="8" t="s">
        <v>116</v>
      </c>
      <c r="H104" s="8" t="s">
        <v>997</v>
      </c>
    </row>
    <row r="105" spans="2:8" ht="45" hidden="1" x14ac:dyDescent="0.25">
      <c r="B105" s="24">
        <v>27</v>
      </c>
      <c r="C105" s="25" t="s">
        <v>1284</v>
      </c>
      <c r="D105" s="2" t="s">
        <v>466</v>
      </c>
      <c r="E105" s="2" t="s">
        <v>959</v>
      </c>
      <c r="F105" s="2" t="s">
        <v>1111</v>
      </c>
      <c r="G105" s="2" t="s">
        <v>959</v>
      </c>
      <c r="H105" s="35" t="s">
        <v>963</v>
      </c>
    </row>
    <row r="106" spans="2:8" hidden="1" x14ac:dyDescent="0.25">
      <c r="B106" s="24">
        <v>27</v>
      </c>
      <c r="C106" s="25" t="s">
        <v>1284</v>
      </c>
      <c r="D106" s="8" t="s">
        <v>431</v>
      </c>
      <c r="E106" s="37" t="s">
        <v>974</v>
      </c>
      <c r="F106" s="8" t="s">
        <v>116</v>
      </c>
      <c r="G106" s="8" t="s">
        <v>116</v>
      </c>
      <c r="H106" s="8" t="s">
        <v>979</v>
      </c>
    </row>
    <row r="107" spans="2:8" hidden="1" x14ac:dyDescent="0.25">
      <c r="B107" s="24">
        <v>27</v>
      </c>
      <c r="C107" s="25" t="s">
        <v>1284</v>
      </c>
      <c r="D107" s="8" t="s">
        <v>425</v>
      </c>
      <c r="E107" s="37" t="s">
        <v>974</v>
      </c>
      <c r="F107" s="8" t="s">
        <v>116</v>
      </c>
      <c r="G107" s="8" t="s">
        <v>116</v>
      </c>
      <c r="H107" s="8" t="s">
        <v>979</v>
      </c>
    </row>
    <row r="108" spans="2:8" ht="30" hidden="1" x14ac:dyDescent="0.25">
      <c r="B108" s="24">
        <v>27</v>
      </c>
      <c r="C108" s="25" t="s">
        <v>1284</v>
      </c>
      <c r="D108" s="17" t="s">
        <v>475</v>
      </c>
      <c r="E108" s="17" t="s">
        <v>959</v>
      </c>
      <c r="F108" s="17" t="s">
        <v>1115</v>
      </c>
      <c r="G108" s="39" t="s">
        <v>974</v>
      </c>
      <c r="H108" s="17" t="s">
        <v>982</v>
      </c>
    </row>
    <row r="109" spans="2:8" ht="15.75" hidden="1" thickBot="1" x14ac:dyDescent="0.3">
      <c r="B109" s="26">
        <v>27</v>
      </c>
      <c r="C109" s="27" t="s">
        <v>1284</v>
      </c>
      <c r="D109" s="15" t="s">
        <v>439</v>
      </c>
      <c r="E109" s="47" t="s">
        <v>974</v>
      </c>
      <c r="F109" s="15" t="s">
        <v>116</v>
      </c>
      <c r="G109" s="15" t="s">
        <v>116</v>
      </c>
      <c r="H109" s="15" t="s">
        <v>978</v>
      </c>
    </row>
    <row r="110" spans="2:8" hidden="1" x14ac:dyDescent="0.25">
      <c r="B110" s="28">
        <v>27</v>
      </c>
      <c r="C110" s="34" t="s">
        <v>1284</v>
      </c>
      <c r="D110" s="9" t="s">
        <v>457</v>
      </c>
      <c r="E110" s="38" t="s">
        <v>974</v>
      </c>
      <c r="F110" s="9" t="s">
        <v>116</v>
      </c>
      <c r="G110" s="9" t="s">
        <v>116</v>
      </c>
      <c r="H110" s="9" t="s">
        <v>978</v>
      </c>
    </row>
    <row r="111" spans="2:8" hidden="1" x14ac:dyDescent="0.25">
      <c r="B111" s="24">
        <v>27</v>
      </c>
      <c r="C111" s="25" t="s">
        <v>1284</v>
      </c>
      <c r="D111" s="8" t="s">
        <v>422</v>
      </c>
      <c r="E111" s="37" t="s">
        <v>974</v>
      </c>
      <c r="F111" s="8" t="s">
        <v>116</v>
      </c>
      <c r="G111" s="8" t="s">
        <v>116</v>
      </c>
      <c r="H111" s="8" t="s">
        <v>977</v>
      </c>
    </row>
    <row r="112" spans="2:8" hidden="1" x14ac:dyDescent="0.25">
      <c r="B112" s="24">
        <v>27</v>
      </c>
      <c r="C112" s="25" t="s">
        <v>1284</v>
      </c>
      <c r="D112" s="8" t="s">
        <v>334</v>
      </c>
      <c r="E112" s="37" t="s">
        <v>974</v>
      </c>
      <c r="F112" s="8" t="s">
        <v>116</v>
      </c>
      <c r="G112" s="8" t="s">
        <v>116</v>
      </c>
      <c r="H112" s="8" t="s">
        <v>978</v>
      </c>
    </row>
    <row r="113" spans="2:8" ht="30" hidden="1" x14ac:dyDescent="0.25">
      <c r="B113" s="24">
        <v>27</v>
      </c>
      <c r="C113" s="25" t="s">
        <v>1284</v>
      </c>
      <c r="D113" s="2" t="s">
        <v>469</v>
      </c>
      <c r="E113" s="2" t="s">
        <v>959</v>
      </c>
      <c r="F113" s="2" t="s">
        <v>1112</v>
      </c>
      <c r="G113" s="2" t="s">
        <v>959</v>
      </c>
      <c r="H113" s="35" t="s">
        <v>963</v>
      </c>
    </row>
    <row r="114" spans="2:8" hidden="1" x14ac:dyDescent="0.25">
      <c r="B114" s="24">
        <v>27</v>
      </c>
      <c r="C114" s="25" t="s">
        <v>1284</v>
      </c>
      <c r="D114" s="8" t="s">
        <v>454</v>
      </c>
      <c r="E114" s="37" t="s">
        <v>974</v>
      </c>
      <c r="F114" s="8" t="s">
        <v>116</v>
      </c>
      <c r="G114" s="8" t="s">
        <v>116</v>
      </c>
      <c r="H114" s="8" t="s">
        <v>977</v>
      </c>
    </row>
    <row r="115" spans="2:8" ht="30" hidden="1" x14ac:dyDescent="0.25">
      <c r="B115" s="24">
        <v>27</v>
      </c>
      <c r="C115" s="25" t="s">
        <v>1284</v>
      </c>
      <c r="D115" s="2" t="s">
        <v>442</v>
      </c>
      <c r="E115" s="2" t="s">
        <v>959</v>
      </c>
      <c r="F115" s="2" t="s">
        <v>1110</v>
      </c>
      <c r="G115" s="2" t="s">
        <v>959</v>
      </c>
      <c r="H115" s="35" t="s">
        <v>963</v>
      </c>
    </row>
    <row r="116" spans="2:8" hidden="1" x14ac:dyDescent="0.25">
      <c r="B116" s="24">
        <v>29</v>
      </c>
      <c r="C116" s="25" t="s">
        <v>1477</v>
      </c>
      <c r="D116" s="8" t="s">
        <v>549</v>
      </c>
      <c r="E116" s="37" t="s">
        <v>974</v>
      </c>
      <c r="F116" s="8" t="s">
        <v>116</v>
      </c>
      <c r="G116" s="8" t="s">
        <v>116</v>
      </c>
      <c r="H116" s="8" t="s">
        <v>1131</v>
      </c>
    </row>
    <row r="117" spans="2:8" hidden="1" x14ac:dyDescent="0.25">
      <c r="B117" s="24">
        <v>29</v>
      </c>
      <c r="C117" s="25" t="s">
        <v>1477</v>
      </c>
      <c r="D117" s="17" t="s">
        <v>616</v>
      </c>
      <c r="E117" s="17" t="s">
        <v>959</v>
      </c>
      <c r="F117" s="17" t="s">
        <v>1170</v>
      </c>
      <c r="G117" s="39" t="s">
        <v>974</v>
      </c>
      <c r="H117" s="17" t="s">
        <v>975</v>
      </c>
    </row>
    <row r="118" spans="2:8" hidden="1" x14ac:dyDescent="0.25">
      <c r="B118" s="24">
        <v>29</v>
      </c>
      <c r="C118" s="25" t="s">
        <v>1477</v>
      </c>
      <c r="D118" s="17" t="s">
        <v>613</v>
      </c>
      <c r="E118" s="17" t="s">
        <v>959</v>
      </c>
      <c r="F118" s="17" t="s">
        <v>1165</v>
      </c>
      <c r="G118" s="39" t="s">
        <v>974</v>
      </c>
      <c r="H118" s="17" t="s">
        <v>978</v>
      </c>
    </row>
    <row r="119" spans="2:8" ht="45" hidden="1" x14ac:dyDescent="0.25">
      <c r="B119" s="24">
        <v>29</v>
      </c>
      <c r="C119" s="25" t="s">
        <v>1477</v>
      </c>
      <c r="D119" s="17" t="s">
        <v>472</v>
      </c>
      <c r="E119" s="17" t="s">
        <v>959</v>
      </c>
      <c r="F119" s="17" t="s">
        <v>1166</v>
      </c>
      <c r="G119" s="39" t="s">
        <v>974</v>
      </c>
      <c r="H119" s="17" t="s">
        <v>978</v>
      </c>
    </row>
    <row r="120" spans="2:8" hidden="1" x14ac:dyDescent="0.25">
      <c r="B120" s="24">
        <v>29</v>
      </c>
      <c r="C120" s="25" t="s">
        <v>1477</v>
      </c>
      <c r="D120" s="2" t="s">
        <v>211</v>
      </c>
      <c r="E120" s="2" t="s">
        <v>959</v>
      </c>
      <c r="F120" s="2" t="s">
        <v>1157</v>
      </c>
      <c r="G120" s="2" t="s">
        <v>959</v>
      </c>
      <c r="H120" s="35" t="s">
        <v>963</v>
      </c>
    </row>
    <row r="121" spans="2:8" ht="30" hidden="1" x14ac:dyDescent="0.25">
      <c r="B121" s="24">
        <v>29</v>
      </c>
      <c r="C121" s="25" t="s">
        <v>1477</v>
      </c>
      <c r="D121" s="2" t="s">
        <v>428</v>
      </c>
      <c r="E121" s="2" t="s">
        <v>959</v>
      </c>
      <c r="F121" s="2" t="s">
        <v>1169</v>
      </c>
      <c r="G121" s="2" t="s">
        <v>959</v>
      </c>
      <c r="H121" s="35" t="s">
        <v>963</v>
      </c>
    </row>
    <row r="122" spans="2:8" hidden="1" x14ac:dyDescent="0.25">
      <c r="B122" s="24">
        <v>29</v>
      </c>
      <c r="C122" s="25" t="s">
        <v>1477</v>
      </c>
      <c r="D122" s="8" t="s">
        <v>552</v>
      </c>
      <c r="E122" s="37" t="s">
        <v>974</v>
      </c>
      <c r="F122" s="8" t="s">
        <v>116</v>
      </c>
      <c r="G122" s="8" t="s">
        <v>116</v>
      </c>
      <c r="H122" s="8" t="s">
        <v>1060</v>
      </c>
    </row>
    <row r="123" spans="2:8" hidden="1" x14ac:dyDescent="0.25">
      <c r="B123" s="24">
        <v>29</v>
      </c>
      <c r="C123" s="25" t="s">
        <v>1477</v>
      </c>
      <c r="D123" s="2" t="s">
        <v>208</v>
      </c>
      <c r="E123" s="2" t="s">
        <v>959</v>
      </c>
      <c r="F123" s="2" t="s">
        <v>1151</v>
      </c>
      <c r="G123" s="2" t="s">
        <v>959</v>
      </c>
      <c r="H123" s="35" t="s">
        <v>963</v>
      </c>
    </row>
    <row r="124" spans="2:8" hidden="1" x14ac:dyDescent="0.25">
      <c r="B124" s="24">
        <v>29</v>
      </c>
      <c r="C124" s="25" t="s">
        <v>1477</v>
      </c>
      <c r="D124" s="2" t="s">
        <v>208</v>
      </c>
      <c r="E124" s="2" t="s">
        <v>959</v>
      </c>
      <c r="F124" s="2" t="s">
        <v>1152</v>
      </c>
      <c r="G124" s="2" t="s">
        <v>959</v>
      </c>
      <c r="H124" s="35" t="s">
        <v>963</v>
      </c>
    </row>
    <row r="125" spans="2:8" hidden="1" x14ac:dyDescent="0.25">
      <c r="B125" s="24">
        <v>29</v>
      </c>
      <c r="C125" s="25" t="s">
        <v>1477</v>
      </c>
      <c r="D125" s="2" t="s">
        <v>208</v>
      </c>
      <c r="E125" s="2" t="s">
        <v>959</v>
      </c>
      <c r="F125" s="2" t="s">
        <v>1153</v>
      </c>
      <c r="G125" s="2" t="s">
        <v>959</v>
      </c>
      <c r="H125" s="35" t="s">
        <v>963</v>
      </c>
    </row>
    <row r="126" spans="2:8" hidden="1" x14ac:dyDescent="0.25">
      <c r="B126" s="24">
        <v>29</v>
      </c>
      <c r="C126" s="25" t="s">
        <v>1477</v>
      </c>
      <c r="D126" s="8" t="s">
        <v>555</v>
      </c>
      <c r="E126" s="37" t="s">
        <v>974</v>
      </c>
      <c r="F126" s="8" t="s">
        <v>116</v>
      </c>
      <c r="G126" s="8" t="s">
        <v>116</v>
      </c>
      <c r="H126" s="8" t="s">
        <v>997</v>
      </c>
    </row>
    <row r="127" spans="2:8" ht="30" hidden="1" x14ac:dyDescent="0.25">
      <c r="B127" s="24">
        <v>29</v>
      </c>
      <c r="C127" s="25" t="s">
        <v>1477</v>
      </c>
      <c r="D127" s="109" t="s">
        <v>610</v>
      </c>
      <c r="E127" s="109" t="s">
        <v>959</v>
      </c>
      <c r="F127" s="109" t="s">
        <v>1164</v>
      </c>
      <c r="G127" s="2" t="s">
        <v>959</v>
      </c>
      <c r="H127" s="35" t="s">
        <v>963</v>
      </c>
    </row>
    <row r="128" spans="2:8" hidden="1" x14ac:dyDescent="0.25">
      <c r="B128" s="24">
        <v>29</v>
      </c>
      <c r="C128" s="25" t="s">
        <v>1477</v>
      </c>
      <c r="D128" s="8" t="s">
        <v>591</v>
      </c>
      <c r="E128" s="37" t="s">
        <v>974</v>
      </c>
      <c r="F128" s="8" t="s">
        <v>116</v>
      </c>
      <c r="G128" s="8" t="s">
        <v>116</v>
      </c>
      <c r="H128" s="8" t="s">
        <v>978</v>
      </c>
    </row>
    <row r="129" spans="2:8" hidden="1" x14ac:dyDescent="0.25">
      <c r="B129" s="24">
        <v>29</v>
      </c>
      <c r="C129" s="25" t="s">
        <v>1477</v>
      </c>
      <c r="D129" s="8" t="s">
        <v>594</v>
      </c>
      <c r="E129" s="37" t="s">
        <v>974</v>
      </c>
      <c r="F129" s="8" t="s">
        <v>116</v>
      </c>
      <c r="G129" s="8" t="s">
        <v>116</v>
      </c>
      <c r="H129" s="8" t="s">
        <v>975</v>
      </c>
    </row>
    <row r="130" spans="2:8" hidden="1" x14ac:dyDescent="0.25">
      <c r="B130" s="24">
        <v>29</v>
      </c>
      <c r="C130" s="25" t="s">
        <v>1477</v>
      </c>
      <c r="D130" s="8" t="s">
        <v>571</v>
      </c>
      <c r="E130" s="37" t="s">
        <v>974</v>
      </c>
      <c r="F130" s="8" t="s">
        <v>116</v>
      </c>
      <c r="G130" s="8" t="s">
        <v>116</v>
      </c>
      <c r="H130" s="8" t="s">
        <v>978</v>
      </c>
    </row>
    <row r="131" spans="2:8" ht="15.75" hidden="1" thickBot="1" x14ac:dyDescent="0.3">
      <c r="B131" s="26">
        <v>29</v>
      </c>
      <c r="C131" s="27" t="s">
        <v>1477</v>
      </c>
      <c r="D131" s="15" t="s">
        <v>609</v>
      </c>
      <c r="E131" s="47" t="s">
        <v>974</v>
      </c>
      <c r="F131" s="15" t="s">
        <v>116</v>
      </c>
      <c r="G131" s="15" t="s">
        <v>116</v>
      </c>
      <c r="H131" s="15" t="s">
        <v>978</v>
      </c>
    </row>
    <row r="132" spans="2:8" ht="30" hidden="1" x14ac:dyDescent="0.25">
      <c r="B132" s="28">
        <v>29</v>
      </c>
      <c r="C132" s="34" t="s">
        <v>1477</v>
      </c>
      <c r="D132" s="18" t="s">
        <v>515</v>
      </c>
      <c r="E132" s="18" t="s">
        <v>959</v>
      </c>
      <c r="F132" s="18" t="s">
        <v>1158</v>
      </c>
      <c r="G132" s="48" t="s">
        <v>974</v>
      </c>
      <c r="H132" s="18" t="s">
        <v>980</v>
      </c>
    </row>
    <row r="133" spans="2:8" ht="30" hidden="1" x14ac:dyDescent="0.25">
      <c r="B133" s="24">
        <v>29</v>
      </c>
      <c r="C133" s="25" t="s">
        <v>1477</v>
      </c>
      <c r="D133" s="17" t="s">
        <v>515</v>
      </c>
      <c r="E133" s="17" t="s">
        <v>959</v>
      </c>
      <c r="F133" s="17" t="s">
        <v>1159</v>
      </c>
      <c r="G133" s="39" t="s">
        <v>974</v>
      </c>
      <c r="H133" s="17" t="s">
        <v>980</v>
      </c>
    </row>
    <row r="134" spans="2:8" ht="30" hidden="1" x14ac:dyDescent="0.25">
      <c r="B134" s="24">
        <v>29</v>
      </c>
      <c r="C134" s="25" t="s">
        <v>1477</v>
      </c>
      <c r="D134" s="8" t="s">
        <v>597</v>
      </c>
      <c r="E134" s="37" t="s">
        <v>974</v>
      </c>
      <c r="F134" s="8" t="s">
        <v>116</v>
      </c>
      <c r="G134" s="8" t="s">
        <v>116</v>
      </c>
      <c r="H134" s="8" t="s">
        <v>982</v>
      </c>
    </row>
    <row r="135" spans="2:8" hidden="1" x14ac:dyDescent="0.25">
      <c r="B135" s="24">
        <v>29</v>
      </c>
      <c r="C135" s="25" t="s">
        <v>1477</v>
      </c>
      <c r="D135" s="8" t="s">
        <v>558</v>
      </c>
      <c r="E135" s="37" t="s">
        <v>974</v>
      </c>
      <c r="F135" s="8" t="s">
        <v>116</v>
      </c>
      <c r="G135" s="8" t="s">
        <v>116</v>
      </c>
      <c r="H135" s="8" t="s">
        <v>978</v>
      </c>
    </row>
    <row r="136" spans="2:8" ht="30" hidden="1" x14ac:dyDescent="0.25">
      <c r="B136" s="24">
        <v>29</v>
      </c>
      <c r="C136" s="25" t="s">
        <v>1477</v>
      </c>
      <c r="D136" s="17" t="s">
        <v>584</v>
      </c>
      <c r="E136" s="17" t="s">
        <v>959</v>
      </c>
      <c r="F136" s="17" t="s">
        <v>1158</v>
      </c>
      <c r="G136" s="39" t="s">
        <v>974</v>
      </c>
      <c r="H136" s="17" t="s">
        <v>980</v>
      </c>
    </row>
    <row r="137" spans="2:8" ht="30" hidden="1" x14ac:dyDescent="0.25">
      <c r="B137" s="24">
        <v>29</v>
      </c>
      <c r="C137" s="25" t="s">
        <v>1477</v>
      </c>
      <c r="D137" s="17" t="s">
        <v>584</v>
      </c>
      <c r="E137" s="17" t="s">
        <v>959</v>
      </c>
      <c r="F137" s="17" t="s">
        <v>1161</v>
      </c>
      <c r="G137" s="39" t="s">
        <v>974</v>
      </c>
      <c r="H137" s="17" t="s">
        <v>1009</v>
      </c>
    </row>
    <row r="138" spans="2:8" hidden="1" x14ac:dyDescent="0.25">
      <c r="B138" s="24">
        <v>29</v>
      </c>
      <c r="C138" s="25" t="s">
        <v>1477</v>
      </c>
      <c r="D138" s="8" t="s">
        <v>540</v>
      </c>
      <c r="E138" s="37" t="s">
        <v>974</v>
      </c>
      <c r="F138" s="8" t="s">
        <v>116</v>
      </c>
      <c r="G138" s="8" t="s">
        <v>116</v>
      </c>
      <c r="H138" s="8" t="s">
        <v>978</v>
      </c>
    </row>
    <row r="139" spans="2:8" hidden="1" x14ac:dyDescent="0.25">
      <c r="B139" s="24">
        <v>29</v>
      </c>
      <c r="C139" s="25" t="s">
        <v>1477</v>
      </c>
      <c r="D139" s="8" t="s">
        <v>519</v>
      </c>
      <c r="E139" s="37" t="s">
        <v>974</v>
      </c>
      <c r="F139" s="8" t="s">
        <v>116</v>
      </c>
      <c r="G139" s="8" t="s">
        <v>116</v>
      </c>
      <c r="H139" s="8" t="s">
        <v>977</v>
      </c>
    </row>
    <row r="140" spans="2:8" hidden="1" x14ac:dyDescent="0.25">
      <c r="B140" s="24">
        <v>29</v>
      </c>
      <c r="C140" s="25" t="s">
        <v>1477</v>
      </c>
      <c r="D140" s="8" t="s">
        <v>600</v>
      </c>
      <c r="E140" s="37" t="s">
        <v>974</v>
      </c>
      <c r="F140" s="8" t="s">
        <v>116</v>
      </c>
      <c r="G140" s="8" t="s">
        <v>116</v>
      </c>
      <c r="H140" s="8" t="s">
        <v>979</v>
      </c>
    </row>
    <row r="141" spans="2:8" hidden="1" x14ac:dyDescent="0.25">
      <c r="B141" s="24">
        <v>29</v>
      </c>
      <c r="C141" s="25" t="s">
        <v>1477</v>
      </c>
      <c r="D141" s="8" t="s">
        <v>577</v>
      </c>
      <c r="E141" s="37" t="s">
        <v>974</v>
      </c>
      <c r="F141" s="8" t="s">
        <v>116</v>
      </c>
      <c r="G141" s="8" t="s">
        <v>116</v>
      </c>
      <c r="H141" s="8" t="s">
        <v>1131</v>
      </c>
    </row>
    <row r="142" spans="2:8" ht="30" hidden="1" x14ac:dyDescent="0.25">
      <c r="B142" s="24">
        <v>29</v>
      </c>
      <c r="C142" s="25" t="s">
        <v>1477</v>
      </c>
      <c r="D142" s="109" t="s">
        <v>537</v>
      </c>
      <c r="E142" s="109" t="s">
        <v>959</v>
      </c>
      <c r="F142" s="109" t="s">
        <v>1509</v>
      </c>
      <c r="G142" s="2" t="s">
        <v>959</v>
      </c>
      <c r="H142" s="35" t="s">
        <v>963</v>
      </c>
    </row>
    <row r="143" spans="2:8" ht="30" hidden="1" x14ac:dyDescent="0.25">
      <c r="B143" s="24">
        <v>29</v>
      </c>
      <c r="C143" s="25" t="s">
        <v>1477</v>
      </c>
      <c r="D143" s="109" t="s">
        <v>537</v>
      </c>
      <c r="E143" s="109" t="s">
        <v>959</v>
      </c>
      <c r="F143" s="109" t="s">
        <v>1510</v>
      </c>
      <c r="G143" s="2" t="s">
        <v>959</v>
      </c>
      <c r="H143" s="35" t="s">
        <v>963</v>
      </c>
    </row>
    <row r="144" spans="2:8" hidden="1" x14ac:dyDescent="0.25">
      <c r="B144" s="24">
        <v>29</v>
      </c>
      <c r="C144" s="25" t="s">
        <v>1477</v>
      </c>
      <c r="D144" s="8" t="s">
        <v>568</v>
      </c>
      <c r="E144" s="37" t="s">
        <v>974</v>
      </c>
      <c r="F144" s="8" t="s">
        <v>116</v>
      </c>
      <c r="G144" s="8" t="s">
        <v>116</v>
      </c>
      <c r="H144" s="8" t="s">
        <v>977</v>
      </c>
    </row>
    <row r="145" spans="2:8" ht="30.75" hidden="1" thickBot="1" x14ac:dyDescent="0.3">
      <c r="B145" s="26">
        <v>29</v>
      </c>
      <c r="C145" s="27" t="s">
        <v>1477</v>
      </c>
      <c r="D145" s="16" t="s">
        <v>509</v>
      </c>
      <c r="E145" s="16" t="s">
        <v>959</v>
      </c>
      <c r="F145" s="16" t="s">
        <v>1145</v>
      </c>
      <c r="G145" s="40" t="s">
        <v>974</v>
      </c>
      <c r="H145" s="16" t="s">
        <v>1001</v>
      </c>
    </row>
    <row r="146" spans="2:8" ht="30" hidden="1" x14ac:dyDescent="0.25">
      <c r="B146" s="28">
        <v>29</v>
      </c>
      <c r="C146" s="34" t="s">
        <v>1477</v>
      </c>
      <c r="D146" s="18" t="s">
        <v>546</v>
      </c>
      <c r="E146" s="18" t="s">
        <v>959</v>
      </c>
      <c r="F146" s="18" t="s">
        <v>1149</v>
      </c>
      <c r="G146" s="48" t="s">
        <v>974</v>
      </c>
      <c r="H146" s="18" t="s">
        <v>1009</v>
      </c>
    </row>
    <row r="147" spans="2:8" hidden="1" x14ac:dyDescent="0.25">
      <c r="B147" s="24">
        <v>29</v>
      </c>
      <c r="C147" s="25" t="s">
        <v>1477</v>
      </c>
      <c r="D147" s="8" t="s">
        <v>606</v>
      </c>
      <c r="E147" s="37" t="s">
        <v>974</v>
      </c>
      <c r="F147" s="8" t="s">
        <v>116</v>
      </c>
      <c r="G147" s="8" t="s">
        <v>116</v>
      </c>
      <c r="H147" s="8" t="s">
        <v>1001</v>
      </c>
    </row>
    <row r="148" spans="2:8" ht="30" hidden="1" x14ac:dyDescent="0.25">
      <c r="B148" s="24">
        <v>29</v>
      </c>
      <c r="C148" s="25" t="s">
        <v>1477</v>
      </c>
      <c r="D148" s="2" t="s">
        <v>588</v>
      </c>
      <c r="E148" s="2" t="s">
        <v>959</v>
      </c>
      <c r="F148" s="2" t="s">
        <v>1156</v>
      </c>
      <c r="G148" s="2" t="s">
        <v>959</v>
      </c>
      <c r="H148" s="35" t="s">
        <v>963</v>
      </c>
    </row>
    <row r="149" spans="2:8" ht="30" hidden="1" x14ac:dyDescent="0.25">
      <c r="B149" s="24">
        <v>29</v>
      </c>
      <c r="C149" s="25" t="s">
        <v>1477</v>
      </c>
      <c r="D149" s="2" t="s">
        <v>565</v>
      </c>
      <c r="E149" s="2" t="s">
        <v>959</v>
      </c>
      <c r="F149" s="2" t="s">
        <v>1155</v>
      </c>
      <c r="G149" s="2" t="s">
        <v>959</v>
      </c>
      <c r="H149" s="35" t="s">
        <v>963</v>
      </c>
    </row>
    <row r="150" spans="2:8" ht="30" hidden="1" x14ac:dyDescent="0.25">
      <c r="B150" s="24">
        <v>29</v>
      </c>
      <c r="C150" s="25" t="s">
        <v>1477</v>
      </c>
      <c r="D150" s="17" t="s">
        <v>565</v>
      </c>
      <c r="E150" s="17" t="s">
        <v>959</v>
      </c>
      <c r="F150" s="17" t="s">
        <v>1156</v>
      </c>
      <c r="G150" s="39" t="s">
        <v>974</v>
      </c>
      <c r="H150" s="17" t="s">
        <v>975</v>
      </c>
    </row>
    <row r="151" spans="2:8" hidden="1" x14ac:dyDescent="0.25">
      <c r="B151" s="24">
        <v>29</v>
      </c>
      <c r="C151" s="25" t="s">
        <v>1477</v>
      </c>
      <c r="D151" s="8" t="s">
        <v>574</v>
      </c>
      <c r="E151" s="37" t="s">
        <v>974</v>
      </c>
      <c r="F151" s="8" t="s">
        <v>116</v>
      </c>
      <c r="G151" s="8" t="s">
        <v>116</v>
      </c>
      <c r="H151" s="8" t="s">
        <v>975</v>
      </c>
    </row>
    <row r="152" spans="2:8" ht="30" hidden="1" x14ac:dyDescent="0.25">
      <c r="B152" s="24">
        <v>29</v>
      </c>
      <c r="C152" s="25" t="s">
        <v>1477</v>
      </c>
      <c r="D152" s="17" t="s">
        <v>475</v>
      </c>
      <c r="E152" s="17" t="s">
        <v>959</v>
      </c>
      <c r="F152" s="17" t="s">
        <v>1167</v>
      </c>
      <c r="G152" s="39" t="s">
        <v>974</v>
      </c>
      <c r="H152" s="17" t="s">
        <v>978</v>
      </c>
    </row>
    <row r="153" spans="2:8" hidden="1" x14ac:dyDescent="0.25">
      <c r="B153" s="24">
        <v>29</v>
      </c>
      <c r="C153" s="25" t="s">
        <v>1477</v>
      </c>
      <c r="D153" s="109" t="s">
        <v>583</v>
      </c>
      <c r="E153" s="109" t="s">
        <v>959</v>
      </c>
      <c r="F153" s="109" t="s">
        <v>1160</v>
      </c>
      <c r="G153" s="2" t="s">
        <v>959</v>
      </c>
      <c r="H153" s="35" t="s">
        <v>963</v>
      </c>
    </row>
    <row r="154" spans="2:8" hidden="1" x14ac:dyDescent="0.25">
      <c r="B154" s="24">
        <v>29</v>
      </c>
      <c r="C154" s="25" t="s">
        <v>1477</v>
      </c>
      <c r="D154" s="8" t="s">
        <v>580</v>
      </c>
      <c r="E154" s="37" t="s">
        <v>974</v>
      </c>
      <c r="F154" s="8" t="s">
        <v>116</v>
      </c>
      <c r="G154" s="8" t="s">
        <v>116</v>
      </c>
      <c r="H154" s="8" t="s">
        <v>975</v>
      </c>
    </row>
    <row r="155" spans="2:8" hidden="1" x14ac:dyDescent="0.25">
      <c r="B155" s="24">
        <v>29</v>
      </c>
      <c r="C155" s="25" t="s">
        <v>1477</v>
      </c>
      <c r="D155" s="8" t="s">
        <v>564</v>
      </c>
      <c r="E155" s="37" t="s">
        <v>974</v>
      </c>
      <c r="F155" s="8" t="s">
        <v>116</v>
      </c>
      <c r="G155" s="8" t="s">
        <v>116</v>
      </c>
      <c r="H155" s="8" t="s">
        <v>977</v>
      </c>
    </row>
    <row r="156" spans="2:8" ht="15.75" hidden="1" thickBot="1" x14ac:dyDescent="0.3">
      <c r="B156" s="26">
        <v>29</v>
      </c>
      <c r="C156" s="27" t="s">
        <v>1477</v>
      </c>
      <c r="D156" s="16" t="s">
        <v>587</v>
      </c>
      <c r="E156" s="16" t="s">
        <v>959</v>
      </c>
      <c r="F156" s="16" t="s">
        <v>1162</v>
      </c>
      <c r="G156" s="40" t="s">
        <v>974</v>
      </c>
      <c r="H156" s="16" t="s">
        <v>1131</v>
      </c>
    </row>
    <row r="157" spans="2:8" hidden="1" x14ac:dyDescent="0.25">
      <c r="B157" s="28">
        <v>29</v>
      </c>
      <c r="C157" s="34" t="s">
        <v>1477</v>
      </c>
      <c r="D157" s="18" t="s">
        <v>587</v>
      </c>
      <c r="E157" s="18" t="s">
        <v>959</v>
      </c>
      <c r="F157" s="18" t="s">
        <v>1163</v>
      </c>
      <c r="G157" s="48" t="s">
        <v>974</v>
      </c>
      <c r="H157" s="18" t="s">
        <v>1131</v>
      </c>
    </row>
    <row r="158" spans="2:8" ht="30" hidden="1" x14ac:dyDescent="0.25">
      <c r="B158" s="24">
        <v>29</v>
      </c>
      <c r="C158" s="25" t="s">
        <v>1477</v>
      </c>
      <c r="D158" s="109" t="s">
        <v>418</v>
      </c>
      <c r="E158" s="109" t="s">
        <v>959</v>
      </c>
      <c r="F158" s="109" t="s">
        <v>1142</v>
      </c>
      <c r="G158" s="2" t="s">
        <v>959</v>
      </c>
      <c r="H158" s="35" t="s">
        <v>963</v>
      </c>
    </row>
    <row r="159" spans="2:8" hidden="1" x14ac:dyDescent="0.25">
      <c r="B159" s="24">
        <v>29</v>
      </c>
      <c r="C159" s="25" t="s">
        <v>1477</v>
      </c>
      <c r="D159" s="8" t="s">
        <v>522</v>
      </c>
      <c r="E159" s="37" t="s">
        <v>974</v>
      </c>
      <c r="F159" s="8" t="s">
        <v>116</v>
      </c>
      <c r="G159" s="8" t="s">
        <v>116</v>
      </c>
      <c r="H159" s="8" t="s">
        <v>977</v>
      </c>
    </row>
    <row r="160" spans="2:8" ht="30" hidden="1" x14ac:dyDescent="0.25">
      <c r="B160" s="24">
        <v>29</v>
      </c>
      <c r="C160" s="25" t="s">
        <v>1477</v>
      </c>
      <c r="D160" s="2" t="s">
        <v>531</v>
      </c>
      <c r="E160" s="2" t="s">
        <v>959</v>
      </c>
      <c r="F160" s="2" t="s">
        <v>1146</v>
      </c>
      <c r="G160" s="2" t="s">
        <v>959</v>
      </c>
      <c r="H160" s="35" t="s">
        <v>963</v>
      </c>
    </row>
    <row r="161" spans="2:8" hidden="1" x14ac:dyDescent="0.25">
      <c r="B161" s="24">
        <v>29</v>
      </c>
      <c r="C161" s="25" t="s">
        <v>1477</v>
      </c>
      <c r="D161" s="17" t="s">
        <v>603</v>
      </c>
      <c r="E161" s="17" t="s">
        <v>959</v>
      </c>
      <c r="F161" s="17" t="s">
        <v>1158</v>
      </c>
      <c r="G161" s="39" t="s">
        <v>974</v>
      </c>
      <c r="H161" s="17" t="s">
        <v>975</v>
      </c>
    </row>
    <row r="162" spans="2:8" hidden="1" x14ac:dyDescent="0.25">
      <c r="B162" s="24">
        <v>29</v>
      </c>
      <c r="C162" s="25" t="s">
        <v>1477</v>
      </c>
      <c r="D162" s="17" t="s">
        <v>603</v>
      </c>
      <c r="E162" s="17" t="s">
        <v>959</v>
      </c>
      <c r="F162" s="17" t="s">
        <v>1159</v>
      </c>
      <c r="G162" s="39" t="s">
        <v>974</v>
      </c>
      <c r="H162" s="17" t="s">
        <v>975</v>
      </c>
    </row>
    <row r="163" spans="2:8" hidden="1" x14ac:dyDescent="0.25">
      <c r="B163" s="24">
        <v>29</v>
      </c>
      <c r="C163" s="25" t="s">
        <v>1477</v>
      </c>
      <c r="D163" s="8" t="s">
        <v>543</v>
      </c>
      <c r="E163" s="37" t="s">
        <v>974</v>
      </c>
      <c r="F163" s="8" t="s">
        <v>116</v>
      </c>
      <c r="G163" s="8" t="s">
        <v>116</v>
      </c>
      <c r="H163" s="8" t="s">
        <v>978</v>
      </c>
    </row>
    <row r="164" spans="2:8" ht="30" hidden="1" x14ac:dyDescent="0.25">
      <c r="B164" s="24">
        <v>29</v>
      </c>
      <c r="C164" s="25" t="s">
        <v>1477</v>
      </c>
      <c r="D164" s="17" t="s">
        <v>561</v>
      </c>
      <c r="E164" s="17" t="s">
        <v>959</v>
      </c>
      <c r="F164" s="17" t="s">
        <v>1150</v>
      </c>
      <c r="G164" s="39" t="s">
        <v>974</v>
      </c>
      <c r="H164" s="17" t="s">
        <v>1009</v>
      </c>
    </row>
    <row r="165" spans="2:8" ht="30" hidden="1" x14ac:dyDescent="0.25">
      <c r="B165" s="24">
        <v>29</v>
      </c>
      <c r="C165" s="25" t="s">
        <v>1477</v>
      </c>
      <c r="D165" s="17" t="s">
        <v>334</v>
      </c>
      <c r="E165" s="17" t="s">
        <v>959</v>
      </c>
      <c r="F165" s="17" t="s">
        <v>1168</v>
      </c>
      <c r="G165" s="39" t="s">
        <v>974</v>
      </c>
      <c r="H165" s="17" t="s">
        <v>978</v>
      </c>
    </row>
    <row r="166" spans="2:8" ht="30.75" hidden="1" thickBot="1" x14ac:dyDescent="0.3">
      <c r="B166" s="26">
        <v>29</v>
      </c>
      <c r="C166" s="27" t="s">
        <v>1477</v>
      </c>
      <c r="D166" s="10" t="s">
        <v>525</v>
      </c>
      <c r="E166" s="10" t="s">
        <v>959</v>
      </c>
      <c r="F166" s="10" t="s">
        <v>1140</v>
      </c>
      <c r="G166" s="10" t="s">
        <v>959</v>
      </c>
      <c r="H166" s="20" t="s">
        <v>963</v>
      </c>
    </row>
    <row r="167" spans="2:8" ht="30" hidden="1" x14ac:dyDescent="0.25">
      <c r="B167" s="28">
        <v>29</v>
      </c>
      <c r="C167" s="34" t="s">
        <v>1477</v>
      </c>
      <c r="D167" s="7" t="s">
        <v>525</v>
      </c>
      <c r="E167" s="7" t="s">
        <v>959</v>
      </c>
      <c r="F167" s="7" t="s">
        <v>1141</v>
      </c>
      <c r="G167" s="7" t="s">
        <v>959</v>
      </c>
      <c r="H167" s="41" t="s">
        <v>963</v>
      </c>
    </row>
    <row r="168" spans="2:8" ht="30" hidden="1" x14ac:dyDescent="0.25">
      <c r="B168" s="24">
        <v>29</v>
      </c>
      <c r="C168" s="25" t="s">
        <v>1477</v>
      </c>
      <c r="D168" s="17" t="s">
        <v>512</v>
      </c>
      <c r="E168" s="17" t="s">
        <v>959</v>
      </c>
      <c r="F168" s="17" t="s">
        <v>1154</v>
      </c>
      <c r="G168" s="39" t="s">
        <v>974</v>
      </c>
      <c r="H168" s="17" t="s">
        <v>1009</v>
      </c>
    </row>
    <row r="169" spans="2:8" ht="30" hidden="1" x14ac:dyDescent="0.25">
      <c r="B169" s="24">
        <v>29</v>
      </c>
      <c r="C169" s="25" t="s">
        <v>1477</v>
      </c>
      <c r="D169" s="109" t="s">
        <v>528</v>
      </c>
      <c r="E169" s="109" t="s">
        <v>959</v>
      </c>
      <c r="F169" s="109" t="s">
        <v>1143</v>
      </c>
      <c r="G169" s="2" t="s">
        <v>959</v>
      </c>
      <c r="H169" s="2" t="s">
        <v>963</v>
      </c>
    </row>
    <row r="170" spans="2:8" ht="30" hidden="1" x14ac:dyDescent="0.25">
      <c r="B170" s="24">
        <v>29</v>
      </c>
      <c r="C170" s="25" t="s">
        <v>1477</v>
      </c>
      <c r="D170" s="2" t="s">
        <v>528</v>
      </c>
      <c r="E170" s="2" t="s">
        <v>959</v>
      </c>
      <c r="F170" s="2" t="s">
        <v>1144</v>
      </c>
      <c r="G170" s="2" t="s">
        <v>959</v>
      </c>
      <c r="H170" s="35" t="s">
        <v>963</v>
      </c>
    </row>
    <row r="171" spans="2:8" hidden="1" x14ac:dyDescent="0.25">
      <c r="B171" s="24">
        <v>29</v>
      </c>
      <c r="C171" s="25" t="s">
        <v>1477</v>
      </c>
      <c r="D171" s="8" t="s">
        <v>205</v>
      </c>
      <c r="E171" s="37" t="s">
        <v>974</v>
      </c>
      <c r="F171" s="8" t="s">
        <v>116</v>
      </c>
      <c r="G171" s="8" t="s">
        <v>116</v>
      </c>
      <c r="H171" s="8" t="s">
        <v>1001</v>
      </c>
    </row>
    <row r="172" spans="2:8" ht="30" hidden="1" x14ac:dyDescent="0.25">
      <c r="B172" s="24">
        <v>29</v>
      </c>
      <c r="C172" s="25" t="s">
        <v>1477</v>
      </c>
      <c r="D172" s="17" t="s">
        <v>534</v>
      </c>
      <c r="E172" s="17" t="s">
        <v>959</v>
      </c>
      <c r="F172" s="17" t="s">
        <v>1147</v>
      </c>
      <c r="G172" s="39" t="s">
        <v>974</v>
      </c>
      <c r="H172" s="17" t="s">
        <v>1009</v>
      </c>
    </row>
    <row r="173" spans="2:8" ht="30.75" hidden="1" thickBot="1" x14ac:dyDescent="0.3">
      <c r="B173" s="26">
        <v>29</v>
      </c>
      <c r="C173" s="27" t="s">
        <v>1477</v>
      </c>
      <c r="D173" s="16" t="s">
        <v>534</v>
      </c>
      <c r="E173" s="16" t="s">
        <v>959</v>
      </c>
      <c r="F173" s="16" t="s">
        <v>1148</v>
      </c>
      <c r="G173" s="40" t="s">
        <v>974</v>
      </c>
      <c r="H173" s="16" t="s">
        <v>1009</v>
      </c>
    </row>
    <row r="174" spans="2:8" hidden="1" x14ac:dyDescent="0.25">
      <c r="B174" s="28">
        <v>31</v>
      </c>
      <c r="C174" s="34" t="s">
        <v>1288</v>
      </c>
      <c r="D174" s="9" t="s">
        <v>639</v>
      </c>
      <c r="E174" s="38" t="s">
        <v>974</v>
      </c>
      <c r="F174" s="9" t="s">
        <v>116</v>
      </c>
      <c r="G174" s="9" t="s">
        <v>116</v>
      </c>
      <c r="H174" s="9" t="s">
        <v>978</v>
      </c>
    </row>
    <row r="175" spans="2:8" ht="30" hidden="1" x14ac:dyDescent="0.25">
      <c r="B175" s="30">
        <v>32</v>
      </c>
      <c r="C175" s="25" t="s">
        <v>1289</v>
      </c>
      <c r="D175" s="2" t="s">
        <v>616</v>
      </c>
      <c r="E175" s="2" t="s">
        <v>959</v>
      </c>
      <c r="F175" s="2" t="s">
        <v>1182</v>
      </c>
      <c r="G175" s="2" t="s">
        <v>959</v>
      </c>
      <c r="H175" s="35" t="s">
        <v>1178</v>
      </c>
    </row>
    <row r="176" spans="2:8" ht="30" hidden="1" x14ac:dyDescent="0.25">
      <c r="B176" s="30">
        <v>32</v>
      </c>
      <c r="C176" s="25" t="s">
        <v>1289</v>
      </c>
      <c r="D176" s="8" t="s">
        <v>639</v>
      </c>
      <c r="E176" s="37" t="s">
        <v>974</v>
      </c>
      <c r="F176" s="8" t="s">
        <v>116</v>
      </c>
      <c r="G176" s="8" t="s">
        <v>116</v>
      </c>
      <c r="H176" s="8" t="s">
        <v>982</v>
      </c>
    </row>
    <row r="177" spans="2:8" hidden="1" x14ac:dyDescent="0.25">
      <c r="B177" s="30">
        <v>32</v>
      </c>
      <c r="C177" s="25" t="s">
        <v>1289</v>
      </c>
      <c r="D177" s="8" t="s">
        <v>642</v>
      </c>
      <c r="E177" s="37" t="s">
        <v>974</v>
      </c>
      <c r="F177" s="8" t="s">
        <v>116</v>
      </c>
      <c r="G177" s="8" t="s">
        <v>116</v>
      </c>
      <c r="H177" s="8" t="s">
        <v>977</v>
      </c>
    </row>
    <row r="178" spans="2:8" hidden="1" x14ac:dyDescent="0.25">
      <c r="B178" s="30">
        <v>32</v>
      </c>
      <c r="C178" s="25" t="s">
        <v>1289</v>
      </c>
      <c r="D178" s="8" t="s">
        <v>645</v>
      </c>
      <c r="E178" s="37" t="s">
        <v>974</v>
      </c>
      <c r="F178" s="8" t="s">
        <v>116</v>
      </c>
      <c r="G178" s="8" t="s">
        <v>116</v>
      </c>
      <c r="H178" s="8" t="s">
        <v>977</v>
      </c>
    </row>
    <row r="179" spans="2:8" hidden="1" x14ac:dyDescent="0.25">
      <c r="B179" s="24">
        <v>79</v>
      </c>
      <c r="C179" s="25" t="s">
        <v>1307</v>
      </c>
      <c r="D179" s="2" t="s">
        <v>616</v>
      </c>
      <c r="E179" s="2" t="s">
        <v>959</v>
      </c>
      <c r="F179" s="2" t="s">
        <v>1497</v>
      </c>
      <c r="G179" s="2" t="s">
        <v>959</v>
      </c>
      <c r="H179" s="35" t="s">
        <v>963</v>
      </c>
    </row>
    <row r="180" spans="2:8" hidden="1" x14ac:dyDescent="0.25">
      <c r="B180" s="24">
        <v>79</v>
      </c>
      <c r="C180" s="25" t="s">
        <v>1307</v>
      </c>
      <c r="D180" s="2" t="s">
        <v>616</v>
      </c>
      <c r="E180" s="2" t="s">
        <v>959</v>
      </c>
      <c r="F180" s="2" t="s">
        <v>1498</v>
      </c>
      <c r="G180" s="2" t="s">
        <v>959</v>
      </c>
      <c r="H180" s="35" t="s">
        <v>963</v>
      </c>
    </row>
    <row r="181" spans="2:8" hidden="1" x14ac:dyDescent="0.25">
      <c r="B181" s="24">
        <v>79</v>
      </c>
      <c r="C181" s="25" t="s">
        <v>1307</v>
      </c>
      <c r="D181" s="2" t="s">
        <v>211</v>
      </c>
      <c r="E181" s="2" t="s">
        <v>959</v>
      </c>
      <c r="F181" s="2" t="s">
        <v>1242</v>
      </c>
      <c r="G181" s="2" t="s">
        <v>959</v>
      </c>
      <c r="H181" s="35" t="s">
        <v>963</v>
      </c>
    </row>
    <row r="182" spans="2:8" hidden="1" x14ac:dyDescent="0.25">
      <c r="B182" s="24">
        <v>79</v>
      </c>
      <c r="C182" s="25" t="s">
        <v>1307</v>
      </c>
      <c r="D182" s="2" t="s">
        <v>412</v>
      </c>
      <c r="E182" s="2" t="s">
        <v>959</v>
      </c>
      <c r="F182" s="2" t="s">
        <v>1496</v>
      </c>
      <c r="G182" s="2" t="s">
        <v>959</v>
      </c>
      <c r="H182" s="35" t="s">
        <v>963</v>
      </c>
    </row>
    <row r="183" spans="2:8" ht="30" hidden="1" x14ac:dyDescent="0.25">
      <c r="B183" s="24">
        <v>79</v>
      </c>
      <c r="C183" s="25" t="s">
        <v>1307</v>
      </c>
      <c r="D183" s="2" t="s">
        <v>412</v>
      </c>
      <c r="E183" s="2" t="s">
        <v>959</v>
      </c>
      <c r="F183" s="2" t="s">
        <v>1233</v>
      </c>
      <c r="G183" s="2" t="s">
        <v>959</v>
      </c>
      <c r="H183" s="35" t="s">
        <v>963</v>
      </c>
    </row>
    <row r="184" spans="2:8" hidden="1" x14ac:dyDescent="0.25">
      <c r="B184" s="24">
        <v>79</v>
      </c>
      <c r="C184" s="25" t="s">
        <v>1307</v>
      </c>
      <c r="D184" s="8" t="s">
        <v>793</v>
      </c>
      <c r="E184" s="37" t="s">
        <v>974</v>
      </c>
      <c r="F184" s="8" t="s">
        <v>116</v>
      </c>
      <c r="G184" s="8" t="s">
        <v>116</v>
      </c>
      <c r="H184" s="8" t="s">
        <v>978</v>
      </c>
    </row>
    <row r="185" spans="2:8" hidden="1" x14ac:dyDescent="0.25">
      <c r="B185" s="24">
        <v>79</v>
      </c>
      <c r="C185" s="25" t="s">
        <v>1307</v>
      </c>
      <c r="D185" s="17" t="s">
        <v>388</v>
      </c>
      <c r="E185" s="17" t="s">
        <v>959</v>
      </c>
      <c r="F185" s="17" t="s">
        <v>1229</v>
      </c>
      <c r="G185" s="39" t="s">
        <v>974</v>
      </c>
      <c r="H185" s="17" t="s">
        <v>975</v>
      </c>
    </row>
    <row r="186" spans="2:8" hidden="1" x14ac:dyDescent="0.25">
      <c r="B186" s="24">
        <v>79</v>
      </c>
      <c r="C186" s="25" t="s">
        <v>1307</v>
      </c>
      <c r="D186" s="2" t="s">
        <v>790</v>
      </c>
      <c r="E186" s="2" t="s">
        <v>959</v>
      </c>
      <c r="F186" s="2" t="s">
        <v>1229</v>
      </c>
      <c r="G186" s="2" t="s">
        <v>959</v>
      </c>
      <c r="H186" s="35" t="s">
        <v>963</v>
      </c>
    </row>
    <row r="187" spans="2:8" hidden="1" x14ac:dyDescent="0.25">
      <c r="B187" s="24">
        <v>79</v>
      </c>
      <c r="C187" s="25" t="s">
        <v>1307</v>
      </c>
      <c r="D187" s="8" t="s">
        <v>799</v>
      </c>
      <c r="E187" s="37" t="s">
        <v>974</v>
      </c>
      <c r="F187" s="8" t="s">
        <v>116</v>
      </c>
      <c r="G187" s="8" t="s">
        <v>116</v>
      </c>
      <c r="H187" s="8" t="s">
        <v>978</v>
      </c>
    </row>
    <row r="188" spans="2:8" hidden="1" x14ac:dyDescent="0.25">
      <c r="B188" s="24">
        <v>79</v>
      </c>
      <c r="C188" s="25" t="s">
        <v>1307</v>
      </c>
      <c r="D188" s="2" t="s">
        <v>697</v>
      </c>
      <c r="E188" s="2" t="s">
        <v>959</v>
      </c>
      <c r="F188" s="2" t="s">
        <v>1240</v>
      </c>
      <c r="G188" s="2" t="s">
        <v>959</v>
      </c>
      <c r="H188" s="35" t="s">
        <v>963</v>
      </c>
    </row>
    <row r="189" spans="2:8" hidden="1" x14ac:dyDescent="0.25">
      <c r="B189" s="24">
        <v>79</v>
      </c>
      <c r="C189" s="25" t="s">
        <v>1307</v>
      </c>
      <c r="D189" s="8" t="s">
        <v>798</v>
      </c>
      <c r="E189" s="37" t="s">
        <v>974</v>
      </c>
      <c r="F189" s="8" t="s">
        <v>116</v>
      </c>
      <c r="G189" s="8" t="s">
        <v>116</v>
      </c>
      <c r="H189" s="8" t="s">
        <v>978</v>
      </c>
    </row>
    <row r="190" spans="2:8" hidden="1" x14ac:dyDescent="0.25">
      <c r="B190" s="24">
        <v>79</v>
      </c>
      <c r="C190" s="25" t="s">
        <v>1307</v>
      </c>
      <c r="D190" s="8" t="s">
        <v>558</v>
      </c>
      <c r="E190" s="37" t="s">
        <v>974</v>
      </c>
      <c r="F190" s="8" t="s">
        <v>116</v>
      </c>
      <c r="G190" s="8" t="s">
        <v>116</v>
      </c>
      <c r="H190" s="8" t="s">
        <v>978</v>
      </c>
    </row>
    <row r="191" spans="2:8" ht="30" hidden="1" x14ac:dyDescent="0.25">
      <c r="B191" s="24">
        <v>79</v>
      </c>
      <c r="C191" s="25" t="s">
        <v>1307</v>
      </c>
      <c r="D191" s="2" t="s">
        <v>802</v>
      </c>
      <c r="E191" s="2" t="s">
        <v>959</v>
      </c>
      <c r="F191" s="2" t="s">
        <v>1234</v>
      </c>
      <c r="G191" s="2" t="s">
        <v>959</v>
      </c>
      <c r="H191" s="35" t="s">
        <v>963</v>
      </c>
    </row>
    <row r="192" spans="2:8" ht="30" hidden="1" x14ac:dyDescent="0.25">
      <c r="B192" s="24">
        <v>79</v>
      </c>
      <c r="C192" s="25" t="s">
        <v>1307</v>
      </c>
      <c r="D192" s="2" t="s">
        <v>802</v>
      </c>
      <c r="E192" s="2" t="s">
        <v>959</v>
      </c>
      <c r="F192" s="2" t="s">
        <v>1235</v>
      </c>
      <c r="G192" s="2" t="s">
        <v>959</v>
      </c>
      <c r="H192" s="35" t="s">
        <v>963</v>
      </c>
    </row>
    <row r="193" spans="2:8" ht="30" hidden="1" x14ac:dyDescent="0.25">
      <c r="B193" s="24">
        <v>79</v>
      </c>
      <c r="C193" s="25" t="s">
        <v>1307</v>
      </c>
      <c r="D193" s="2" t="s">
        <v>802</v>
      </c>
      <c r="E193" s="2" t="s">
        <v>959</v>
      </c>
      <c r="F193" s="2" t="s">
        <v>1236</v>
      </c>
      <c r="G193" s="2" t="s">
        <v>959</v>
      </c>
      <c r="H193" s="35" t="s">
        <v>963</v>
      </c>
    </row>
    <row r="194" spans="2:8" ht="30" hidden="1" x14ac:dyDescent="0.25">
      <c r="B194" s="24">
        <v>79</v>
      </c>
      <c r="C194" s="25" t="s">
        <v>1307</v>
      </c>
      <c r="D194" s="2" t="s">
        <v>802</v>
      </c>
      <c r="E194" s="2" t="s">
        <v>959</v>
      </c>
      <c r="F194" s="2" t="s">
        <v>1237</v>
      </c>
      <c r="G194" s="2" t="s">
        <v>959</v>
      </c>
      <c r="H194" s="35" t="s">
        <v>963</v>
      </c>
    </row>
    <row r="195" spans="2:8" ht="30" hidden="1" x14ac:dyDescent="0.25">
      <c r="B195" s="24">
        <v>79</v>
      </c>
      <c r="C195" s="25" t="s">
        <v>1307</v>
      </c>
      <c r="D195" s="2" t="s">
        <v>802</v>
      </c>
      <c r="E195" s="2" t="s">
        <v>959</v>
      </c>
      <c r="F195" s="2" t="s">
        <v>1238</v>
      </c>
      <c r="G195" s="2" t="s">
        <v>959</v>
      </c>
      <c r="H195" s="35" t="s">
        <v>963</v>
      </c>
    </row>
    <row r="196" spans="2:8" ht="30" hidden="1" x14ac:dyDescent="0.25">
      <c r="B196" s="24">
        <v>79</v>
      </c>
      <c r="C196" s="25" t="s">
        <v>1307</v>
      </c>
      <c r="D196" s="2" t="s">
        <v>802</v>
      </c>
      <c r="E196" s="2" t="s">
        <v>959</v>
      </c>
      <c r="F196" s="2" t="s">
        <v>1239</v>
      </c>
      <c r="G196" s="2" t="s">
        <v>959</v>
      </c>
      <c r="H196" s="35" t="s">
        <v>963</v>
      </c>
    </row>
    <row r="197" spans="2:8" hidden="1" x14ac:dyDescent="0.25">
      <c r="B197" s="24">
        <v>79</v>
      </c>
      <c r="C197" s="25" t="s">
        <v>1307</v>
      </c>
      <c r="D197" s="17" t="s">
        <v>702</v>
      </c>
      <c r="E197" s="17" t="s">
        <v>959</v>
      </c>
      <c r="F197" s="17" t="s">
        <v>1232</v>
      </c>
      <c r="G197" s="39" t="s">
        <v>974</v>
      </c>
      <c r="H197" s="17" t="s">
        <v>1131</v>
      </c>
    </row>
    <row r="198" spans="2:8" hidden="1" x14ac:dyDescent="0.25">
      <c r="B198" s="24">
        <v>79</v>
      </c>
      <c r="C198" s="25" t="s">
        <v>1307</v>
      </c>
      <c r="D198" s="17" t="s">
        <v>503</v>
      </c>
      <c r="E198" s="17" t="s">
        <v>959</v>
      </c>
      <c r="F198" s="17" t="s">
        <v>1230</v>
      </c>
      <c r="G198" s="39" t="s">
        <v>974</v>
      </c>
      <c r="H198" s="17" t="s">
        <v>1131</v>
      </c>
    </row>
    <row r="199" spans="2:8" hidden="1" x14ac:dyDescent="0.25">
      <c r="B199" s="24">
        <v>79</v>
      </c>
      <c r="C199" s="25" t="s">
        <v>1307</v>
      </c>
      <c r="D199" s="17" t="s">
        <v>503</v>
      </c>
      <c r="E199" s="17" t="s">
        <v>959</v>
      </c>
      <c r="F199" s="17" t="s">
        <v>1231</v>
      </c>
      <c r="G199" s="39" t="s">
        <v>974</v>
      </c>
      <c r="H199" s="17" t="s">
        <v>1131</v>
      </c>
    </row>
    <row r="200" spans="2:8" ht="30" hidden="1" x14ac:dyDescent="0.25">
      <c r="B200" s="24">
        <v>79</v>
      </c>
      <c r="C200" s="25" t="s">
        <v>1307</v>
      </c>
      <c r="D200" s="17" t="s">
        <v>418</v>
      </c>
      <c r="E200" s="17" t="s">
        <v>959</v>
      </c>
      <c r="F200" s="17" t="s">
        <v>1241</v>
      </c>
      <c r="G200" s="39" t="s">
        <v>974</v>
      </c>
      <c r="H200" s="17" t="s">
        <v>978</v>
      </c>
    </row>
    <row r="201" spans="2:8" ht="30" hidden="1" x14ac:dyDescent="0.25">
      <c r="B201" s="24">
        <v>79</v>
      </c>
      <c r="C201" s="25" t="s">
        <v>1307</v>
      </c>
      <c r="D201" s="17" t="s">
        <v>512</v>
      </c>
      <c r="E201" s="17" t="s">
        <v>959</v>
      </c>
      <c r="F201" s="17" t="s">
        <v>1154</v>
      </c>
      <c r="G201" s="39" t="s">
        <v>974</v>
      </c>
      <c r="H201" s="17" t="s">
        <v>1009</v>
      </c>
    </row>
    <row r="202" spans="2:8" hidden="1" x14ac:dyDescent="0.25">
      <c r="B202" s="24">
        <v>79</v>
      </c>
      <c r="C202" s="25" t="s">
        <v>1307</v>
      </c>
      <c r="D202" s="2" t="s">
        <v>534</v>
      </c>
      <c r="E202" s="2" t="s">
        <v>959</v>
      </c>
      <c r="F202" s="2" t="s">
        <v>1243</v>
      </c>
      <c r="G202" s="2" t="s">
        <v>959</v>
      </c>
      <c r="H202" s="35" t="s">
        <v>963</v>
      </c>
    </row>
    <row r="203" spans="2:8" hidden="1" x14ac:dyDescent="0.25">
      <c r="B203" s="24">
        <v>6</v>
      </c>
      <c r="C203" s="25" t="s">
        <v>1275</v>
      </c>
      <c r="D203" s="2" t="s">
        <v>98</v>
      </c>
      <c r="E203" s="2" t="s">
        <v>959</v>
      </c>
      <c r="F203" s="2" t="s">
        <v>996</v>
      </c>
      <c r="G203" s="2" t="s">
        <v>959</v>
      </c>
      <c r="H203" s="35" t="s">
        <v>963</v>
      </c>
    </row>
    <row r="204" spans="2:8" hidden="1" x14ac:dyDescent="0.25">
      <c r="B204" s="24">
        <v>6</v>
      </c>
      <c r="C204" s="25" t="s">
        <v>1275</v>
      </c>
      <c r="D204" s="17" t="s">
        <v>92</v>
      </c>
      <c r="E204" s="17" t="s">
        <v>959</v>
      </c>
      <c r="F204" s="17" t="s">
        <v>1002</v>
      </c>
      <c r="G204" s="39" t="s">
        <v>974</v>
      </c>
      <c r="H204" s="17" t="s">
        <v>1001</v>
      </c>
    </row>
    <row r="205" spans="2:8" ht="30" hidden="1" x14ac:dyDescent="0.25">
      <c r="B205" s="24">
        <v>6</v>
      </c>
      <c r="C205" s="25" t="s">
        <v>1275</v>
      </c>
      <c r="D205" s="2" t="s">
        <v>76</v>
      </c>
      <c r="E205" s="2" t="s">
        <v>959</v>
      </c>
      <c r="F205" s="2" t="s">
        <v>998</v>
      </c>
      <c r="G205" s="2" t="s">
        <v>959</v>
      </c>
      <c r="H205" s="35" t="s">
        <v>963</v>
      </c>
    </row>
    <row r="206" spans="2:8" ht="30" hidden="1" x14ac:dyDescent="0.25">
      <c r="B206" s="24">
        <v>6</v>
      </c>
      <c r="C206" s="25" t="s">
        <v>1275</v>
      </c>
      <c r="D206" s="17" t="s">
        <v>89</v>
      </c>
      <c r="E206" s="17" t="s">
        <v>959</v>
      </c>
      <c r="F206" s="17" t="s">
        <v>1000</v>
      </c>
      <c r="G206" s="39" t="s">
        <v>974</v>
      </c>
      <c r="H206" s="17" t="s">
        <v>1001</v>
      </c>
    </row>
    <row r="207" spans="2:8" hidden="1" x14ac:dyDescent="0.25">
      <c r="B207" s="24">
        <v>6</v>
      </c>
      <c r="C207" s="25" t="s">
        <v>1275</v>
      </c>
      <c r="D207" s="17" t="s">
        <v>79</v>
      </c>
      <c r="E207" s="17" t="s">
        <v>959</v>
      </c>
      <c r="F207" s="17" t="s">
        <v>999</v>
      </c>
      <c r="G207" s="39" t="s">
        <v>974</v>
      </c>
      <c r="H207" s="17" t="s">
        <v>997</v>
      </c>
    </row>
    <row r="208" spans="2:8" hidden="1" x14ac:dyDescent="0.25">
      <c r="B208" s="24">
        <v>6</v>
      </c>
      <c r="C208" s="25" t="s">
        <v>1275</v>
      </c>
      <c r="D208" s="8" t="s">
        <v>41</v>
      </c>
      <c r="E208" s="37" t="s">
        <v>974</v>
      </c>
      <c r="F208" s="8" t="s">
        <v>116</v>
      </c>
      <c r="G208" s="8" t="s">
        <v>116</v>
      </c>
      <c r="H208" s="8" t="s">
        <v>977</v>
      </c>
    </row>
    <row r="209" spans="2:8" hidden="1" x14ac:dyDescent="0.25">
      <c r="B209" s="24">
        <v>6</v>
      </c>
      <c r="C209" s="25" t="s">
        <v>1275</v>
      </c>
      <c r="D209" s="8" t="s">
        <v>95</v>
      </c>
      <c r="E209" s="37" t="s">
        <v>974</v>
      </c>
      <c r="F209" s="8" t="s">
        <v>116</v>
      </c>
      <c r="G209" s="8" t="s">
        <v>116</v>
      </c>
      <c r="H209" s="8" t="s">
        <v>975</v>
      </c>
    </row>
    <row r="210" spans="2:8" hidden="1" x14ac:dyDescent="0.25">
      <c r="B210" s="24">
        <v>6</v>
      </c>
      <c r="C210" s="25" t="s">
        <v>1275</v>
      </c>
      <c r="D210" s="17" t="s">
        <v>73</v>
      </c>
      <c r="E210" s="17" t="s">
        <v>959</v>
      </c>
      <c r="F210" s="17" t="s">
        <v>996</v>
      </c>
      <c r="G210" s="39" t="s">
        <v>974</v>
      </c>
      <c r="H210" s="17" t="s">
        <v>997</v>
      </c>
    </row>
    <row r="211" spans="2:8" hidden="1" x14ac:dyDescent="0.25">
      <c r="B211" s="24">
        <v>6</v>
      </c>
      <c r="C211" s="25" t="s">
        <v>1275</v>
      </c>
      <c r="D211" s="8" t="s">
        <v>83</v>
      </c>
      <c r="E211" s="37" t="s">
        <v>974</v>
      </c>
      <c r="F211" s="8" t="s">
        <v>116</v>
      </c>
      <c r="G211" s="8" t="s">
        <v>116</v>
      </c>
      <c r="H211" s="8" t="s">
        <v>977</v>
      </c>
    </row>
    <row r="212" spans="2:8" ht="30" hidden="1" x14ac:dyDescent="0.25">
      <c r="B212" s="24">
        <v>6</v>
      </c>
      <c r="C212" s="25" t="s">
        <v>1275</v>
      </c>
      <c r="D212" s="17" t="s">
        <v>86</v>
      </c>
      <c r="E212" s="17" t="s">
        <v>959</v>
      </c>
      <c r="F212" s="17" t="s">
        <v>1000</v>
      </c>
      <c r="G212" s="39" t="s">
        <v>974</v>
      </c>
      <c r="H212" s="17" t="s">
        <v>1001</v>
      </c>
    </row>
    <row r="213" spans="2:8" hidden="1" x14ac:dyDescent="0.25">
      <c r="B213" s="24">
        <v>72</v>
      </c>
      <c r="C213" s="25" t="s">
        <v>1303</v>
      </c>
      <c r="D213" s="17" t="s">
        <v>51</v>
      </c>
      <c r="E213" s="17" t="s">
        <v>959</v>
      </c>
      <c r="F213" s="17" t="s">
        <v>1224</v>
      </c>
      <c r="G213" s="39" t="s">
        <v>974</v>
      </c>
      <c r="H213" s="17" t="s">
        <v>997</v>
      </c>
    </row>
    <row r="214" spans="2:8" hidden="1" x14ac:dyDescent="0.25">
      <c r="B214" s="30">
        <v>49</v>
      </c>
      <c r="C214" s="25" t="s">
        <v>1298</v>
      </c>
      <c r="D214" s="8" t="s">
        <v>725</v>
      </c>
      <c r="E214" s="37" t="s">
        <v>974</v>
      </c>
      <c r="F214" s="8" t="s">
        <v>116</v>
      </c>
      <c r="G214" s="8" t="s">
        <v>116</v>
      </c>
      <c r="H214" s="8" t="s">
        <v>977</v>
      </c>
    </row>
    <row r="215" spans="2:8" hidden="1" x14ac:dyDescent="0.25">
      <c r="B215" s="30">
        <v>49</v>
      </c>
      <c r="C215" s="25" t="s">
        <v>1298</v>
      </c>
      <c r="D215" s="8" t="s">
        <v>728</v>
      </c>
      <c r="E215" s="37" t="s">
        <v>974</v>
      </c>
      <c r="F215" s="8" t="s">
        <v>116</v>
      </c>
      <c r="G215" s="8" t="s">
        <v>116</v>
      </c>
      <c r="H215" s="8" t="s">
        <v>977</v>
      </c>
    </row>
    <row r="216" spans="2:8" ht="30" hidden="1" x14ac:dyDescent="0.25">
      <c r="B216" s="30">
        <v>49</v>
      </c>
      <c r="C216" s="25" t="s">
        <v>1298</v>
      </c>
      <c r="D216" s="2" t="s">
        <v>616</v>
      </c>
      <c r="E216" s="2" t="s">
        <v>959</v>
      </c>
      <c r="F216" s="2" t="s">
        <v>1219</v>
      </c>
      <c r="G216" s="2" t="s">
        <v>959</v>
      </c>
      <c r="H216" s="35" t="s">
        <v>963</v>
      </c>
    </row>
    <row r="217" spans="2:8" hidden="1" x14ac:dyDescent="0.25">
      <c r="B217" s="30">
        <v>49</v>
      </c>
      <c r="C217" s="25" t="s">
        <v>1298</v>
      </c>
      <c r="D217" s="8" t="s">
        <v>737</v>
      </c>
      <c r="E217" s="8" t="s">
        <v>974</v>
      </c>
      <c r="F217" s="8" t="s">
        <v>116</v>
      </c>
      <c r="G217" s="8" t="s">
        <v>116</v>
      </c>
      <c r="H217" s="8" t="s">
        <v>977</v>
      </c>
    </row>
    <row r="218" spans="2:8" hidden="1" x14ac:dyDescent="0.25">
      <c r="B218" s="30">
        <v>49</v>
      </c>
      <c r="C218" s="25" t="s">
        <v>1298</v>
      </c>
      <c r="D218" s="2" t="s">
        <v>639</v>
      </c>
      <c r="E218" s="2" t="s">
        <v>959</v>
      </c>
      <c r="F218" s="2" t="s">
        <v>1217</v>
      </c>
      <c r="G218" s="2" t="s">
        <v>959</v>
      </c>
      <c r="H218" s="35" t="s">
        <v>963</v>
      </c>
    </row>
    <row r="219" spans="2:8" hidden="1" x14ac:dyDescent="0.25">
      <c r="B219" s="30">
        <v>49</v>
      </c>
      <c r="C219" s="25" t="s">
        <v>1298</v>
      </c>
      <c r="D219" s="8" t="s">
        <v>734</v>
      </c>
      <c r="E219" s="8" t="s">
        <v>974</v>
      </c>
      <c r="F219" s="8" t="s">
        <v>116</v>
      </c>
      <c r="G219" s="8" t="s">
        <v>116</v>
      </c>
      <c r="H219" s="8" t="s">
        <v>977</v>
      </c>
    </row>
    <row r="220" spans="2:8" ht="30" hidden="1" x14ac:dyDescent="0.25">
      <c r="B220" s="30">
        <v>49</v>
      </c>
      <c r="C220" s="25" t="s">
        <v>1298</v>
      </c>
      <c r="D220" s="2" t="s">
        <v>625</v>
      </c>
      <c r="E220" s="2" t="s">
        <v>959</v>
      </c>
      <c r="F220" s="2" t="s">
        <v>1218</v>
      </c>
      <c r="G220" s="2" t="s">
        <v>959</v>
      </c>
      <c r="H220" s="35" t="s">
        <v>963</v>
      </c>
    </row>
    <row r="221" spans="2:8" hidden="1" x14ac:dyDescent="0.25">
      <c r="B221" s="30">
        <v>49</v>
      </c>
      <c r="C221" s="25" t="s">
        <v>1298</v>
      </c>
      <c r="D221" s="8" t="s">
        <v>731</v>
      </c>
      <c r="E221" s="37" t="s">
        <v>974</v>
      </c>
      <c r="F221" s="8" t="s">
        <v>116</v>
      </c>
      <c r="G221" s="8" t="s">
        <v>116</v>
      </c>
      <c r="H221" s="8" t="s">
        <v>977</v>
      </c>
    </row>
    <row r="222" spans="2:8" hidden="1" x14ac:dyDescent="0.25">
      <c r="B222" s="24">
        <v>26</v>
      </c>
      <c r="C222" s="25" t="s">
        <v>1283</v>
      </c>
      <c r="D222" s="8" t="s">
        <v>341</v>
      </c>
      <c r="E222" s="37" t="s">
        <v>974</v>
      </c>
      <c r="F222" s="8" t="s">
        <v>116</v>
      </c>
      <c r="G222" s="8" t="s">
        <v>116</v>
      </c>
      <c r="H222" s="8" t="s">
        <v>978</v>
      </c>
    </row>
    <row r="223" spans="2:8" hidden="1" x14ac:dyDescent="0.25">
      <c r="B223" s="24">
        <v>26</v>
      </c>
      <c r="C223" s="25" t="s">
        <v>1283</v>
      </c>
      <c r="D223" s="17" t="s">
        <v>211</v>
      </c>
      <c r="E223" s="17" t="s">
        <v>959</v>
      </c>
      <c r="F223" s="17" t="s">
        <v>1106</v>
      </c>
      <c r="G223" s="39" t="s">
        <v>974</v>
      </c>
      <c r="H223" s="17" t="s">
        <v>978</v>
      </c>
    </row>
    <row r="224" spans="2:8" ht="30" hidden="1" x14ac:dyDescent="0.25">
      <c r="B224" s="24">
        <v>26</v>
      </c>
      <c r="C224" s="25" t="s">
        <v>1283</v>
      </c>
      <c r="D224" s="17" t="s">
        <v>285</v>
      </c>
      <c r="E224" s="17" t="s">
        <v>959</v>
      </c>
      <c r="F224" s="17" t="s">
        <v>1098</v>
      </c>
      <c r="G224" s="39" t="s">
        <v>974</v>
      </c>
      <c r="H224" s="17" t="s">
        <v>980</v>
      </c>
    </row>
    <row r="225" spans="2:8" hidden="1" x14ac:dyDescent="0.25">
      <c r="B225" s="24">
        <v>26</v>
      </c>
      <c r="C225" s="25" t="s">
        <v>1283</v>
      </c>
      <c r="D225" s="8" t="s">
        <v>356</v>
      </c>
      <c r="E225" s="37" t="s">
        <v>974</v>
      </c>
      <c r="F225" s="8" t="s">
        <v>116</v>
      </c>
      <c r="G225" s="8" t="s">
        <v>116</v>
      </c>
      <c r="H225" s="8" t="s">
        <v>975</v>
      </c>
    </row>
    <row r="226" spans="2:8" ht="30.75" hidden="1" thickBot="1" x14ac:dyDescent="0.3">
      <c r="B226" s="26">
        <v>26</v>
      </c>
      <c r="C226" s="27" t="s">
        <v>1283</v>
      </c>
      <c r="D226" s="16" t="s">
        <v>412</v>
      </c>
      <c r="E226" s="16" t="s">
        <v>959</v>
      </c>
      <c r="F226" s="16" t="s">
        <v>1100</v>
      </c>
      <c r="G226" s="40" t="s">
        <v>974</v>
      </c>
      <c r="H226" s="16" t="s">
        <v>978</v>
      </c>
    </row>
    <row r="227" spans="2:8" hidden="1" x14ac:dyDescent="0.25">
      <c r="B227" s="28">
        <v>26</v>
      </c>
      <c r="C227" s="34" t="s">
        <v>1283</v>
      </c>
      <c r="D227" s="9" t="s">
        <v>364</v>
      </c>
      <c r="E227" s="38" t="s">
        <v>974</v>
      </c>
      <c r="F227" s="9" t="s">
        <v>116</v>
      </c>
      <c r="G227" s="9" t="s">
        <v>116</v>
      </c>
      <c r="H227" s="9" t="s">
        <v>977</v>
      </c>
    </row>
    <row r="228" spans="2:8" ht="30" hidden="1" x14ac:dyDescent="0.25">
      <c r="B228" s="24">
        <v>26</v>
      </c>
      <c r="C228" s="25" t="s">
        <v>1283</v>
      </c>
      <c r="D228" s="17" t="s">
        <v>275</v>
      </c>
      <c r="E228" s="17" t="s">
        <v>959</v>
      </c>
      <c r="F228" s="17" t="s">
        <v>1097</v>
      </c>
      <c r="G228" s="39" t="s">
        <v>974</v>
      </c>
      <c r="H228" s="17" t="s">
        <v>978</v>
      </c>
    </row>
    <row r="229" spans="2:8" hidden="1" x14ac:dyDescent="0.25">
      <c r="B229" s="24">
        <v>26</v>
      </c>
      <c r="C229" s="25" t="s">
        <v>1283</v>
      </c>
      <c r="D229" s="8" t="s">
        <v>388</v>
      </c>
      <c r="E229" s="37" t="s">
        <v>974</v>
      </c>
      <c r="F229" s="8" t="s">
        <v>116</v>
      </c>
      <c r="G229" s="8" t="s">
        <v>116</v>
      </c>
      <c r="H229" s="8" t="s">
        <v>1001</v>
      </c>
    </row>
    <row r="230" spans="2:8" ht="30" hidden="1" x14ac:dyDescent="0.25">
      <c r="B230" s="24">
        <v>26</v>
      </c>
      <c r="C230" s="25" t="s">
        <v>1283</v>
      </c>
      <c r="D230" s="17" t="s">
        <v>263</v>
      </c>
      <c r="E230" s="17" t="s">
        <v>959</v>
      </c>
      <c r="F230" s="17" t="s">
        <v>1095</v>
      </c>
      <c r="G230" s="39" t="s">
        <v>974</v>
      </c>
      <c r="H230" s="17" t="s">
        <v>978</v>
      </c>
    </row>
    <row r="231" spans="2:8" ht="30" hidden="1" x14ac:dyDescent="0.25">
      <c r="B231" s="24">
        <v>26</v>
      </c>
      <c r="C231" s="25" t="s">
        <v>1283</v>
      </c>
      <c r="D231" s="17" t="s">
        <v>263</v>
      </c>
      <c r="E231" s="17" t="s">
        <v>959</v>
      </c>
      <c r="F231" s="17" t="s">
        <v>1095</v>
      </c>
      <c r="G231" s="39" t="s">
        <v>974</v>
      </c>
      <c r="H231" s="17" t="s">
        <v>978</v>
      </c>
    </row>
    <row r="232" spans="2:8" hidden="1" x14ac:dyDescent="0.25">
      <c r="B232" s="24">
        <v>26</v>
      </c>
      <c r="C232" s="25" t="s">
        <v>1283</v>
      </c>
      <c r="D232" s="2" t="s">
        <v>208</v>
      </c>
      <c r="E232" s="2" t="s">
        <v>959</v>
      </c>
      <c r="F232" s="2" t="s">
        <v>1103</v>
      </c>
      <c r="G232" s="2" t="s">
        <v>959</v>
      </c>
      <c r="H232" s="35" t="s">
        <v>963</v>
      </c>
    </row>
    <row r="233" spans="2:8" hidden="1" x14ac:dyDescent="0.25">
      <c r="B233" s="24">
        <v>26</v>
      </c>
      <c r="C233" s="25" t="s">
        <v>1283</v>
      </c>
      <c r="D233" s="2" t="s">
        <v>208</v>
      </c>
      <c r="E233" s="2" t="s">
        <v>959</v>
      </c>
      <c r="F233" s="2" t="s">
        <v>1104</v>
      </c>
      <c r="G233" s="2" t="s">
        <v>959</v>
      </c>
      <c r="H233" s="35" t="s">
        <v>963</v>
      </c>
    </row>
    <row r="234" spans="2:8" hidden="1" x14ac:dyDescent="0.25">
      <c r="B234" s="24">
        <v>26</v>
      </c>
      <c r="C234" s="25" t="s">
        <v>1283</v>
      </c>
      <c r="D234" s="17" t="s">
        <v>208</v>
      </c>
      <c r="E234" s="17" t="s">
        <v>959</v>
      </c>
      <c r="F234" s="17" t="s">
        <v>1105</v>
      </c>
      <c r="G234" s="39" t="s">
        <v>974</v>
      </c>
      <c r="H234" s="17" t="s">
        <v>978</v>
      </c>
    </row>
    <row r="235" spans="2:8" hidden="1" x14ac:dyDescent="0.25">
      <c r="B235" s="24">
        <v>26</v>
      </c>
      <c r="C235" s="25" t="s">
        <v>1283</v>
      </c>
      <c r="D235" s="8" t="s">
        <v>379</v>
      </c>
      <c r="E235" s="37" t="s">
        <v>974</v>
      </c>
      <c r="F235" s="8" t="s">
        <v>116</v>
      </c>
      <c r="G235" s="8" t="s">
        <v>116</v>
      </c>
      <c r="H235" s="8" t="s">
        <v>997</v>
      </c>
    </row>
    <row r="236" spans="2:8" hidden="1" x14ac:dyDescent="0.25">
      <c r="B236" s="24">
        <v>26</v>
      </c>
      <c r="C236" s="25" t="s">
        <v>1283</v>
      </c>
      <c r="D236" s="2" t="s">
        <v>338</v>
      </c>
      <c r="E236" s="2" t="s">
        <v>959</v>
      </c>
      <c r="F236" s="2" t="s">
        <v>1073</v>
      </c>
      <c r="G236" s="2" t="s">
        <v>959</v>
      </c>
      <c r="H236" s="35" t="s">
        <v>963</v>
      </c>
    </row>
    <row r="237" spans="2:8" ht="30" hidden="1" x14ac:dyDescent="0.25">
      <c r="B237" s="24">
        <v>26</v>
      </c>
      <c r="C237" s="25" t="s">
        <v>1283</v>
      </c>
      <c r="D237" s="17" t="s">
        <v>251</v>
      </c>
      <c r="E237" s="17" t="s">
        <v>959</v>
      </c>
      <c r="F237" s="17" t="s">
        <v>1096</v>
      </c>
      <c r="G237" s="39" t="s">
        <v>974</v>
      </c>
      <c r="H237" s="17" t="s">
        <v>978</v>
      </c>
    </row>
    <row r="238" spans="2:8" hidden="1" x14ac:dyDescent="0.25">
      <c r="B238" s="24">
        <v>26</v>
      </c>
      <c r="C238" s="25" t="s">
        <v>1283</v>
      </c>
      <c r="D238" s="17" t="s">
        <v>353</v>
      </c>
      <c r="E238" s="17" t="s">
        <v>959</v>
      </c>
      <c r="F238" s="17" t="s">
        <v>1074</v>
      </c>
      <c r="G238" s="39" t="s">
        <v>974</v>
      </c>
      <c r="H238" s="17" t="s">
        <v>979</v>
      </c>
    </row>
    <row r="239" spans="2:8" hidden="1" x14ac:dyDescent="0.25">
      <c r="B239" s="24">
        <v>26</v>
      </c>
      <c r="C239" s="25" t="s">
        <v>1283</v>
      </c>
      <c r="D239" s="2" t="s">
        <v>391</v>
      </c>
      <c r="E239" s="2" t="s">
        <v>959</v>
      </c>
      <c r="F239" s="2" t="s">
        <v>1091</v>
      </c>
      <c r="G239" s="2" t="s">
        <v>959</v>
      </c>
      <c r="H239" s="35" t="s">
        <v>963</v>
      </c>
    </row>
    <row r="240" spans="2:8" hidden="1" x14ac:dyDescent="0.25">
      <c r="B240" s="24">
        <v>26</v>
      </c>
      <c r="C240" s="25" t="s">
        <v>1283</v>
      </c>
      <c r="D240" s="8" t="s">
        <v>394</v>
      </c>
      <c r="E240" s="37" t="s">
        <v>974</v>
      </c>
      <c r="F240" s="8" t="s">
        <v>116</v>
      </c>
      <c r="G240" s="8" t="s">
        <v>116</v>
      </c>
      <c r="H240" s="8" t="s">
        <v>978</v>
      </c>
    </row>
    <row r="241" spans="2:8" hidden="1" x14ac:dyDescent="0.25">
      <c r="B241" s="24">
        <v>26</v>
      </c>
      <c r="C241" s="25" t="s">
        <v>1283</v>
      </c>
      <c r="D241" s="8" t="s">
        <v>344</v>
      </c>
      <c r="E241" s="37" t="s">
        <v>974</v>
      </c>
      <c r="F241" s="8" t="s">
        <v>116</v>
      </c>
      <c r="G241" s="8" t="s">
        <v>116</v>
      </c>
      <c r="H241" s="8" t="s">
        <v>978</v>
      </c>
    </row>
    <row r="242" spans="2:8" hidden="1" x14ac:dyDescent="0.25">
      <c r="B242" s="24">
        <v>26</v>
      </c>
      <c r="C242" s="25" t="s">
        <v>1283</v>
      </c>
      <c r="D242" s="8" t="s">
        <v>367</v>
      </c>
      <c r="E242" s="37" t="s">
        <v>974</v>
      </c>
      <c r="F242" s="8" t="s">
        <v>116</v>
      </c>
      <c r="G242" s="8" t="s">
        <v>116</v>
      </c>
      <c r="H242" s="8" t="s">
        <v>979</v>
      </c>
    </row>
    <row r="243" spans="2:8" ht="30" hidden="1" x14ac:dyDescent="0.25">
      <c r="B243" s="24">
        <v>26</v>
      </c>
      <c r="C243" s="25" t="s">
        <v>1283</v>
      </c>
      <c r="D243" s="17" t="s">
        <v>132</v>
      </c>
      <c r="E243" s="17" t="s">
        <v>959</v>
      </c>
      <c r="F243" s="17" t="s">
        <v>1088</v>
      </c>
      <c r="G243" s="39" t="s">
        <v>974</v>
      </c>
      <c r="H243" s="17" t="s">
        <v>1009</v>
      </c>
    </row>
    <row r="244" spans="2:8" hidden="1" x14ac:dyDescent="0.25">
      <c r="B244" s="24">
        <v>26</v>
      </c>
      <c r="C244" s="25" t="s">
        <v>1283</v>
      </c>
      <c r="D244" s="2" t="s">
        <v>373</v>
      </c>
      <c r="E244" s="2" t="s">
        <v>959</v>
      </c>
      <c r="F244" s="2" t="s">
        <v>1090</v>
      </c>
      <c r="G244" s="2" t="s">
        <v>959</v>
      </c>
      <c r="H244" s="35" t="s">
        <v>963</v>
      </c>
    </row>
    <row r="245" spans="2:8" ht="30" hidden="1" x14ac:dyDescent="0.25">
      <c r="B245" s="24">
        <v>26</v>
      </c>
      <c r="C245" s="25" t="s">
        <v>1283</v>
      </c>
      <c r="D245" s="2" t="s">
        <v>397</v>
      </c>
      <c r="E245" s="2" t="s">
        <v>959</v>
      </c>
      <c r="F245" s="2" t="s">
        <v>1092</v>
      </c>
      <c r="G245" s="2" t="s">
        <v>959</v>
      </c>
      <c r="H245" s="35" t="s">
        <v>963</v>
      </c>
    </row>
    <row r="246" spans="2:8" hidden="1" x14ac:dyDescent="0.25">
      <c r="B246" s="24">
        <v>26</v>
      </c>
      <c r="C246" s="25" t="s">
        <v>1283</v>
      </c>
      <c r="D246" s="17" t="s">
        <v>370</v>
      </c>
      <c r="E246" s="17" t="s">
        <v>959</v>
      </c>
      <c r="F246" s="17" t="s">
        <v>1089</v>
      </c>
      <c r="G246" s="39" t="s">
        <v>974</v>
      </c>
      <c r="H246" s="17" t="s">
        <v>978</v>
      </c>
    </row>
    <row r="247" spans="2:8" hidden="1" x14ac:dyDescent="0.25">
      <c r="B247" s="24">
        <v>26</v>
      </c>
      <c r="C247" s="25" t="s">
        <v>1283</v>
      </c>
      <c r="D247" s="17" t="s">
        <v>347</v>
      </c>
      <c r="E247" s="17" t="s">
        <v>959</v>
      </c>
      <c r="F247" s="17" t="s">
        <v>1073</v>
      </c>
      <c r="G247" s="39" t="s">
        <v>974</v>
      </c>
      <c r="H247" s="17" t="s">
        <v>979</v>
      </c>
    </row>
    <row r="248" spans="2:8" hidden="1" x14ac:dyDescent="0.25">
      <c r="B248" s="24">
        <v>26</v>
      </c>
      <c r="C248" s="25" t="s">
        <v>1283</v>
      </c>
      <c r="D248" s="17" t="s">
        <v>347</v>
      </c>
      <c r="E248" s="17" t="s">
        <v>959</v>
      </c>
      <c r="F248" s="17" t="s">
        <v>1074</v>
      </c>
      <c r="G248" s="39" t="s">
        <v>974</v>
      </c>
      <c r="H248" s="17" t="s">
        <v>979</v>
      </c>
    </row>
    <row r="249" spans="2:8" ht="30" hidden="1" x14ac:dyDescent="0.25">
      <c r="B249" s="24">
        <v>26</v>
      </c>
      <c r="C249" s="25" t="s">
        <v>1283</v>
      </c>
      <c r="D249" s="17" t="s">
        <v>347</v>
      </c>
      <c r="E249" s="17" t="s">
        <v>959</v>
      </c>
      <c r="F249" s="17" t="s">
        <v>1075</v>
      </c>
      <c r="G249" s="39" t="s">
        <v>974</v>
      </c>
      <c r="H249" s="17" t="s">
        <v>980</v>
      </c>
    </row>
    <row r="250" spans="2:8" ht="30" hidden="1" x14ac:dyDescent="0.25">
      <c r="B250" s="24">
        <v>26</v>
      </c>
      <c r="C250" s="25" t="s">
        <v>1283</v>
      </c>
      <c r="D250" s="2" t="s">
        <v>347</v>
      </c>
      <c r="E250" s="2" t="s">
        <v>959</v>
      </c>
      <c r="F250" s="2" t="s">
        <v>1076</v>
      </c>
      <c r="G250" s="2" t="s">
        <v>959</v>
      </c>
      <c r="H250" s="35" t="s">
        <v>1506</v>
      </c>
    </row>
    <row r="251" spans="2:8" ht="30.75" hidden="1" thickBot="1" x14ac:dyDescent="0.3">
      <c r="B251" s="26">
        <v>26</v>
      </c>
      <c r="C251" s="27" t="s">
        <v>1283</v>
      </c>
      <c r="D251" s="10" t="s">
        <v>347</v>
      </c>
      <c r="E251" s="10" t="s">
        <v>959</v>
      </c>
      <c r="F251" s="10" t="s">
        <v>1077</v>
      </c>
      <c r="G251" s="10" t="s">
        <v>959</v>
      </c>
      <c r="H251" s="20" t="s">
        <v>1506</v>
      </c>
    </row>
    <row r="252" spans="2:8" ht="30" hidden="1" x14ac:dyDescent="0.25">
      <c r="B252" s="28">
        <v>26</v>
      </c>
      <c r="C252" s="34" t="s">
        <v>1283</v>
      </c>
      <c r="D252" s="7" t="s">
        <v>347</v>
      </c>
      <c r="E252" s="7" t="s">
        <v>959</v>
      </c>
      <c r="F252" s="7" t="s">
        <v>1078</v>
      </c>
      <c r="G252" s="7" t="s">
        <v>959</v>
      </c>
      <c r="H252" s="41" t="s">
        <v>1506</v>
      </c>
    </row>
    <row r="253" spans="2:8" hidden="1" x14ac:dyDescent="0.25">
      <c r="B253" s="24">
        <v>26</v>
      </c>
      <c r="C253" s="25" t="s">
        <v>1283</v>
      </c>
      <c r="D253" s="2" t="s">
        <v>347</v>
      </c>
      <c r="E253" s="2" t="s">
        <v>959</v>
      </c>
      <c r="F253" s="2" t="s">
        <v>1079</v>
      </c>
      <c r="G253" s="2" t="s">
        <v>959</v>
      </c>
      <c r="H253" s="35" t="s">
        <v>963</v>
      </c>
    </row>
    <row r="254" spans="2:8" hidden="1" x14ac:dyDescent="0.25">
      <c r="B254" s="24">
        <v>26</v>
      </c>
      <c r="C254" s="25" t="s">
        <v>1283</v>
      </c>
      <c r="D254" s="2" t="s">
        <v>347</v>
      </c>
      <c r="E254" s="2" t="s">
        <v>959</v>
      </c>
      <c r="F254" s="2" t="s">
        <v>1080</v>
      </c>
      <c r="G254" s="2" t="s">
        <v>959</v>
      </c>
      <c r="H254" s="35" t="s">
        <v>963</v>
      </c>
    </row>
    <row r="255" spans="2:8" hidden="1" x14ac:dyDescent="0.25">
      <c r="B255" s="24">
        <v>26</v>
      </c>
      <c r="C255" s="25" t="s">
        <v>1283</v>
      </c>
      <c r="D255" s="2" t="s">
        <v>347</v>
      </c>
      <c r="E255" s="2" t="s">
        <v>959</v>
      </c>
      <c r="F255" s="2" t="s">
        <v>1081</v>
      </c>
      <c r="G255" s="2" t="s">
        <v>959</v>
      </c>
      <c r="H255" s="35" t="s">
        <v>963</v>
      </c>
    </row>
    <row r="256" spans="2:8" hidden="1" x14ac:dyDescent="0.25">
      <c r="B256" s="24">
        <v>26</v>
      </c>
      <c r="C256" s="25" t="s">
        <v>1283</v>
      </c>
      <c r="D256" s="2" t="s">
        <v>347</v>
      </c>
      <c r="E256" s="2" t="s">
        <v>959</v>
      </c>
      <c r="F256" s="2" t="s">
        <v>1082</v>
      </c>
      <c r="G256" s="2" t="s">
        <v>959</v>
      </c>
      <c r="H256" s="35" t="s">
        <v>963</v>
      </c>
    </row>
    <row r="257" spans="2:8" hidden="1" x14ac:dyDescent="0.25">
      <c r="B257" s="24">
        <v>26</v>
      </c>
      <c r="C257" s="25" t="s">
        <v>1283</v>
      </c>
      <c r="D257" s="2" t="s">
        <v>347</v>
      </c>
      <c r="E257" s="2" t="s">
        <v>959</v>
      </c>
      <c r="F257" s="2" t="s">
        <v>1083</v>
      </c>
      <c r="G257" s="2" t="s">
        <v>959</v>
      </c>
      <c r="H257" s="35" t="s">
        <v>963</v>
      </c>
    </row>
    <row r="258" spans="2:8" ht="30" hidden="1" x14ac:dyDescent="0.25">
      <c r="B258" s="24">
        <v>26</v>
      </c>
      <c r="C258" s="25" t="s">
        <v>1283</v>
      </c>
      <c r="D258" s="17" t="s">
        <v>347</v>
      </c>
      <c r="E258" s="17" t="s">
        <v>959</v>
      </c>
      <c r="F258" s="17" t="s">
        <v>1084</v>
      </c>
      <c r="G258" s="39" t="s">
        <v>974</v>
      </c>
      <c r="H258" s="17" t="s">
        <v>980</v>
      </c>
    </row>
    <row r="259" spans="2:8" hidden="1" x14ac:dyDescent="0.25">
      <c r="B259" s="24">
        <v>26</v>
      </c>
      <c r="C259" s="25" t="s">
        <v>1283</v>
      </c>
      <c r="D259" s="17" t="s">
        <v>347</v>
      </c>
      <c r="E259" s="17" t="s">
        <v>959</v>
      </c>
      <c r="F259" s="17" t="s">
        <v>1085</v>
      </c>
      <c r="G259" s="39" t="s">
        <v>974</v>
      </c>
      <c r="H259" s="17" t="s">
        <v>978</v>
      </c>
    </row>
    <row r="260" spans="2:8" hidden="1" x14ac:dyDescent="0.25">
      <c r="B260" s="24">
        <v>26</v>
      </c>
      <c r="C260" s="25" t="s">
        <v>1283</v>
      </c>
      <c r="D260" s="17" t="s">
        <v>347</v>
      </c>
      <c r="E260" s="17" t="s">
        <v>959</v>
      </c>
      <c r="F260" s="17" t="s">
        <v>1086</v>
      </c>
      <c r="G260" s="39" t="s">
        <v>974</v>
      </c>
      <c r="H260" s="17" t="s">
        <v>978</v>
      </c>
    </row>
    <row r="261" spans="2:8" hidden="1" x14ac:dyDescent="0.25">
      <c r="B261" s="24">
        <v>26</v>
      </c>
      <c r="C261" s="25" t="s">
        <v>1283</v>
      </c>
      <c r="D261" s="2" t="s">
        <v>347</v>
      </c>
      <c r="E261" s="2" t="s">
        <v>959</v>
      </c>
      <c r="F261" s="2" t="s">
        <v>1087</v>
      </c>
      <c r="G261" s="2" t="s">
        <v>959</v>
      </c>
      <c r="H261" s="35" t="s">
        <v>963</v>
      </c>
    </row>
    <row r="262" spans="2:8" ht="30" hidden="1" x14ac:dyDescent="0.25">
      <c r="B262" s="24">
        <v>26</v>
      </c>
      <c r="C262" s="25" t="s">
        <v>1283</v>
      </c>
      <c r="D262" s="17" t="s">
        <v>400</v>
      </c>
      <c r="E262" s="17" t="s">
        <v>959</v>
      </c>
      <c r="F262" s="17" t="s">
        <v>1093</v>
      </c>
      <c r="G262" s="39" t="s">
        <v>974</v>
      </c>
      <c r="H262" s="17" t="s">
        <v>1009</v>
      </c>
    </row>
    <row r="263" spans="2:8" hidden="1" x14ac:dyDescent="0.25">
      <c r="B263" s="24">
        <v>26</v>
      </c>
      <c r="C263" s="25" t="s">
        <v>1283</v>
      </c>
      <c r="D263" s="2" t="s">
        <v>403</v>
      </c>
      <c r="E263" s="2" t="s">
        <v>959</v>
      </c>
      <c r="F263" s="2" t="s">
        <v>1094</v>
      </c>
      <c r="G263" s="2" t="s">
        <v>959</v>
      </c>
      <c r="H263" s="35" t="s">
        <v>963</v>
      </c>
    </row>
    <row r="264" spans="2:8" ht="30" hidden="1" x14ac:dyDescent="0.25">
      <c r="B264" s="24">
        <v>26</v>
      </c>
      <c r="C264" s="25" t="s">
        <v>1283</v>
      </c>
      <c r="D264" s="17" t="s">
        <v>415</v>
      </c>
      <c r="E264" s="17" t="s">
        <v>959</v>
      </c>
      <c r="F264" s="17" t="s">
        <v>1101</v>
      </c>
      <c r="G264" s="39" t="s">
        <v>974</v>
      </c>
      <c r="H264" s="17" t="s">
        <v>978</v>
      </c>
    </row>
    <row r="265" spans="2:8" hidden="1" x14ac:dyDescent="0.25">
      <c r="B265" s="24">
        <v>26</v>
      </c>
      <c r="C265" s="25" t="s">
        <v>1283</v>
      </c>
      <c r="D265" s="8" t="s">
        <v>361</v>
      </c>
      <c r="E265" s="37" t="s">
        <v>974</v>
      </c>
      <c r="F265" s="8" t="s">
        <v>116</v>
      </c>
      <c r="G265" s="8" t="s">
        <v>116</v>
      </c>
      <c r="H265" s="8" t="s">
        <v>978</v>
      </c>
    </row>
    <row r="266" spans="2:8" ht="30" hidden="1" x14ac:dyDescent="0.25">
      <c r="B266" s="24">
        <v>26</v>
      </c>
      <c r="C266" s="25" t="s">
        <v>1283</v>
      </c>
      <c r="D266" s="17" t="s">
        <v>319</v>
      </c>
      <c r="E266" s="17" t="s">
        <v>959</v>
      </c>
      <c r="F266" s="17" t="s">
        <v>1099</v>
      </c>
      <c r="G266" s="39" t="s">
        <v>974</v>
      </c>
      <c r="H266" s="17" t="s">
        <v>978</v>
      </c>
    </row>
    <row r="267" spans="2:8" ht="30" hidden="1" x14ac:dyDescent="0.25">
      <c r="B267" s="24">
        <v>26</v>
      </c>
      <c r="C267" s="25" t="s">
        <v>1283</v>
      </c>
      <c r="D267" s="2" t="s">
        <v>136</v>
      </c>
      <c r="E267" s="2" t="s">
        <v>959</v>
      </c>
      <c r="F267" s="2" t="s">
        <v>1074</v>
      </c>
      <c r="G267" s="2" t="s">
        <v>959</v>
      </c>
      <c r="H267" s="35" t="s">
        <v>1506</v>
      </c>
    </row>
    <row r="268" spans="2:8" hidden="1" x14ac:dyDescent="0.25">
      <c r="B268" s="24">
        <v>26</v>
      </c>
      <c r="C268" s="25" t="s">
        <v>1283</v>
      </c>
      <c r="D268" s="8" t="s">
        <v>166</v>
      </c>
      <c r="E268" s="37" t="s">
        <v>974</v>
      </c>
      <c r="F268" s="8" t="s">
        <v>116</v>
      </c>
      <c r="G268" s="8" t="s">
        <v>116</v>
      </c>
      <c r="H268" s="8" t="s">
        <v>977</v>
      </c>
    </row>
    <row r="269" spans="2:8" hidden="1" x14ac:dyDescent="0.25">
      <c r="B269" s="24">
        <v>26</v>
      </c>
      <c r="C269" s="25" t="s">
        <v>1283</v>
      </c>
      <c r="D269" s="8" t="s">
        <v>350</v>
      </c>
      <c r="E269" s="37" t="s">
        <v>974</v>
      </c>
      <c r="F269" s="8" t="s">
        <v>116</v>
      </c>
      <c r="G269" s="8" t="s">
        <v>116</v>
      </c>
      <c r="H269" s="8" t="s">
        <v>978</v>
      </c>
    </row>
    <row r="270" spans="2:8" hidden="1" x14ac:dyDescent="0.25">
      <c r="B270" s="24">
        <v>26</v>
      </c>
      <c r="C270" s="25" t="s">
        <v>1283</v>
      </c>
      <c r="D270" s="8" t="s">
        <v>406</v>
      </c>
      <c r="E270" s="37" t="s">
        <v>974</v>
      </c>
      <c r="F270" s="8" t="s">
        <v>116</v>
      </c>
      <c r="G270" s="8" t="s">
        <v>116</v>
      </c>
      <c r="H270" s="8" t="s">
        <v>978</v>
      </c>
    </row>
    <row r="271" spans="2:8" hidden="1" x14ac:dyDescent="0.25">
      <c r="B271" s="24">
        <v>26</v>
      </c>
      <c r="C271" s="25" t="s">
        <v>1283</v>
      </c>
      <c r="D271" s="8" t="s">
        <v>376</v>
      </c>
      <c r="E271" s="37" t="s">
        <v>974</v>
      </c>
      <c r="F271" s="8" t="s">
        <v>116</v>
      </c>
      <c r="G271" s="8" t="s">
        <v>116</v>
      </c>
      <c r="H271" s="8" t="s">
        <v>978</v>
      </c>
    </row>
    <row r="272" spans="2:8" hidden="1" x14ac:dyDescent="0.25">
      <c r="B272" s="24">
        <v>26</v>
      </c>
      <c r="C272" s="25" t="s">
        <v>1283</v>
      </c>
      <c r="D272" s="2" t="s">
        <v>382</v>
      </c>
      <c r="E272" s="2" t="s">
        <v>959</v>
      </c>
      <c r="F272" s="2" t="s">
        <v>1075</v>
      </c>
      <c r="G272" s="2" t="s">
        <v>959</v>
      </c>
      <c r="H272" s="35" t="s">
        <v>963</v>
      </c>
    </row>
    <row r="273" spans="2:8" ht="30" hidden="1" x14ac:dyDescent="0.25">
      <c r="B273" s="24">
        <v>26</v>
      </c>
      <c r="C273" s="25" t="s">
        <v>1283</v>
      </c>
      <c r="D273" s="17" t="s">
        <v>418</v>
      </c>
      <c r="E273" s="17" t="s">
        <v>959</v>
      </c>
      <c r="F273" s="17" t="s">
        <v>1102</v>
      </c>
      <c r="G273" s="39" t="s">
        <v>974</v>
      </c>
      <c r="H273" s="17" t="s">
        <v>978</v>
      </c>
    </row>
    <row r="274" spans="2:8" hidden="1" x14ac:dyDescent="0.25">
      <c r="B274" s="24">
        <v>26</v>
      </c>
      <c r="C274" s="25" t="s">
        <v>1283</v>
      </c>
      <c r="D274" s="8" t="s">
        <v>409</v>
      </c>
      <c r="E274" s="37" t="s">
        <v>974</v>
      </c>
      <c r="F274" s="8" t="s">
        <v>116</v>
      </c>
      <c r="G274" s="8" t="s">
        <v>116</v>
      </c>
      <c r="H274" s="8" t="s">
        <v>978</v>
      </c>
    </row>
    <row r="275" spans="2:8" ht="30" hidden="1" x14ac:dyDescent="0.25">
      <c r="B275" s="30">
        <v>82</v>
      </c>
      <c r="C275" s="43" t="s">
        <v>1310</v>
      </c>
      <c r="D275" s="2" t="s">
        <v>616</v>
      </c>
      <c r="E275" s="2" t="s">
        <v>959</v>
      </c>
      <c r="F275" s="2" t="s">
        <v>1177</v>
      </c>
      <c r="G275" s="2" t="s">
        <v>959</v>
      </c>
      <c r="H275" s="2" t="s">
        <v>1178</v>
      </c>
    </row>
    <row r="276" spans="2:8" hidden="1" x14ac:dyDescent="0.25">
      <c r="B276" s="30">
        <v>82</v>
      </c>
      <c r="C276" s="43" t="s">
        <v>1310</v>
      </c>
      <c r="D276" s="8" t="s">
        <v>829</v>
      </c>
      <c r="E276" s="37" t="s">
        <v>974</v>
      </c>
      <c r="F276" s="8" t="s">
        <v>116</v>
      </c>
      <c r="G276" s="8" t="s">
        <v>116</v>
      </c>
      <c r="H276" s="8" t="s">
        <v>978</v>
      </c>
    </row>
    <row r="277" spans="2:8" hidden="1" x14ac:dyDescent="0.25">
      <c r="B277" s="30">
        <v>82</v>
      </c>
      <c r="C277" s="43" t="s">
        <v>1310</v>
      </c>
      <c r="D277" s="8" t="s">
        <v>818</v>
      </c>
      <c r="E277" s="37" t="s">
        <v>974</v>
      </c>
      <c r="F277" s="8" t="s">
        <v>116</v>
      </c>
      <c r="G277" s="8" t="s">
        <v>116</v>
      </c>
      <c r="H277" s="8" t="s">
        <v>977</v>
      </c>
    </row>
    <row r="278" spans="2:8" hidden="1" x14ac:dyDescent="0.25">
      <c r="B278" s="30">
        <v>82</v>
      </c>
      <c r="C278" s="43" t="s">
        <v>1310</v>
      </c>
      <c r="D278" s="8" t="s">
        <v>823</v>
      </c>
      <c r="E278" s="37" t="s">
        <v>974</v>
      </c>
      <c r="F278" s="8" t="s">
        <v>116</v>
      </c>
      <c r="G278" s="8" t="s">
        <v>116</v>
      </c>
      <c r="H278" s="8" t="s">
        <v>978</v>
      </c>
    </row>
    <row r="279" spans="2:8" hidden="1" x14ac:dyDescent="0.25">
      <c r="B279" s="30">
        <v>82</v>
      </c>
      <c r="C279" s="43" t="s">
        <v>1310</v>
      </c>
      <c r="D279" s="8" t="s">
        <v>812</v>
      </c>
      <c r="E279" s="37" t="s">
        <v>974</v>
      </c>
      <c r="F279" s="8" t="s">
        <v>116</v>
      </c>
      <c r="G279" s="8" t="s">
        <v>116</v>
      </c>
      <c r="H279" s="8" t="s">
        <v>977</v>
      </c>
    </row>
    <row r="280" spans="2:8" hidden="1" x14ac:dyDescent="0.25">
      <c r="B280" s="30">
        <v>82</v>
      </c>
      <c r="C280" s="43" t="s">
        <v>1310</v>
      </c>
      <c r="D280" s="8" t="s">
        <v>142</v>
      </c>
      <c r="E280" s="37" t="s">
        <v>974</v>
      </c>
      <c r="F280" s="8" t="s">
        <v>116</v>
      </c>
      <c r="G280" s="8" t="s">
        <v>116</v>
      </c>
      <c r="H280" s="8" t="s">
        <v>997</v>
      </c>
    </row>
    <row r="281" spans="2:8" hidden="1" x14ac:dyDescent="0.25">
      <c r="B281" s="30">
        <v>82</v>
      </c>
      <c r="C281" s="25" t="s">
        <v>1310</v>
      </c>
      <c r="D281" s="2" t="s">
        <v>826</v>
      </c>
      <c r="E281" s="2" t="s">
        <v>959</v>
      </c>
      <c r="F281" s="2" t="s">
        <v>1252</v>
      </c>
      <c r="G281" s="2" t="s">
        <v>959</v>
      </c>
      <c r="H281" s="35" t="s">
        <v>963</v>
      </c>
    </row>
    <row r="282" spans="2:8" ht="30" hidden="1" x14ac:dyDescent="0.25">
      <c r="B282" s="30">
        <v>82</v>
      </c>
      <c r="C282" s="25" t="s">
        <v>1310</v>
      </c>
      <c r="D282" s="2" t="s">
        <v>815</v>
      </c>
      <c r="E282" s="2" t="s">
        <v>959</v>
      </c>
      <c r="F282" s="2" t="s">
        <v>1247</v>
      </c>
      <c r="G282" s="2" t="s">
        <v>959</v>
      </c>
      <c r="H282" s="2" t="s">
        <v>1248</v>
      </c>
    </row>
    <row r="283" spans="2:8" ht="15.75" hidden="1" thickBot="1" x14ac:dyDescent="0.3">
      <c r="B283" s="31">
        <v>82</v>
      </c>
      <c r="C283" s="27" t="s">
        <v>1310</v>
      </c>
      <c r="D283" s="10" t="s">
        <v>815</v>
      </c>
      <c r="E283" s="10" t="s">
        <v>959</v>
      </c>
      <c r="F283" s="10" t="s">
        <v>1249</v>
      </c>
      <c r="G283" s="10" t="s">
        <v>959</v>
      </c>
      <c r="H283" s="20" t="s">
        <v>963</v>
      </c>
    </row>
    <row r="284" spans="2:8" ht="30" hidden="1" x14ac:dyDescent="0.25">
      <c r="B284" s="29">
        <v>82</v>
      </c>
      <c r="C284" s="42" t="s">
        <v>1310</v>
      </c>
      <c r="D284" s="7" t="s">
        <v>631</v>
      </c>
      <c r="E284" s="7" t="s">
        <v>959</v>
      </c>
      <c r="F284" s="7" t="s">
        <v>1255</v>
      </c>
      <c r="G284" s="7" t="s">
        <v>959</v>
      </c>
      <c r="H284" s="41" t="s">
        <v>963</v>
      </c>
    </row>
    <row r="285" spans="2:8" ht="30" hidden="1" x14ac:dyDescent="0.25">
      <c r="B285" s="30">
        <v>82</v>
      </c>
      <c r="C285" s="43" t="s">
        <v>1310</v>
      </c>
      <c r="D285" s="17" t="s">
        <v>537</v>
      </c>
      <c r="E285" s="17" t="s">
        <v>959</v>
      </c>
      <c r="F285" s="17" t="s">
        <v>1516</v>
      </c>
      <c r="G285" s="39" t="s">
        <v>974</v>
      </c>
      <c r="H285" s="17" t="s">
        <v>978</v>
      </c>
    </row>
    <row r="286" spans="2:8" ht="30" hidden="1" x14ac:dyDescent="0.25">
      <c r="B286" s="30">
        <v>82</v>
      </c>
      <c r="C286" s="43" t="s">
        <v>1310</v>
      </c>
      <c r="D286" s="2" t="s">
        <v>418</v>
      </c>
      <c r="E286" s="2" t="s">
        <v>959</v>
      </c>
      <c r="F286" s="2" t="s">
        <v>1256</v>
      </c>
      <c r="G286" s="2" t="s">
        <v>959</v>
      </c>
      <c r="H286" s="35" t="s">
        <v>963</v>
      </c>
    </row>
    <row r="287" spans="2:8" hidden="1" x14ac:dyDescent="0.25">
      <c r="B287" s="30">
        <v>82</v>
      </c>
      <c r="C287" s="25" t="s">
        <v>1310</v>
      </c>
      <c r="D287" s="17" t="s">
        <v>809</v>
      </c>
      <c r="E287" s="17" t="s">
        <v>959</v>
      </c>
      <c r="F287" s="17" t="s">
        <v>1246</v>
      </c>
      <c r="G287" s="39" t="s">
        <v>974</v>
      </c>
      <c r="H287" s="17" t="s">
        <v>1001</v>
      </c>
    </row>
    <row r="288" spans="2:8" hidden="1" x14ac:dyDescent="0.25">
      <c r="B288" s="30">
        <v>82</v>
      </c>
      <c r="C288" s="43" t="s">
        <v>1310</v>
      </c>
      <c r="D288" s="2" t="s">
        <v>628</v>
      </c>
      <c r="E288" s="2" t="s">
        <v>959</v>
      </c>
      <c r="F288" s="2" t="s">
        <v>1254</v>
      </c>
      <c r="G288" s="2" t="s">
        <v>959</v>
      </c>
      <c r="H288" s="2" t="s">
        <v>963</v>
      </c>
    </row>
    <row r="289" spans="2:8" ht="30" hidden="1" x14ac:dyDescent="0.25">
      <c r="B289" s="30">
        <v>82</v>
      </c>
      <c r="C289" s="25" t="s">
        <v>1310</v>
      </c>
      <c r="D289" s="17" t="s">
        <v>334</v>
      </c>
      <c r="E289" s="17" t="s">
        <v>959</v>
      </c>
      <c r="F289" s="17" t="s">
        <v>1253</v>
      </c>
      <c r="G289" s="39" t="s">
        <v>974</v>
      </c>
      <c r="H289" s="17" t="s">
        <v>982</v>
      </c>
    </row>
    <row r="290" spans="2:8" ht="30" hidden="1" x14ac:dyDescent="0.25">
      <c r="B290" s="30">
        <v>82</v>
      </c>
      <c r="C290" s="25" t="s">
        <v>1310</v>
      </c>
      <c r="D290" s="2" t="s">
        <v>190</v>
      </c>
      <c r="E290" s="2" t="s">
        <v>959</v>
      </c>
      <c r="F290" s="2" t="s">
        <v>1250</v>
      </c>
      <c r="G290" s="2" t="s">
        <v>959</v>
      </c>
      <c r="H290" s="2" t="s">
        <v>1251</v>
      </c>
    </row>
    <row r="291" spans="2:8" hidden="1" x14ac:dyDescent="0.25">
      <c r="B291" s="24">
        <v>3</v>
      </c>
      <c r="C291" s="25" t="s">
        <v>1272</v>
      </c>
      <c r="D291" s="8" t="s">
        <v>38</v>
      </c>
      <c r="E291" s="37" t="s">
        <v>974</v>
      </c>
      <c r="F291" s="8" t="s">
        <v>116</v>
      </c>
      <c r="G291" s="8" t="s">
        <v>116</v>
      </c>
      <c r="H291" s="8" t="s">
        <v>979</v>
      </c>
    </row>
    <row r="292" spans="2:8" ht="30" hidden="1" x14ac:dyDescent="0.25">
      <c r="B292" s="24">
        <v>3</v>
      </c>
      <c r="C292" s="25" t="s">
        <v>1272</v>
      </c>
      <c r="D292" s="2" t="s">
        <v>29</v>
      </c>
      <c r="E292" s="2" t="s">
        <v>959</v>
      </c>
      <c r="F292" s="2" t="s">
        <v>960</v>
      </c>
      <c r="G292" s="2" t="s">
        <v>959</v>
      </c>
      <c r="H292" s="2" t="s">
        <v>968</v>
      </c>
    </row>
    <row r="293" spans="2:8" hidden="1" x14ac:dyDescent="0.25">
      <c r="B293" s="24">
        <v>3</v>
      </c>
      <c r="C293" s="25" t="s">
        <v>1272</v>
      </c>
      <c r="D293" s="8" t="s">
        <v>35</v>
      </c>
      <c r="E293" s="37" t="s">
        <v>974</v>
      </c>
      <c r="F293" s="8" t="s">
        <v>116</v>
      </c>
      <c r="G293" s="8" t="s">
        <v>116</v>
      </c>
      <c r="H293" s="8" t="s">
        <v>978</v>
      </c>
    </row>
    <row r="294" spans="2:8" hidden="1" x14ac:dyDescent="0.25">
      <c r="B294" s="24">
        <v>3</v>
      </c>
      <c r="C294" s="25" t="s">
        <v>1272</v>
      </c>
      <c r="D294" s="8" t="s">
        <v>20</v>
      </c>
      <c r="E294" s="37" t="s">
        <v>974</v>
      </c>
      <c r="F294" s="8" t="s">
        <v>116</v>
      </c>
      <c r="G294" s="8" t="s">
        <v>116</v>
      </c>
      <c r="H294" s="8" t="s">
        <v>977</v>
      </c>
    </row>
    <row r="295" spans="2:8" hidden="1" x14ac:dyDescent="0.25">
      <c r="B295" s="24">
        <v>3</v>
      </c>
      <c r="C295" s="25" t="s">
        <v>1272</v>
      </c>
      <c r="D295" s="8" t="s">
        <v>32</v>
      </c>
      <c r="E295" s="37" t="s">
        <v>974</v>
      </c>
      <c r="F295" s="8" t="s">
        <v>116</v>
      </c>
      <c r="G295" s="8" t="s">
        <v>116</v>
      </c>
      <c r="H295" s="8" t="s">
        <v>977</v>
      </c>
    </row>
    <row r="296" spans="2:8" hidden="1" x14ac:dyDescent="0.25">
      <c r="B296" s="24">
        <v>3</v>
      </c>
      <c r="C296" s="25" t="s">
        <v>1272</v>
      </c>
      <c r="D296" s="2" t="s">
        <v>11</v>
      </c>
      <c r="E296" s="2" t="s">
        <v>959</v>
      </c>
      <c r="F296" s="2" t="s">
        <v>973</v>
      </c>
      <c r="G296" s="2" t="s">
        <v>959</v>
      </c>
      <c r="H296" s="35" t="s">
        <v>963</v>
      </c>
    </row>
    <row r="297" spans="2:8" ht="30" hidden="1" x14ac:dyDescent="0.25">
      <c r="B297" s="24">
        <v>3</v>
      </c>
      <c r="C297" s="25" t="s">
        <v>1272</v>
      </c>
      <c r="D297" s="2" t="s">
        <v>8</v>
      </c>
      <c r="E297" s="2" t="s">
        <v>959</v>
      </c>
      <c r="F297" s="2" t="s">
        <v>966</v>
      </c>
      <c r="G297" s="2" t="s">
        <v>959</v>
      </c>
      <c r="H297" s="2" t="s">
        <v>968</v>
      </c>
    </row>
    <row r="298" spans="2:8" ht="30" hidden="1" x14ac:dyDescent="0.25">
      <c r="B298" s="24">
        <v>3</v>
      </c>
      <c r="C298" s="25" t="s">
        <v>1272</v>
      </c>
      <c r="D298" s="2" t="s">
        <v>8</v>
      </c>
      <c r="E298" s="2" t="s">
        <v>959</v>
      </c>
      <c r="F298" s="2" t="s">
        <v>969</v>
      </c>
      <c r="G298" s="2" t="s">
        <v>959</v>
      </c>
      <c r="H298" s="2" t="s">
        <v>968</v>
      </c>
    </row>
    <row r="299" spans="2:8" ht="45" hidden="1" x14ac:dyDescent="0.25">
      <c r="B299" s="24">
        <v>3</v>
      </c>
      <c r="C299" s="25" t="s">
        <v>1272</v>
      </c>
      <c r="D299" s="2" t="s">
        <v>8</v>
      </c>
      <c r="E299" s="2" t="s">
        <v>959</v>
      </c>
      <c r="F299" s="2" t="s">
        <v>970</v>
      </c>
      <c r="G299" s="2" t="s">
        <v>959</v>
      </c>
      <c r="H299" s="2" t="s">
        <v>971</v>
      </c>
    </row>
    <row r="300" spans="2:8" ht="45" hidden="1" x14ac:dyDescent="0.25">
      <c r="B300" s="24">
        <v>3</v>
      </c>
      <c r="C300" s="25" t="s">
        <v>1272</v>
      </c>
      <c r="D300" s="2" t="s">
        <v>8</v>
      </c>
      <c r="E300" s="2" t="s">
        <v>959</v>
      </c>
      <c r="F300" s="2" t="s">
        <v>972</v>
      </c>
      <c r="G300" s="2" t="s">
        <v>959</v>
      </c>
      <c r="H300" s="2" t="s">
        <v>971</v>
      </c>
    </row>
    <row r="301" spans="2:8" hidden="1" x14ac:dyDescent="0.25">
      <c r="B301" s="24">
        <v>3</v>
      </c>
      <c r="C301" s="25" t="s">
        <v>1272</v>
      </c>
      <c r="D301" s="8" t="s">
        <v>23</v>
      </c>
      <c r="E301" s="37" t="s">
        <v>974</v>
      </c>
      <c r="F301" s="8" t="s">
        <v>116</v>
      </c>
      <c r="G301" s="8" t="s">
        <v>116</v>
      </c>
      <c r="H301" s="8" t="s">
        <v>977</v>
      </c>
    </row>
    <row r="302" spans="2:8" hidden="1" x14ac:dyDescent="0.25">
      <c r="B302" s="24">
        <v>3</v>
      </c>
      <c r="C302" s="25" t="s">
        <v>1272</v>
      </c>
      <c r="D302" s="8" t="s">
        <v>41</v>
      </c>
      <c r="E302" s="37" t="s">
        <v>974</v>
      </c>
      <c r="F302" s="8" t="s">
        <v>116</v>
      </c>
      <c r="G302" s="8" t="s">
        <v>116</v>
      </c>
      <c r="H302" s="8" t="s">
        <v>977</v>
      </c>
    </row>
    <row r="303" spans="2:8" ht="30" hidden="1" x14ac:dyDescent="0.25">
      <c r="B303" s="24">
        <v>3</v>
      </c>
      <c r="C303" s="25" t="s">
        <v>1272</v>
      </c>
      <c r="D303" s="2" t="s">
        <v>44</v>
      </c>
      <c r="E303" s="2" t="s">
        <v>959</v>
      </c>
      <c r="F303" s="2" t="s">
        <v>976</v>
      </c>
      <c r="G303" s="2" t="s">
        <v>959</v>
      </c>
      <c r="H303" s="2" t="s">
        <v>967</v>
      </c>
    </row>
    <row r="304" spans="2:8" ht="30" hidden="1" x14ac:dyDescent="0.25">
      <c r="B304" s="24">
        <v>3</v>
      </c>
      <c r="C304" s="25" t="s">
        <v>1272</v>
      </c>
      <c r="D304" s="17" t="s">
        <v>44</v>
      </c>
      <c r="E304" s="17" t="s">
        <v>959</v>
      </c>
      <c r="F304" s="17" t="s">
        <v>966</v>
      </c>
      <c r="G304" s="39" t="s">
        <v>974</v>
      </c>
      <c r="H304" s="17" t="s">
        <v>980</v>
      </c>
    </row>
    <row r="305" spans="2:8" ht="30" hidden="1" x14ac:dyDescent="0.25">
      <c r="B305" s="24">
        <v>3</v>
      </c>
      <c r="C305" s="25" t="s">
        <v>1272</v>
      </c>
      <c r="D305" s="17" t="s">
        <v>47</v>
      </c>
      <c r="E305" s="17" t="s">
        <v>959</v>
      </c>
      <c r="F305" s="17" t="s">
        <v>966</v>
      </c>
      <c r="G305" s="39" t="s">
        <v>974</v>
      </c>
      <c r="H305" s="17" t="s">
        <v>980</v>
      </c>
    </row>
    <row r="306" spans="2:8" ht="30" hidden="1" x14ac:dyDescent="0.25">
      <c r="B306" s="24">
        <v>3</v>
      </c>
      <c r="C306" s="25" t="s">
        <v>1272</v>
      </c>
      <c r="D306" s="17" t="s">
        <v>47</v>
      </c>
      <c r="E306" s="17" t="s">
        <v>959</v>
      </c>
      <c r="F306" s="17" t="s">
        <v>960</v>
      </c>
      <c r="G306" s="39" t="s">
        <v>974</v>
      </c>
      <c r="H306" s="17" t="s">
        <v>980</v>
      </c>
    </row>
    <row r="307" spans="2:8" ht="30" hidden="1" x14ac:dyDescent="0.25">
      <c r="B307" s="24">
        <v>3</v>
      </c>
      <c r="C307" s="25" t="s">
        <v>1272</v>
      </c>
      <c r="D307" s="17" t="s">
        <v>47</v>
      </c>
      <c r="E307" s="17" t="s">
        <v>959</v>
      </c>
      <c r="F307" s="17" t="s">
        <v>981</v>
      </c>
      <c r="G307" s="39" t="s">
        <v>974</v>
      </c>
      <c r="H307" s="17" t="s">
        <v>982</v>
      </c>
    </row>
    <row r="308" spans="2:8" hidden="1" x14ac:dyDescent="0.25">
      <c r="B308" s="24">
        <v>3</v>
      </c>
      <c r="C308" s="25" t="s">
        <v>1272</v>
      </c>
      <c r="D308" s="8" t="s">
        <v>14</v>
      </c>
      <c r="E308" s="37" t="s">
        <v>974</v>
      </c>
      <c r="F308" s="8" t="s">
        <v>116</v>
      </c>
      <c r="G308" s="8" t="s">
        <v>116</v>
      </c>
      <c r="H308" s="8" t="s">
        <v>975</v>
      </c>
    </row>
    <row r="309" spans="2:8" hidden="1" x14ac:dyDescent="0.25">
      <c r="B309" s="24">
        <v>3</v>
      </c>
      <c r="C309" s="25" t="s">
        <v>1272</v>
      </c>
      <c r="D309" s="8" t="s">
        <v>26</v>
      </c>
      <c r="E309" s="37" t="s">
        <v>974</v>
      </c>
      <c r="F309" s="8" t="s">
        <v>116</v>
      </c>
      <c r="G309" s="8" t="s">
        <v>116</v>
      </c>
      <c r="H309" s="8" t="s">
        <v>977</v>
      </c>
    </row>
    <row r="310" spans="2:8" ht="30" hidden="1" x14ac:dyDescent="0.25">
      <c r="B310" s="24">
        <v>3</v>
      </c>
      <c r="C310" s="25" t="s">
        <v>1272</v>
      </c>
      <c r="D310" s="2" t="s">
        <v>5</v>
      </c>
      <c r="E310" s="2" t="s">
        <v>959</v>
      </c>
      <c r="F310" s="2" t="s">
        <v>960</v>
      </c>
      <c r="G310" s="2" t="s">
        <v>959</v>
      </c>
      <c r="H310" s="2" t="s">
        <v>961</v>
      </c>
    </row>
    <row r="311" spans="2:8" hidden="1" x14ac:dyDescent="0.25">
      <c r="B311" s="24">
        <v>3</v>
      </c>
      <c r="C311" s="25" t="s">
        <v>1272</v>
      </c>
      <c r="D311" s="2" t="s">
        <v>5</v>
      </c>
      <c r="E311" s="2" t="s">
        <v>959</v>
      </c>
      <c r="F311" s="2" t="s">
        <v>962</v>
      </c>
      <c r="G311" s="2" t="s">
        <v>959</v>
      </c>
      <c r="H311" s="35" t="s">
        <v>963</v>
      </c>
    </row>
    <row r="312" spans="2:8" hidden="1" x14ac:dyDescent="0.25">
      <c r="B312" s="24">
        <v>3</v>
      </c>
      <c r="C312" s="25" t="s">
        <v>1272</v>
      </c>
      <c r="D312" s="2" t="s">
        <v>5</v>
      </c>
      <c r="E312" s="2" t="s">
        <v>959</v>
      </c>
      <c r="F312" s="2" t="s">
        <v>964</v>
      </c>
      <c r="G312" s="2" t="s">
        <v>959</v>
      </c>
      <c r="H312" s="35" t="s">
        <v>963</v>
      </c>
    </row>
    <row r="313" spans="2:8" hidden="1" x14ac:dyDescent="0.25">
      <c r="B313" s="24">
        <v>3</v>
      </c>
      <c r="C313" s="25" t="s">
        <v>1272</v>
      </c>
      <c r="D313" s="2" t="s">
        <v>5</v>
      </c>
      <c r="E313" s="2" t="s">
        <v>959</v>
      </c>
      <c r="F313" s="2" t="s">
        <v>965</v>
      </c>
      <c r="G313" s="2" t="s">
        <v>959</v>
      </c>
      <c r="H313" s="35" t="s">
        <v>963</v>
      </c>
    </row>
    <row r="314" spans="2:8" ht="30" hidden="1" x14ac:dyDescent="0.25">
      <c r="B314" s="24">
        <v>3</v>
      </c>
      <c r="C314" s="25" t="s">
        <v>1272</v>
      </c>
      <c r="D314" s="2" t="s">
        <v>5</v>
      </c>
      <c r="E314" s="2" t="s">
        <v>959</v>
      </c>
      <c r="F314" s="2" t="s">
        <v>966</v>
      </c>
      <c r="G314" s="2" t="s">
        <v>959</v>
      </c>
      <c r="H314" s="2" t="s">
        <v>967</v>
      </c>
    </row>
    <row r="315" spans="2:8" ht="30" hidden="1" x14ac:dyDescent="0.25">
      <c r="B315" s="24">
        <v>3</v>
      </c>
      <c r="C315" s="25" t="s">
        <v>1272</v>
      </c>
      <c r="D315" s="2" t="s">
        <v>17</v>
      </c>
      <c r="E315" s="2" t="s">
        <v>959</v>
      </c>
      <c r="F315" s="2" t="s">
        <v>976</v>
      </c>
      <c r="G315" s="2" t="s">
        <v>959</v>
      </c>
      <c r="H315" s="2" t="s">
        <v>967</v>
      </c>
    </row>
    <row r="316" spans="2:8" ht="30" hidden="1" x14ac:dyDescent="0.25">
      <c r="B316" s="30">
        <v>12</v>
      </c>
      <c r="C316" s="43" t="s">
        <v>1276</v>
      </c>
      <c r="D316" s="17" t="s">
        <v>108</v>
      </c>
      <c r="E316" s="17" t="s">
        <v>959</v>
      </c>
      <c r="F316" s="17" t="s">
        <v>1005</v>
      </c>
      <c r="G316" s="39" t="s">
        <v>974</v>
      </c>
      <c r="H316" s="17" t="s">
        <v>978</v>
      </c>
    </row>
    <row r="317" spans="2:8" ht="30" hidden="1" x14ac:dyDescent="0.25">
      <c r="B317" s="30">
        <v>12</v>
      </c>
      <c r="C317" s="43" t="s">
        <v>1276</v>
      </c>
      <c r="D317" s="2" t="s">
        <v>108</v>
      </c>
      <c r="E317" s="2" t="s">
        <v>959</v>
      </c>
      <c r="F317" s="2" t="s">
        <v>1006</v>
      </c>
      <c r="G317" s="2" t="s">
        <v>959</v>
      </c>
      <c r="H317" s="35" t="s">
        <v>963</v>
      </c>
    </row>
    <row r="318" spans="2:8" ht="30" hidden="1" x14ac:dyDescent="0.25">
      <c r="B318" s="30">
        <v>12</v>
      </c>
      <c r="C318" s="43" t="s">
        <v>1276</v>
      </c>
      <c r="D318" s="17" t="s">
        <v>108</v>
      </c>
      <c r="E318" s="17" t="s">
        <v>959</v>
      </c>
      <c r="F318" s="17" t="s">
        <v>1007</v>
      </c>
      <c r="G318" s="39" t="s">
        <v>974</v>
      </c>
      <c r="H318" s="17" t="s">
        <v>978</v>
      </c>
    </row>
    <row r="319" spans="2:8" ht="30" hidden="1" x14ac:dyDescent="0.25">
      <c r="B319" s="30">
        <v>12</v>
      </c>
      <c r="C319" s="43" t="s">
        <v>1276</v>
      </c>
      <c r="D319" s="2" t="s">
        <v>108</v>
      </c>
      <c r="E319" s="2" t="s">
        <v>959</v>
      </c>
      <c r="F319" s="2" t="s">
        <v>1003</v>
      </c>
      <c r="G319" s="2" t="s">
        <v>959</v>
      </c>
      <c r="H319" s="2" t="s">
        <v>1008</v>
      </c>
    </row>
    <row r="320" spans="2:8" ht="30" hidden="1" x14ac:dyDescent="0.25">
      <c r="B320" s="30">
        <v>12</v>
      </c>
      <c r="C320" s="43" t="s">
        <v>1276</v>
      </c>
      <c r="D320" s="17" t="s">
        <v>126</v>
      </c>
      <c r="E320" s="17" t="s">
        <v>959</v>
      </c>
      <c r="F320" s="17" t="s">
        <v>1003</v>
      </c>
      <c r="G320" s="39" t="s">
        <v>974</v>
      </c>
      <c r="H320" s="17" t="s">
        <v>1009</v>
      </c>
    </row>
    <row r="321" spans="2:8" ht="30" hidden="1" x14ac:dyDescent="0.25">
      <c r="B321" s="30">
        <v>12</v>
      </c>
      <c r="C321" s="43" t="s">
        <v>1276</v>
      </c>
      <c r="D321" s="2" t="s">
        <v>114</v>
      </c>
      <c r="E321" s="2" t="s">
        <v>959</v>
      </c>
      <c r="F321" s="2" t="s">
        <v>1003</v>
      </c>
      <c r="G321" s="2" t="s">
        <v>959</v>
      </c>
      <c r="H321" s="2" t="s">
        <v>1008</v>
      </c>
    </row>
    <row r="322" spans="2:8" ht="45" hidden="1" x14ac:dyDescent="0.25">
      <c r="B322" s="30">
        <v>12</v>
      </c>
      <c r="C322" s="43" t="s">
        <v>1276</v>
      </c>
      <c r="D322" s="2" t="s">
        <v>102</v>
      </c>
      <c r="E322" s="2" t="s">
        <v>959</v>
      </c>
      <c r="F322" s="2" t="s">
        <v>1003</v>
      </c>
      <c r="G322" s="2" t="s">
        <v>959</v>
      </c>
      <c r="H322" s="2" t="s">
        <v>1004</v>
      </c>
    </row>
    <row r="323" spans="2:8" hidden="1" x14ac:dyDescent="0.25">
      <c r="B323" s="30">
        <v>12</v>
      </c>
      <c r="C323" s="43" t="s">
        <v>1276</v>
      </c>
      <c r="D323" s="8" t="s">
        <v>111</v>
      </c>
      <c r="E323" s="37" t="s">
        <v>974</v>
      </c>
      <c r="F323" s="8" t="s">
        <v>116</v>
      </c>
      <c r="G323" s="8" t="s">
        <v>116</v>
      </c>
      <c r="H323" s="8" t="s">
        <v>977</v>
      </c>
    </row>
    <row r="324" spans="2:8" ht="30" hidden="1" x14ac:dyDescent="0.25">
      <c r="B324" s="30">
        <v>12</v>
      </c>
      <c r="C324" s="43" t="s">
        <v>1276</v>
      </c>
      <c r="D324" s="17" t="s">
        <v>117</v>
      </c>
      <c r="E324" s="17" t="s">
        <v>959</v>
      </c>
      <c r="F324" s="17" t="s">
        <v>1003</v>
      </c>
      <c r="G324" s="39" t="s">
        <v>974</v>
      </c>
      <c r="H324" s="17" t="s">
        <v>1009</v>
      </c>
    </row>
    <row r="325" spans="2:8" hidden="1" x14ac:dyDescent="0.25">
      <c r="B325" s="30">
        <v>12</v>
      </c>
      <c r="C325" s="43" t="s">
        <v>1276</v>
      </c>
      <c r="D325" s="8" t="s">
        <v>129</v>
      </c>
      <c r="E325" s="37" t="s">
        <v>974</v>
      </c>
      <c r="F325" s="8" t="s">
        <v>116</v>
      </c>
      <c r="G325" s="8" t="s">
        <v>116</v>
      </c>
      <c r="H325" s="8" t="s">
        <v>977</v>
      </c>
    </row>
    <row r="326" spans="2:8" hidden="1" x14ac:dyDescent="0.25">
      <c r="B326" s="30">
        <v>12</v>
      </c>
      <c r="C326" s="43" t="s">
        <v>1276</v>
      </c>
      <c r="D326" s="8" t="s">
        <v>120</v>
      </c>
      <c r="E326" s="37" t="s">
        <v>974</v>
      </c>
      <c r="F326" s="8" t="s">
        <v>116</v>
      </c>
      <c r="G326" s="8" t="s">
        <v>116</v>
      </c>
      <c r="H326" s="8" t="s">
        <v>978</v>
      </c>
    </row>
    <row r="327" spans="2:8" ht="30" hidden="1" x14ac:dyDescent="0.25">
      <c r="B327" s="30">
        <v>12</v>
      </c>
      <c r="C327" s="43" t="s">
        <v>1276</v>
      </c>
      <c r="D327" s="17" t="s">
        <v>123</v>
      </c>
      <c r="E327" s="17" t="s">
        <v>959</v>
      </c>
      <c r="F327" s="17" t="s">
        <v>1010</v>
      </c>
      <c r="G327" s="39" t="s">
        <v>974</v>
      </c>
      <c r="H327" s="17" t="s">
        <v>997</v>
      </c>
    </row>
    <row r="328" spans="2:8" hidden="1" x14ac:dyDescent="0.25">
      <c r="B328" s="30">
        <v>12</v>
      </c>
      <c r="C328" s="43" t="s">
        <v>1276</v>
      </c>
      <c r="D328" s="17" t="s">
        <v>132</v>
      </c>
      <c r="E328" s="17" t="s">
        <v>959</v>
      </c>
      <c r="F328" s="17" t="s">
        <v>1011</v>
      </c>
      <c r="G328" s="39" t="s">
        <v>974</v>
      </c>
      <c r="H328" s="17" t="s">
        <v>978</v>
      </c>
    </row>
    <row r="329" spans="2:8" hidden="1" x14ac:dyDescent="0.25">
      <c r="B329" s="30">
        <v>12</v>
      </c>
      <c r="C329" s="43" t="s">
        <v>1276</v>
      </c>
      <c r="D329" s="8" t="s">
        <v>105</v>
      </c>
      <c r="E329" s="37" t="s">
        <v>974</v>
      </c>
      <c r="F329" s="8" t="s">
        <v>116</v>
      </c>
      <c r="G329" s="8" t="s">
        <v>116</v>
      </c>
      <c r="H329" s="8" t="s">
        <v>1001</v>
      </c>
    </row>
    <row r="330" spans="2:8" hidden="1" x14ac:dyDescent="0.25">
      <c r="B330" s="30">
        <v>25</v>
      </c>
      <c r="C330" s="43" t="s">
        <v>1282</v>
      </c>
      <c r="D330" s="8" t="s">
        <v>331</v>
      </c>
      <c r="E330" s="37" t="s">
        <v>974</v>
      </c>
      <c r="F330" s="8" t="s">
        <v>116</v>
      </c>
      <c r="G330" s="8" t="s">
        <v>116</v>
      </c>
      <c r="H330" s="8" t="s">
        <v>1001</v>
      </c>
    </row>
    <row r="331" spans="2:8" hidden="1" x14ac:dyDescent="0.25">
      <c r="B331" s="30">
        <v>25</v>
      </c>
      <c r="C331" s="43" t="s">
        <v>1282</v>
      </c>
      <c r="D331" s="8" t="s">
        <v>142</v>
      </c>
      <c r="E331" s="37" t="s">
        <v>974</v>
      </c>
      <c r="F331" s="8" t="s">
        <v>116</v>
      </c>
      <c r="G331" s="8" t="s">
        <v>116</v>
      </c>
      <c r="H331" s="8" t="s">
        <v>997</v>
      </c>
    </row>
    <row r="332" spans="2:8" hidden="1" x14ac:dyDescent="0.25">
      <c r="B332" s="30">
        <v>25</v>
      </c>
      <c r="C332" s="25" t="s">
        <v>1282</v>
      </c>
      <c r="D332" s="2" t="s">
        <v>307</v>
      </c>
      <c r="E332" s="2" t="s">
        <v>959</v>
      </c>
      <c r="F332" s="2" t="s">
        <v>1071</v>
      </c>
      <c r="G332" s="2" t="s">
        <v>959</v>
      </c>
      <c r="H332" s="35" t="s">
        <v>963</v>
      </c>
    </row>
    <row r="333" spans="2:8" hidden="1" x14ac:dyDescent="0.25">
      <c r="B333" s="30">
        <v>25</v>
      </c>
      <c r="C333" s="25" t="s">
        <v>1282</v>
      </c>
      <c r="D333" s="2" t="s">
        <v>307</v>
      </c>
      <c r="E333" s="2" t="s">
        <v>959</v>
      </c>
      <c r="F333" s="2" t="s">
        <v>1072</v>
      </c>
      <c r="G333" s="2" t="s">
        <v>959</v>
      </c>
      <c r="H333" s="35" t="s">
        <v>963</v>
      </c>
    </row>
    <row r="334" spans="2:8" hidden="1" x14ac:dyDescent="0.25">
      <c r="B334" s="30">
        <v>25</v>
      </c>
      <c r="C334" s="25" t="s">
        <v>1282</v>
      </c>
      <c r="D334" s="8" t="s">
        <v>334</v>
      </c>
      <c r="E334" s="37" t="s">
        <v>974</v>
      </c>
      <c r="F334" s="8" t="s">
        <v>116</v>
      </c>
      <c r="G334" s="8" t="s">
        <v>116</v>
      </c>
      <c r="H334" s="8" t="s">
        <v>978</v>
      </c>
    </row>
    <row r="335" spans="2:8" hidden="1" x14ac:dyDescent="0.25">
      <c r="B335" s="30">
        <v>25</v>
      </c>
      <c r="C335" s="43" t="s">
        <v>1282</v>
      </c>
      <c r="D335" s="8" t="s">
        <v>326</v>
      </c>
      <c r="E335" s="37" t="s">
        <v>974</v>
      </c>
      <c r="F335" s="8" t="s">
        <v>116</v>
      </c>
      <c r="G335" s="8" t="s">
        <v>116</v>
      </c>
      <c r="H335" s="8" t="s">
        <v>977</v>
      </c>
    </row>
    <row r="336" spans="2:8" hidden="1" x14ac:dyDescent="0.25">
      <c r="B336" s="30">
        <v>25</v>
      </c>
      <c r="C336" s="25" t="s">
        <v>1282</v>
      </c>
      <c r="D336" s="2" t="s">
        <v>323</v>
      </c>
      <c r="E336" s="2" t="s">
        <v>959</v>
      </c>
      <c r="F336" s="2" t="s">
        <v>1070</v>
      </c>
      <c r="G336" s="2" t="s">
        <v>959</v>
      </c>
      <c r="H336" s="35" t="s">
        <v>963</v>
      </c>
    </row>
    <row r="337" spans="2:8" hidden="1" x14ac:dyDescent="0.25">
      <c r="B337" s="24">
        <v>80</v>
      </c>
      <c r="C337" s="25" t="s">
        <v>1308</v>
      </c>
      <c r="D337" s="17" t="s">
        <v>697</v>
      </c>
      <c r="E337" s="17" t="s">
        <v>959</v>
      </c>
      <c r="F337" s="17" t="s">
        <v>1244</v>
      </c>
      <c r="G337" s="39" t="s">
        <v>974</v>
      </c>
      <c r="H337" s="17" t="s">
        <v>978</v>
      </c>
    </row>
    <row r="338" spans="2:8" hidden="1" x14ac:dyDescent="0.25">
      <c r="B338" s="24">
        <v>42</v>
      </c>
      <c r="C338" s="25" t="s">
        <v>1295</v>
      </c>
      <c r="D338" s="17" t="s">
        <v>689</v>
      </c>
      <c r="E338" s="17" t="s">
        <v>959</v>
      </c>
      <c r="F338" s="17" t="s">
        <v>1200</v>
      </c>
      <c r="G338" s="39" t="s">
        <v>974</v>
      </c>
      <c r="H338" s="17" t="s">
        <v>1001</v>
      </c>
    </row>
    <row r="339" spans="2:8" hidden="1" x14ac:dyDescent="0.25">
      <c r="B339" s="24">
        <v>42</v>
      </c>
      <c r="C339" s="25" t="s">
        <v>1295</v>
      </c>
      <c r="D339" s="17" t="s">
        <v>689</v>
      </c>
      <c r="E339" s="17" t="s">
        <v>959</v>
      </c>
      <c r="F339" s="17" t="s">
        <v>1201</v>
      </c>
      <c r="G339" s="39" t="s">
        <v>974</v>
      </c>
      <c r="H339" s="17" t="s">
        <v>1001</v>
      </c>
    </row>
    <row r="340" spans="2:8" hidden="1" x14ac:dyDescent="0.25">
      <c r="B340" s="24">
        <v>42</v>
      </c>
      <c r="C340" s="25" t="s">
        <v>1295</v>
      </c>
      <c r="D340" s="8" t="s">
        <v>681</v>
      </c>
      <c r="E340" s="37" t="s">
        <v>974</v>
      </c>
      <c r="F340" s="8" t="s">
        <v>116</v>
      </c>
      <c r="G340" s="8" t="s">
        <v>116</v>
      </c>
      <c r="H340" s="8" t="s">
        <v>977</v>
      </c>
    </row>
    <row r="341" spans="2:8" ht="15.75" hidden="1" thickBot="1" x14ac:dyDescent="0.3">
      <c r="B341" s="26">
        <v>42</v>
      </c>
      <c r="C341" s="27" t="s">
        <v>1295</v>
      </c>
      <c r="D341" s="16" t="s">
        <v>639</v>
      </c>
      <c r="E341" s="16" t="s">
        <v>959</v>
      </c>
      <c r="F341" s="16" t="s">
        <v>1195</v>
      </c>
      <c r="G341" s="40" t="s">
        <v>974</v>
      </c>
      <c r="H341" s="16" t="s">
        <v>963</v>
      </c>
    </row>
    <row r="342" spans="2:8" hidden="1" x14ac:dyDescent="0.25">
      <c r="B342" s="28">
        <v>42</v>
      </c>
      <c r="C342" s="34" t="s">
        <v>1295</v>
      </c>
      <c r="D342" s="9" t="s">
        <v>675</v>
      </c>
      <c r="E342" s="38" t="s">
        <v>974</v>
      </c>
      <c r="F342" s="9" t="s">
        <v>116</v>
      </c>
      <c r="G342" s="9" t="s">
        <v>116</v>
      </c>
      <c r="H342" s="9" t="s">
        <v>977</v>
      </c>
    </row>
    <row r="343" spans="2:8" hidden="1" x14ac:dyDescent="0.25">
      <c r="B343" s="24">
        <v>42</v>
      </c>
      <c r="C343" s="25" t="s">
        <v>1295</v>
      </c>
      <c r="D343" s="8" t="s">
        <v>692</v>
      </c>
      <c r="E343" s="37" t="s">
        <v>974</v>
      </c>
      <c r="F343" s="8" t="s">
        <v>116</v>
      </c>
      <c r="G343" s="8" t="s">
        <v>116</v>
      </c>
      <c r="H343" s="8" t="s">
        <v>978</v>
      </c>
    </row>
    <row r="344" spans="2:8" hidden="1" x14ac:dyDescent="0.25">
      <c r="B344" s="24">
        <v>42</v>
      </c>
      <c r="C344" s="25" t="s">
        <v>1295</v>
      </c>
      <c r="D344" s="8" t="s">
        <v>678</v>
      </c>
      <c r="E344" s="37" t="s">
        <v>974</v>
      </c>
      <c r="F344" s="8" t="s">
        <v>116</v>
      </c>
      <c r="G344" s="8" t="s">
        <v>116</v>
      </c>
      <c r="H344" s="8" t="s">
        <v>977</v>
      </c>
    </row>
    <row r="345" spans="2:8" hidden="1" x14ac:dyDescent="0.25">
      <c r="B345" s="24">
        <v>42</v>
      </c>
      <c r="C345" s="25" t="s">
        <v>1295</v>
      </c>
      <c r="D345" s="8" t="s">
        <v>684</v>
      </c>
      <c r="E345" s="37" t="s">
        <v>974</v>
      </c>
      <c r="F345" s="8" t="s">
        <v>116</v>
      </c>
      <c r="G345" s="8" t="s">
        <v>116</v>
      </c>
      <c r="H345" s="8" t="s">
        <v>977</v>
      </c>
    </row>
    <row r="346" spans="2:8" ht="60" hidden="1" x14ac:dyDescent="0.25">
      <c r="B346" s="24">
        <v>42</v>
      </c>
      <c r="C346" s="25" t="s">
        <v>1295</v>
      </c>
      <c r="D346" s="2" t="s">
        <v>469</v>
      </c>
      <c r="E346" s="2" t="s">
        <v>959</v>
      </c>
      <c r="F346" s="2" t="s">
        <v>1196</v>
      </c>
      <c r="G346" s="2" t="s">
        <v>959</v>
      </c>
      <c r="H346" s="35" t="s">
        <v>1197</v>
      </c>
    </row>
    <row r="347" spans="2:8" hidden="1" x14ac:dyDescent="0.25">
      <c r="B347" s="24">
        <v>42</v>
      </c>
      <c r="C347" s="25" t="s">
        <v>1295</v>
      </c>
      <c r="D347" s="2" t="s">
        <v>469</v>
      </c>
      <c r="E347" s="2" t="s">
        <v>959</v>
      </c>
      <c r="F347" s="2" t="s">
        <v>1198</v>
      </c>
      <c r="G347" s="2" t="s">
        <v>959</v>
      </c>
      <c r="H347" s="35" t="s">
        <v>963</v>
      </c>
    </row>
    <row r="348" spans="2:8" hidden="1" x14ac:dyDescent="0.25">
      <c r="B348" s="24">
        <v>42</v>
      </c>
      <c r="C348" s="25" t="s">
        <v>1295</v>
      </c>
      <c r="D348" s="2" t="s">
        <v>469</v>
      </c>
      <c r="E348" s="2" t="s">
        <v>959</v>
      </c>
      <c r="F348" s="2" t="s">
        <v>1199</v>
      </c>
      <c r="G348" s="2" t="s">
        <v>959</v>
      </c>
      <c r="H348" s="35" t="s">
        <v>963</v>
      </c>
    </row>
    <row r="349" spans="2:8" ht="30" hidden="1" x14ac:dyDescent="0.25">
      <c r="B349" s="24">
        <v>28</v>
      </c>
      <c r="C349" s="25" t="s">
        <v>1285</v>
      </c>
      <c r="D349" s="2" t="s">
        <v>472</v>
      </c>
      <c r="E349" s="2" t="s">
        <v>959</v>
      </c>
      <c r="F349" s="2" t="s">
        <v>1117</v>
      </c>
      <c r="G349" s="2" t="s">
        <v>959</v>
      </c>
      <c r="H349" s="35" t="s">
        <v>963</v>
      </c>
    </row>
    <row r="350" spans="2:8" ht="30" hidden="1" x14ac:dyDescent="0.25">
      <c r="B350" s="24">
        <v>28</v>
      </c>
      <c r="C350" s="25" t="s">
        <v>1285</v>
      </c>
      <c r="D350" s="2" t="s">
        <v>472</v>
      </c>
      <c r="E350" s="2" t="s">
        <v>959</v>
      </c>
      <c r="F350" s="2" t="s">
        <v>1118</v>
      </c>
      <c r="G350" s="2" t="s">
        <v>959</v>
      </c>
      <c r="H350" s="35" t="s">
        <v>963</v>
      </c>
    </row>
    <row r="351" spans="2:8" hidden="1" x14ac:dyDescent="0.25">
      <c r="B351" s="24">
        <v>28</v>
      </c>
      <c r="C351" s="25" t="s">
        <v>1285</v>
      </c>
      <c r="D351" s="2" t="s">
        <v>472</v>
      </c>
      <c r="E351" s="2" t="s">
        <v>959</v>
      </c>
      <c r="F351" s="2" t="s">
        <v>1507</v>
      </c>
      <c r="G351" s="2" t="s">
        <v>959</v>
      </c>
      <c r="H351" s="35" t="s">
        <v>963</v>
      </c>
    </row>
    <row r="352" spans="2:8" hidden="1" x14ac:dyDescent="0.25">
      <c r="B352" s="24">
        <v>28</v>
      </c>
      <c r="C352" s="25" t="s">
        <v>1285</v>
      </c>
      <c r="D352" s="8" t="s">
        <v>490</v>
      </c>
      <c r="E352" s="37" t="s">
        <v>974</v>
      </c>
      <c r="F352" s="8" t="s">
        <v>116</v>
      </c>
      <c r="G352" s="8" t="s">
        <v>116</v>
      </c>
      <c r="H352" s="8" t="s">
        <v>978</v>
      </c>
    </row>
    <row r="353" spans="2:8" hidden="1" x14ac:dyDescent="0.25">
      <c r="B353" s="24">
        <v>28</v>
      </c>
      <c r="C353" s="25" t="s">
        <v>1285</v>
      </c>
      <c r="D353" s="17" t="s">
        <v>211</v>
      </c>
      <c r="E353" s="17" t="s">
        <v>959</v>
      </c>
      <c r="F353" s="17" t="s">
        <v>1137</v>
      </c>
      <c r="G353" s="39" t="s">
        <v>974</v>
      </c>
      <c r="H353" s="17" t="s">
        <v>978</v>
      </c>
    </row>
    <row r="354" spans="2:8" ht="30" hidden="1" x14ac:dyDescent="0.25">
      <c r="B354" s="24">
        <v>28</v>
      </c>
      <c r="C354" s="25" t="s">
        <v>1285</v>
      </c>
      <c r="D354" s="17" t="s">
        <v>483</v>
      </c>
      <c r="E354" s="17" t="s">
        <v>959</v>
      </c>
      <c r="F354" s="17" t="s">
        <v>1126</v>
      </c>
      <c r="G354" s="39" t="s">
        <v>974</v>
      </c>
      <c r="H354" s="17" t="s">
        <v>980</v>
      </c>
    </row>
    <row r="355" spans="2:8" hidden="1" x14ac:dyDescent="0.25">
      <c r="B355" s="24">
        <v>28</v>
      </c>
      <c r="C355" s="25" t="s">
        <v>1285</v>
      </c>
      <c r="D355" s="17" t="s">
        <v>506</v>
      </c>
      <c r="E355" s="17" t="s">
        <v>959</v>
      </c>
      <c r="F355" s="17" t="s">
        <v>1133</v>
      </c>
      <c r="G355" s="39" t="s">
        <v>974</v>
      </c>
      <c r="H355" s="17" t="s">
        <v>1131</v>
      </c>
    </row>
    <row r="356" spans="2:8" hidden="1" x14ac:dyDescent="0.25">
      <c r="B356" s="24">
        <v>28</v>
      </c>
      <c r="C356" s="25" t="s">
        <v>1285</v>
      </c>
      <c r="D356" s="17" t="s">
        <v>208</v>
      </c>
      <c r="E356" s="17" t="s">
        <v>959</v>
      </c>
      <c r="F356" s="17" t="s">
        <v>1136</v>
      </c>
      <c r="G356" s="39" t="s">
        <v>974</v>
      </c>
      <c r="H356" s="17" t="s">
        <v>978</v>
      </c>
    </row>
    <row r="357" spans="2:8" ht="15.75" hidden="1" thickBot="1" x14ac:dyDescent="0.3">
      <c r="B357" s="26">
        <v>28</v>
      </c>
      <c r="C357" s="27" t="s">
        <v>1285</v>
      </c>
      <c r="D357" s="15" t="s">
        <v>497</v>
      </c>
      <c r="E357" s="47" t="s">
        <v>974</v>
      </c>
      <c r="F357" s="15" t="s">
        <v>116</v>
      </c>
      <c r="G357" s="15" t="s">
        <v>116</v>
      </c>
      <c r="H357" s="15" t="s">
        <v>977</v>
      </c>
    </row>
    <row r="358" spans="2:8" ht="16.5" hidden="1" thickTop="1" thickBot="1" x14ac:dyDescent="0.3">
      <c r="B358" s="33">
        <v>28</v>
      </c>
      <c r="C358" s="46" t="s">
        <v>1285</v>
      </c>
      <c r="D358" s="13" t="s">
        <v>307</v>
      </c>
      <c r="E358" s="13" t="s">
        <v>959</v>
      </c>
      <c r="F358" s="13" t="s">
        <v>1129</v>
      </c>
      <c r="G358" s="13" t="s">
        <v>959</v>
      </c>
      <c r="H358" s="49" t="s">
        <v>963</v>
      </c>
    </row>
    <row r="359" spans="2:8" hidden="1" x14ac:dyDescent="0.25">
      <c r="B359" s="28">
        <v>28</v>
      </c>
      <c r="C359" s="34" t="s">
        <v>1285</v>
      </c>
      <c r="D359" s="18" t="s">
        <v>515</v>
      </c>
      <c r="E359" s="18" t="s">
        <v>959</v>
      </c>
      <c r="F359" s="18" t="s">
        <v>1139</v>
      </c>
      <c r="G359" s="48" t="s">
        <v>974</v>
      </c>
      <c r="H359" s="18" t="s">
        <v>978</v>
      </c>
    </row>
    <row r="360" spans="2:8" ht="30" hidden="1" x14ac:dyDescent="0.25">
      <c r="B360" s="24">
        <v>28</v>
      </c>
      <c r="C360" s="25" t="s">
        <v>1285</v>
      </c>
      <c r="D360" s="2" t="s">
        <v>466</v>
      </c>
      <c r="E360" s="2" t="s">
        <v>959</v>
      </c>
      <c r="F360" s="2" t="s">
        <v>1508</v>
      </c>
      <c r="G360" s="2" t="s">
        <v>959</v>
      </c>
      <c r="H360" s="35" t="s">
        <v>963</v>
      </c>
    </row>
    <row r="361" spans="2:8" ht="30" hidden="1" x14ac:dyDescent="0.25">
      <c r="B361" s="24">
        <v>28</v>
      </c>
      <c r="C361" s="25" t="s">
        <v>1285</v>
      </c>
      <c r="D361" s="17" t="s">
        <v>466</v>
      </c>
      <c r="E361" s="17" t="s">
        <v>959</v>
      </c>
      <c r="F361" s="17" t="s">
        <v>1129</v>
      </c>
      <c r="G361" s="39" t="s">
        <v>974</v>
      </c>
      <c r="H361" s="17" t="s">
        <v>980</v>
      </c>
    </row>
    <row r="362" spans="2:8" ht="30.75" hidden="1" thickBot="1" x14ac:dyDescent="0.3">
      <c r="B362" s="26">
        <v>28</v>
      </c>
      <c r="C362" s="27" t="s">
        <v>1285</v>
      </c>
      <c r="D362" s="16" t="s">
        <v>509</v>
      </c>
      <c r="E362" s="16" t="s">
        <v>959</v>
      </c>
      <c r="F362" s="16" t="s">
        <v>1135</v>
      </c>
      <c r="G362" s="40" t="s">
        <v>974</v>
      </c>
      <c r="H362" s="16" t="s">
        <v>978</v>
      </c>
    </row>
    <row r="363" spans="2:8" ht="31.5" hidden="1" thickTop="1" thickBot="1" x14ac:dyDescent="0.3">
      <c r="B363" s="33">
        <v>28</v>
      </c>
      <c r="C363" s="46" t="s">
        <v>1285</v>
      </c>
      <c r="D363" s="13" t="s">
        <v>233</v>
      </c>
      <c r="E363" s="13" t="s">
        <v>959</v>
      </c>
      <c r="F363" s="13" t="s">
        <v>1127</v>
      </c>
      <c r="G363" s="13" t="s">
        <v>959</v>
      </c>
      <c r="H363" s="49" t="s">
        <v>963</v>
      </c>
    </row>
    <row r="364" spans="2:8" ht="30" hidden="1" x14ac:dyDescent="0.25">
      <c r="B364" s="28">
        <v>28</v>
      </c>
      <c r="C364" s="34" t="s">
        <v>1285</v>
      </c>
      <c r="D364" s="18" t="s">
        <v>488</v>
      </c>
      <c r="E364" s="18" t="s">
        <v>959</v>
      </c>
      <c r="F364" s="18" t="s">
        <v>1123</v>
      </c>
      <c r="G364" s="48" t="s">
        <v>974</v>
      </c>
      <c r="H364" s="18" t="s">
        <v>982</v>
      </c>
    </row>
    <row r="365" spans="2:8" ht="30" hidden="1" x14ac:dyDescent="0.25">
      <c r="B365" s="24">
        <v>28</v>
      </c>
      <c r="C365" s="25" t="s">
        <v>1285</v>
      </c>
      <c r="D365" s="17" t="s">
        <v>488</v>
      </c>
      <c r="E365" s="17" t="s">
        <v>959</v>
      </c>
      <c r="F365" s="17" t="s">
        <v>1124</v>
      </c>
      <c r="G365" s="39" t="s">
        <v>974</v>
      </c>
      <c r="H365" s="17" t="s">
        <v>982</v>
      </c>
    </row>
    <row r="366" spans="2:8" hidden="1" x14ac:dyDescent="0.25">
      <c r="B366" s="24">
        <v>28</v>
      </c>
      <c r="C366" s="25" t="s">
        <v>1285</v>
      </c>
      <c r="D366" s="8" t="s">
        <v>500</v>
      </c>
      <c r="E366" s="37" t="s">
        <v>974</v>
      </c>
      <c r="F366" s="8" t="s">
        <v>116</v>
      </c>
      <c r="G366" s="8" t="s">
        <v>116</v>
      </c>
      <c r="H366" s="8" t="s">
        <v>977</v>
      </c>
    </row>
    <row r="367" spans="2:8" ht="30.75" hidden="1" thickBot="1" x14ac:dyDescent="0.3">
      <c r="B367" s="26">
        <v>28</v>
      </c>
      <c r="C367" s="27" t="s">
        <v>1285</v>
      </c>
      <c r="D367" s="16" t="s">
        <v>481</v>
      </c>
      <c r="E367" s="16" t="s">
        <v>959</v>
      </c>
      <c r="F367" s="16" t="s">
        <v>1123</v>
      </c>
      <c r="G367" s="40" t="s">
        <v>974</v>
      </c>
      <c r="H367" s="16" t="s">
        <v>982</v>
      </c>
    </row>
    <row r="368" spans="2:8" ht="31.5" hidden="1" thickTop="1" thickBot="1" x14ac:dyDescent="0.3">
      <c r="B368" s="33">
        <v>28</v>
      </c>
      <c r="C368" s="46" t="s">
        <v>1285</v>
      </c>
      <c r="D368" s="21" t="s">
        <v>481</v>
      </c>
      <c r="E368" s="21" t="s">
        <v>959</v>
      </c>
      <c r="F368" s="21" t="s">
        <v>1124</v>
      </c>
      <c r="G368" s="51" t="s">
        <v>974</v>
      </c>
      <c r="H368" s="21" t="s">
        <v>982</v>
      </c>
    </row>
    <row r="369" spans="2:8" hidden="1" x14ac:dyDescent="0.25">
      <c r="B369" s="28">
        <v>28</v>
      </c>
      <c r="C369" s="34" t="s">
        <v>1285</v>
      </c>
      <c r="D369" s="18" t="s">
        <v>481</v>
      </c>
      <c r="E369" s="18" t="s">
        <v>959</v>
      </c>
      <c r="F369" s="18" t="s">
        <v>1125</v>
      </c>
      <c r="G369" s="48" t="s">
        <v>974</v>
      </c>
      <c r="H369" s="18" t="s">
        <v>975</v>
      </c>
    </row>
    <row r="370" spans="2:8" ht="15.75" hidden="1" thickBot="1" x14ac:dyDescent="0.3">
      <c r="B370" s="26">
        <v>28</v>
      </c>
      <c r="C370" s="27" t="s">
        <v>1285</v>
      </c>
      <c r="D370" s="10" t="s">
        <v>475</v>
      </c>
      <c r="E370" s="10" t="s">
        <v>959</v>
      </c>
      <c r="F370" s="10" t="s">
        <v>1125</v>
      </c>
      <c r="G370" s="10" t="s">
        <v>959</v>
      </c>
      <c r="H370" s="20" t="s">
        <v>963</v>
      </c>
    </row>
    <row r="371" spans="2:8" hidden="1" x14ac:dyDescent="0.25">
      <c r="B371" s="28">
        <v>28</v>
      </c>
      <c r="C371" s="34" t="s">
        <v>1285</v>
      </c>
      <c r="D371" s="9" t="s">
        <v>494</v>
      </c>
      <c r="E371" s="38" t="s">
        <v>974</v>
      </c>
      <c r="F371" s="9" t="s">
        <v>116</v>
      </c>
      <c r="G371" s="9" t="s">
        <v>116</v>
      </c>
      <c r="H371" s="9" t="s">
        <v>977</v>
      </c>
    </row>
    <row r="372" spans="2:8" hidden="1" x14ac:dyDescent="0.25">
      <c r="B372" s="24">
        <v>28</v>
      </c>
      <c r="C372" s="25" t="s">
        <v>1285</v>
      </c>
      <c r="D372" s="8" t="s">
        <v>166</v>
      </c>
      <c r="E372" s="37" t="s">
        <v>974</v>
      </c>
      <c r="F372" s="8" t="s">
        <v>116</v>
      </c>
      <c r="G372" s="8" t="s">
        <v>116</v>
      </c>
      <c r="H372" s="8" t="s">
        <v>977</v>
      </c>
    </row>
    <row r="373" spans="2:8" ht="30" hidden="1" x14ac:dyDescent="0.25">
      <c r="B373" s="24">
        <v>28</v>
      </c>
      <c r="C373" s="25" t="s">
        <v>1285</v>
      </c>
      <c r="D373" s="17" t="s">
        <v>503</v>
      </c>
      <c r="E373" s="17" t="s">
        <v>959</v>
      </c>
      <c r="F373" s="17" t="s">
        <v>1130</v>
      </c>
      <c r="G373" s="39" t="s">
        <v>974</v>
      </c>
      <c r="H373" s="17" t="s">
        <v>1131</v>
      </c>
    </row>
    <row r="374" spans="2:8" ht="30" hidden="1" x14ac:dyDescent="0.25">
      <c r="B374" s="24">
        <v>28</v>
      </c>
      <c r="C374" s="25" t="s">
        <v>1285</v>
      </c>
      <c r="D374" s="17" t="s">
        <v>503</v>
      </c>
      <c r="E374" s="17" t="s">
        <v>959</v>
      </c>
      <c r="F374" s="17" t="s">
        <v>1132</v>
      </c>
      <c r="G374" s="39" t="s">
        <v>974</v>
      </c>
      <c r="H374" s="17" t="s">
        <v>1131</v>
      </c>
    </row>
    <row r="375" spans="2:8" ht="30" hidden="1" x14ac:dyDescent="0.25">
      <c r="B375" s="24">
        <v>28</v>
      </c>
      <c r="C375" s="25" t="s">
        <v>1285</v>
      </c>
      <c r="D375" s="17" t="s">
        <v>418</v>
      </c>
      <c r="E375" s="17" t="s">
        <v>959</v>
      </c>
      <c r="F375" s="17" t="s">
        <v>1134</v>
      </c>
      <c r="G375" s="39" t="s">
        <v>974</v>
      </c>
      <c r="H375" s="17" t="s">
        <v>978</v>
      </c>
    </row>
    <row r="376" spans="2:8" ht="30" hidden="1" x14ac:dyDescent="0.25">
      <c r="B376" s="24">
        <v>28</v>
      </c>
      <c r="C376" s="25" t="s">
        <v>1285</v>
      </c>
      <c r="D376" s="2" t="s">
        <v>469</v>
      </c>
      <c r="E376" s="2" t="s">
        <v>959</v>
      </c>
      <c r="F376" s="2" t="s">
        <v>1119</v>
      </c>
      <c r="G376" s="2" t="s">
        <v>959</v>
      </c>
      <c r="H376" s="35" t="s">
        <v>963</v>
      </c>
    </row>
    <row r="377" spans="2:8" ht="30" hidden="1" x14ac:dyDescent="0.25">
      <c r="B377" s="24">
        <v>28</v>
      </c>
      <c r="C377" s="25" t="s">
        <v>1285</v>
      </c>
      <c r="D377" s="2" t="s">
        <v>469</v>
      </c>
      <c r="E377" s="2" t="s">
        <v>959</v>
      </c>
      <c r="F377" s="2" t="s">
        <v>1120</v>
      </c>
      <c r="G377" s="2" t="s">
        <v>959</v>
      </c>
      <c r="H377" s="35" t="s">
        <v>963</v>
      </c>
    </row>
    <row r="378" spans="2:8" ht="30" hidden="1" x14ac:dyDescent="0.25">
      <c r="B378" s="24">
        <v>28</v>
      </c>
      <c r="C378" s="25" t="s">
        <v>1285</v>
      </c>
      <c r="D378" s="2" t="s">
        <v>469</v>
      </c>
      <c r="E378" s="2" t="s">
        <v>959</v>
      </c>
      <c r="F378" s="2" t="s">
        <v>1121</v>
      </c>
      <c r="G378" s="2" t="s">
        <v>959</v>
      </c>
      <c r="H378" s="35" t="s">
        <v>963</v>
      </c>
    </row>
    <row r="379" spans="2:8" ht="30" hidden="1" x14ac:dyDescent="0.25">
      <c r="B379" s="24">
        <v>28</v>
      </c>
      <c r="C379" s="25" t="s">
        <v>1285</v>
      </c>
      <c r="D379" s="2" t="s">
        <v>469</v>
      </c>
      <c r="E379" s="2" t="s">
        <v>959</v>
      </c>
      <c r="F379" s="2" t="s">
        <v>1122</v>
      </c>
      <c r="G379" s="2" t="s">
        <v>959</v>
      </c>
      <c r="H379" s="35" t="s">
        <v>963</v>
      </c>
    </row>
    <row r="380" spans="2:8" hidden="1" x14ac:dyDescent="0.25">
      <c r="B380" s="24">
        <v>28</v>
      </c>
      <c r="C380" s="25" t="s">
        <v>1285</v>
      </c>
      <c r="D380" s="17" t="s">
        <v>512</v>
      </c>
      <c r="E380" s="17" t="s">
        <v>959</v>
      </c>
      <c r="F380" s="17" t="s">
        <v>1138</v>
      </c>
      <c r="G380" s="39" t="s">
        <v>974</v>
      </c>
      <c r="H380" s="17" t="s">
        <v>978</v>
      </c>
    </row>
    <row r="381" spans="2:8" ht="15.75" hidden="1" thickBot="1" x14ac:dyDescent="0.3">
      <c r="B381" s="31">
        <v>41</v>
      </c>
      <c r="C381" s="27" t="s">
        <v>1294</v>
      </c>
      <c r="D381" s="16" t="s">
        <v>659</v>
      </c>
      <c r="E381" s="16" t="s">
        <v>959</v>
      </c>
      <c r="F381" s="16" t="s">
        <v>1189</v>
      </c>
      <c r="G381" s="40" t="s">
        <v>974</v>
      </c>
      <c r="H381" s="16" t="s">
        <v>975</v>
      </c>
    </row>
    <row r="382" spans="2:8" hidden="1" x14ac:dyDescent="0.25">
      <c r="B382" s="29">
        <v>41</v>
      </c>
      <c r="C382" s="34" t="s">
        <v>1294</v>
      </c>
      <c r="D382" s="7" t="s">
        <v>653</v>
      </c>
      <c r="E382" s="7" t="s">
        <v>959</v>
      </c>
      <c r="F382" s="7" t="s">
        <v>1189</v>
      </c>
      <c r="G382" s="7" t="s">
        <v>959</v>
      </c>
      <c r="H382" s="7" t="s">
        <v>1190</v>
      </c>
    </row>
    <row r="383" spans="2:8" ht="30" hidden="1" x14ac:dyDescent="0.25">
      <c r="B383" s="30">
        <v>41</v>
      </c>
      <c r="C383" s="25" t="s">
        <v>1294</v>
      </c>
      <c r="D383" s="2" t="s">
        <v>653</v>
      </c>
      <c r="E383" s="2" t="s">
        <v>959</v>
      </c>
      <c r="F383" s="2" t="s">
        <v>1191</v>
      </c>
      <c r="G383" s="2" t="s">
        <v>959</v>
      </c>
      <c r="H383" s="2" t="s">
        <v>1190</v>
      </c>
    </row>
    <row r="384" spans="2:8" hidden="1" x14ac:dyDescent="0.25">
      <c r="B384" s="30">
        <v>41</v>
      </c>
      <c r="C384" s="25" t="s">
        <v>1294</v>
      </c>
      <c r="D384" s="17" t="s">
        <v>385</v>
      </c>
      <c r="E384" s="17" t="s">
        <v>959</v>
      </c>
      <c r="F384" s="17" t="s">
        <v>1189</v>
      </c>
      <c r="G384" s="39" t="s">
        <v>974</v>
      </c>
      <c r="H384" s="17" t="s">
        <v>975</v>
      </c>
    </row>
    <row r="385" spans="2:8" hidden="1" x14ac:dyDescent="0.25">
      <c r="B385" s="30">
        <v>41</v>
      </c>
      <c r="C385" s="25" t="s">
        <v>1294</v>
      </c>
      <c r="D385" s="8" t="s">
        <v>668</v>
      </c>
      <c r="E385" s="37" t="s">
        <v>974</v>
      </c>
      <c r="F385" s="8" t="s">
        <v>116</v>
      </c>
      <c r="G385" s="8" t="s">
        <v>116</v>
      </c>
      <c r="H385" s="8" t="s">
        <v>979</v>
      </c>
    </row>
    <row r="386" spans="2:8" hidden="1" x14ac:dyDescent="0.25">
      <c r="B386" s="30">
        <v>41</v>
      </c>
      <c r="C386" s="25" t="s">
        <v>1294</v>
      </c>
      <c r="D386" s="17" t="s">
        <v>671</v>
      </c>
      <c r="E386" s="17" t="s">
        <v>959</v>
      </c>
      <c r="F386" s="17" t="s">
        <v>1194</v>
      </c>
      <c r="G386" s="39" t="s">
        <v>974</v>
      </c>
      <c r="H386" s="17" t="s">
        <v>978</v>
      </c>
    </row>
    <row r="387" spans="2:8" ht="30" hidden="1" x14ac:dyDescent="0.25">
      <c r="B387" s="30">
        <v>41</v>
      </c>
      <c r="C387" s="25" t="s">
        <v>1294</v>
      </c>
      <c r="D387" s="17" t="s">
        <v>665</v>
      </c>
      <c r="E387" s="17" t="s">
        <v>959</v>
      </c>
      <c r="F387" s="17" t="s">
        <v>1192</v>
      </c>
      <c r="G387" s="39" t="s">
        <v>974</v>
      </c>
      <c r="H387" s="17" t="s">
        <v>980</v>
      </c>
    </row>
    <row r="388" spans="2:8" ht="30" hidden="1" x14ac:dyDescent="0.25">
      <c r="B388" s="30">
        <v>41</v>
      </c>
      <c r="C388" s="25" t="s">
        <v>1294</v>
      </c>
      <c r="D388" s="17" t="s">
        <v>51</v>
      </c>
      <c r="E388" s="17" t="s">
        <v>959</v>
      </c>
      <c r="F388" s="17" t="s">
        <v>1193</v>
      </c>
      <c r="G388" s="39" t="s">
        <v>974</v>
      </c>
      <c r="H388" s="17" t="s">
        <v>980</v>
      </c>
    </row>
    <row r="389" spans="2:8" ht="30" hidden="1" x14ac:dyDescent="0.25">
      <c r="B389" s="30">
        <v>41</v>
      </c>
      <c r="C389" s="25" t="s">
        <v>1294</v>
      </c>
      <c r="D389" s="17" t="s">
        <v>51</v>
      </c>
      <c r="E389" s="17" t="s">
        <v>959</v>
      </c>
      <c r="F389" s="17" t="s">
        <v>1192</v>
      </c>
      <c r="G389" s="39" t="s">
        <v>974</v>
      </c>
      <c r="H389" s="17" t="s">
        <v>980</v>
      </c>
    </row>
    <row r="390" spans="2:8" hidden="1" x14ac:dyDescent="0.25">
      <c r="B390" s="30">
        <v>41</v>
      </c>
      <c r="C390" s="25" t="s">
        <v>1294</v>
      </c>
      <c r="D390" s="8" t="s">
        <v>656</v>
      </c>
      <c r="E390" s="37" t="s">
        <v>974</v>
      </c>
      <c r="F390" s="8" t="s">
        <v>116</v>
      </c>
      <c r="G390" s="8" t="s">
        <v>116</v>
      </c>
      <c r="H390" s="8" t="s">
        <v>977</v>
      </c>
    </row>
    <row r="391" spans="2:8" hidden="1" x14ac:dyDescent="0.25">
      <c r="B391" s="30">
        <v>41</v>
      </c>
      <c r="C391" s="25" t="s">
        <v>1294</v>
      </c>
      <c r="D391" s="8" t="s">
        <v>662</v>
      </c>
      <c r="E391" s="37" t="s">
        <v>974</v>
      </c>
      <c r="F391" s="8" t="s">
        <v>116</v>
      </c>
      <c r="G391" s="8" t="s">
        <v>116</v>
      </c>
      <c r="H391" s="8" t="s">
        <v>978</v>
      </c>
    </row>
    <row r="392" spans="2:8" ht="30.75" hidden="1" thickBot="1" x14ac:dyDescent="0.3">
      <c r="B392" s="26" t="s">
        <v>836</v>
      </c>
      <c r="C392" s="27" t="s">
        <v>1312</v>
      </c>
      <c r="D392" s="15" t="s">
        <v>853</v>
      </c>
      <c r="E392" s="47" t="s">
        <v>974</v>
      </c>
      <c r="F392" s="15" t="s">
        <v>116</v>
      </c>
      <c r="G392" s="15" t="s">
        <v>116</v>
      </c>
      <c r="H392" s="15" t="s">
        <v>977</v>
      </c>
    </row>
    <row r="393" spans="2:8" ht="30" hidden="1" x14ac:dyDescent="0.25">
      <c r="B393" s="28" t="s">
        <v>836</v>
      </c>
      <c r="C393" s="34" t="s">
        <v>1312</v>
      </c>
      <c r="D393" s="9" t="s">
        <v>847</v>
      </c>
      <c r="E393" s="38" t="s">
        <v>974</v>
      </c>
      <c r="F393" s="9" t="s">
        <v>116</v>
      </c>
      <c r="G393" s="9" t="s">
        <v>116</v>
      </c>
      <c r="H393" s="9" t="s">
        <v>977</v>
      </c>
    </row>
    <row r="394" spans="2:8" ht="30" hidden="1" x14ac:dyDescent="0.25">
      <c r="B394" s="24" t="s">
        <v>836</v>
      </c>
      <c r="C394" s="25" t="s">
        <v>1312</v>
      </c>
      <c r="D394" s="8" t="s">
        <v>850</v>
      </c>
      <c r="E394" s="37" t="s">
        <v>974</v>
      </c>
      <c r="F394" s="8" t="s">
        <v>116</v>
      </c>
      <c r="G394" s="8" t="s">
        <v>116</v>
      </c>
      <c r="H394" s="8" t="s">
        <v>977</v>
      </c>
    </row>
    <row r="395" spans="2:8" ht="30" hidden="1" x14ac:dyDescent="0.25">
      <c r="B395" s="24" t="s">
        <v>836</v>
      </c>
      <c r="C395" s="25" t="s">
        <v>1312</v>
      </c>
      <c r="D395" s="17" t="s">
        <v>211</v>
      </c>
      <c r="E395" s="17" t="s">
        <v>959</v>
      </c>
      <c r="F395" s="17" t="s">
        <v>1261</v>
      </c>
      <c r="G395" s="39" t="s">
        <v>974</v>
      </c>
      <c r="H395" s="17" t="s">
        <v>978</v>
      </c>
    </row>
    <row r="396" spans="2:8" ht="30" hidden="1" x14ac:dyDescent="0.25">
      <c r="B396" s="24" t="s">
        <v>836</v>
      </c>
      <c r="C396" s="25" t="s">
        <v>1312</v>
      </c>
      <c r="D396" s="8" t="s">
        <v>838</v>
      </c>
      <c r="E396" s="37" t="s">
        <v>974</v>
      </c>
      <c r="F396" s="8" t="s">
        <v>116</v>
      </c>
      <c r="G396" s="8" t="s">
        <v>116</v>
      </c>
      <c r="H396" s="8" t="s">
        <v>977</v>
      </c>
    </row>
    <row r="397" spans="2:8" ht="30" hidden="1" x14ac:dyDescent="0.25">
      <c r="B397" s="24" t="s">
        <v>836</v>
      </c>
      <c r="C397" s="25" t="s">
        <v>1312</v>
      </c>
      <c r="D397" s="2" t="s">
        <v>862</v>
      </c>
      <c r="E397" s="2" t="s">
        <v>959</v>
      </c>
      <c r="F397" s="2" t="s">
        <v>1258</v>
      </c>
      <c r="G397" s="2" t="s">
        <v>959</v>
      </c>
      <c r="H397" s="35" t="s">
        <v>1190</v>
      </c>
    </row>
    <row r="398" spans="2:8" ht="30" hidden="1" x14ac:dyDescent="0.25">
      <c r="B398" s="24" t="s">
        <v>836</v>
      </c>
      <c r="C398" s="25" t="s">
        <v>1312</v>
      </c>
      <c r="D398" s="2" t="s">
        <v>862</v>
      </c>
      <c r="E398" s="2" t="s">
        <v>959</v>
      </c>
      <c r="F398" s="2" t="s">
        <v>1259</v>
      </c>
      <c r="G398" s="2" t="s">
        <v>959</v>
      </c>
      <c r="H398" s="35" t="s">
        <v>1190</v>
      </c>
    </row>
    <row r="399" spans="2:8" ht="30" hidden="1" x14ac:dyDescent="0.25">
      <c r="B399" s="24" t="s">
        <v>836</v>
      </c>
      <c r="C399" s="25" t="s">
        <v>1312</v>
      </c>
      <c r="D399" s="8" t="s">
        <v>859</v>
      </c>
      <c r="E399" s="37" t="s">
        <v>974</v>
      </c>
      <c r="F399" s="8" t="s">
        <v>116</v>
      </c>
      <c r="G399" s="8" t="s">
        <v>116</v>
      </c>
      <c r="H399" s="8" t="s">
        <v>977</v>
      </c>
    </row>
    <row r="400" spans="2:8" ht="30" hidden="1" x14ac:dyDescent="0.25">
      <c r="B400" s="24" t="s">
        <v>836</v>
      </c>
      <c r="C400" s="25" t="s">
        <v>1312</v>
      </c>
      <c r="D400" s="8" t="s">
        <v>865</v>
      </c>
      <c r="E400" s="37" t="s">
        <v>974</v>
      </c>
      <c r="F400" s="8" t="s">
        <v>116</v>
      </c>
      <c r="G400" s="8" t="s">
        <v>116</v>
      </c>
      <c r="H400" s="8" t="s">
        <v>977</v>
      </c>
    </row>
    <row r="401" spans="2:8" ht="30" hidden="1" x14ac:dyDescent="0.25">
      <c r="B401" s="24" t="s">
        <v>836</v>
      </c>
      <c r="C401" s="25" t="s">
        <v>1312</v>
      </c>
      <c r="D401" s="17" t="s">
        <v>475</v>
      </c>
      <c r="E401" s="17" t="s">
        <v>959</v>
      </c>
      <c r="F401" s="17" t="s">
        <v>1260</v>
      </c>
      <c r="G401" s="39" t="s">
        <v>974</v>
      </c>
      <c r="H401" s="17" t="s">
        <v>1009</v>
      </c>
    </row>
    <row r="402" spans="2:8" ht="30" hidden="1" x14ac:dyDescent="0.25">
      <c r="B402" s="24" t="s">
        <v>836</v>
      </c>
      <c r="C402" s="25" t="s">
        <v>1312</v>
      </c>
      <c r="D402" s="8" t="s">
        <v>868</v>
      </c>
      <c r="E402" s="37" t="s">
        <v>974</v>
      </c>
      <c r="F402" s="8" t="s">
        <v>116</v>
      </c>
      <c r="G402" s="8" t="s">
        <v>116</v>
      </c>
      <c r="H402" s="8" t="s">
        <v>977</v>
      </c>
    </row>
    <row r="403" spans="2:8" ht="30" hidden="1" x14ac:dyDescent="0.25">
      <c r="B403" s="24" t="s">
        <v>836</v>
      </c>
      <c r="C403" s="25" t="s">
        <v>1312</v>
      </c>
      <c r="D403" s="8" t="s">
        <v>856</v>
      </c>
      <c r="E403" s="37" t="s">
        <v>974</v>
      </c>
      <c r="F403" s="8" t="s">
        <v>116</v>
      </c>
      <c r="G403" s="8" t="s">
        <v>116</v>
      </c>
      <c r="H403" s="8" t="s">
        <v>977</v>
      </c>
    </row>
    <row r="404" spans="2:8" ht="30" hidden="1" x14ac:dyDescent="0.25">
      <c r="B404" s="24" t="s">
        <v>836</v>
      </c>
      <c r="C404" s="25" t="s">
        <v>1312</v>
      </c>
      <c r="D404" s="8" t="s">
        <v>844</v>
      </c>
      <c r="E404" s="37" t="s">
        <v>974</v>
      </c>
      <c r="F404" s="8" t="s">
        <v>116</v>
      </c>
      <c r="G404" s="8" t="s">
        <v>116</v>
      </c>
      <c r="H404" s="8" t="s">
        <v>977</v>
      </c>
    </row>
    <row r="405" spans="2:8" ht="30.75" hidden="1" thickBot="1" x14ac:dyDescent="0.3">
      <c r="B405" s="26" t="s">
        <v>836</v>
      </c>
      <c r="C405" s="27" t="s">
        <v>1312</v>
      </c>
      <c r="D405" s="15" t="s">
        <v>841</v>
      </c>
      <c r="E405" s="47" t="s">
        <v>974</v>
      </c>
      <c r="F405" s="15" t="s">
        <v>116</v>
      </c>
      <c r="G405" s="15" t="s">
        <v>116</v>
      </c>
      <c r="H405" s="15" t="s">
        <v>977</v>
      </c>
    </row>
    <row r="406" spans="2:8" hidden="1" x14ac:dyDescent="0.25">
      <c r="B406" s="29" t="s">
        <v>871</v>
      </c>
      <c r="C406" s="34" t="s">
        <v>1313</v>
      </c>
      <c r="D406" s="9" t="s">
        <v>873</v>
      </c>
      <c r="E406" s="38" t="s">
        <v>974</v>
      </c>
      <c r="F406" s="9" t="s">
        <v>116</v>
      </c>
      <c r="G406" s="9" t="s">
        <v>116</v>
      </c>
      <c r="H406" s="9" t="s">
        <v>977</v>
      </c>
    </row>
    <row r="407" spans="2:8" hidden="1" x14ac:dyDescent="0.25">
      <c r="B407" s="30" t="s">
        <v>871</v>
      </c>
      <c r="C407" s="25" t="s">
        <v>1313</v>
      </c>
      <c r="D407" s="8" t="s">
        <v>876</v>
      </c>
      <c r="E407" s="37" t="s">
        <v>974</v>
      </c>
      <c r="F407" s="8" t="s">
        <v>116</v>
      </c>
      <c r="G407" s="8" t="s">
        <v>116</v>
      </c>
      <c r="H407" s="8" t="s">
        <v>975</v>
      </c>
    </row>
    <row r="408" spans="2:8" hidden="1" x14ac:dyDescent="0.25">
      <c r="B408" s="30" t="s">
        <v>871</v>
      </c>
      <c r="C408" s="25" t="s">
        <v>1313</v>
      </c>
      <c r="D408" s="8" t="s">
        <v>879</v>
      </c>
      <c r="E408" s="37" t="s">
        <v>974</v>
      </c>
      <c r="F408" s="8" t="s">
        <v>116</v>
      </c>
      <c r="G408" s="8" t="s">
        <v>116</v>
      </c>
      <c r="H408" s="8" t="s">
        <v>978</v>
      </c>
    </row>
    <row r="409" spans="2:8" hidden="1" x14ac:dyDescent="0.25">
      <c r="B409" s="30" t="s">
        <v>871</v>
      </c>
      <c r="C409" s="25" t="s">
        <v>1313</v>
      </c>
      <c r="D409" s="8" t="s">
        <v>953</v>
      </c>
      <c r="E409" s="37" t="s">
        <v>974</v>
      </c>
      <c r="F409" s="8" t="s">
        <v>116</v>
      </c>
      <c r="G409" s="8" t="s">
        <v>116</v>
      </c>
      <c r="H409" s="8" t="s">
        <v>977</v>
      </c>
    </row>
    <row r="410" spans="2:8" ht="30" hidden="1" x14ac:dyDescent="0.25">
      <c r="B410" s="30" t="s">
        <v>871</v>
      </c>
      <c r="C410" s="25" t="s">
        <v>1313</v>
      </c>
      <c r="D410" s="17" t="s">
        <v>882</v>
      </c>
      <c r="E410" s="17" t="s">
        <v>959</v>
      </c>
      <c r="F410" s="17" t="s">
        <v>1262</v>
      </c>
      <c r="G410" s="39" t="s">
        <v>974</v>
      </c>
      <c r="H410" s="17" t="s">
        <v>1009</v>
      </c>
    </row>
    <row r="411" spans="2:8" hidden="1" x14ac:dyDescent="0.25">
      <c r="B411" s="30" t="s">
        <v>871</v>
      </c>
      <c r="C411" s="25" t="s">
        <v>1313</v>
      </c>
      <c r="D411" s="8" t="s">
        <v>885</v>
      </c>
      <c r="E411" s="37" t="s">
        <v>974</v>
      </c>
      <c r="F411" s="8" t="s">
        <v>116</v>
      </c>
      <c r="G411" s="8" t="s">
        <v>116</v>
      </c>
      <c r="H411" s="8" t="s">
        <v>977</v>
      </c>
    </row>
    <row r="412" spans="2:8" hidden="1" x14ac:dyDescent="0.25">
      <c r="B412" s="30" t="s">
        <v>871</v>
      </c>
      <c r="C412" s="25" t="s">
        <v>1313</v>
      </c>
      <c r="D412" s="8" t="s">
        <v>888</v>
      </c>
      <c r="E412" s="37" t="s">
        <v>974</v>
      </c>
      <c r="F412" s="8" t="s">
        <v>116</v>
      </c>
      <c r="G412" s="8" t="s">
        <v>116</v>
      </c>
      <c r="H412" s="8" t="s">
        <v>977</v>
      </c>
    </row>
    <row r="413" spans="2:8" ht="30" hidden="1" x14ac:dyDescent="0.25">
      <c r="B413" s="30" t="s">
        <v>871</v>
      </c>
      <c r="C413" s="25" t="s">
        <v>1313</v>
      </c>
      <c r="D413" s="17" t="s">
        <v>891</v>
      </c>
      <c r="E413" s="17" t="s">
        <v>959</v>
      </c>
      <c r="F413" s="17" t="s">
        <v>1263</v>
      </c>
      <c r="G413" s="39" t="s">
        <v>974</v>
      </c>
      <c r="H413" s="17" t="s">
        <v>1009</v>
      </c>
    </row>
    <row r="414" spans="2:8" hidden="1" x14ac:dyDescent="0.25">
      <c r="B414" s="30" t="s">
        <v>871</v>
      </c>
      <c r="C414" s="25" t="s">
        <v>1313</v>
      </c>
      <c r="D414" s="8" t="s">
        <v>894</v>
      </c>
      <c r="E414" s="37" t="s">
        <v>974</v>
      </c>
      <c r="F414" s="8" t="s">
        <v>116</v>
      </c>
      <c r="G414" s="8" t="s">
        <v>116</v>
      </c>
      <c r="H414" s="8" t="s">
        <v>975</v>
      </c>
    </row>
    <row r="415" spans="2:8" ht="15.75" hidden="1" thickBot="1" x14ac:dyDescent="0.3">
      <c r="B415" s="31" t="s">
        <v>871</v>
      </c>
      <c r="C415" s="27" t="s">
        <v>1313</v>
      </c>
      <c r="D415" s="15" t="s">
        <v>897</v>
      </c>
      <c r="E415" s="47" t="s">
        <v>974</v>
      </c>
      <c r="F415" s="15" t="s">
        <v>116</v>
      </c>
      <c r="G415" s="15" t="s">
        <v>116</v>
      </c>
      <c r="H415" s="15" t="s">
        <v>979</v>
      </c>
    </row>
    <row r="416" spans="2:8" ht="30" x14ac:dyDescent="0.25">
      <c r="B416" s="29" t="s">
        <v>871</v>
      </c>
      <c r="C416" s="34" t="s">
        <v>1313</v>
      </c>
      <c r="D416" s="7" t="s">
        <v>900</v>
      </c>
      <c r="E416" s="7" t="s">
        <v>959</v>
      </c>
      <c r="F416" s="7" t="s">
        <v>1264</v>
      </c>
      <c r="G416" s="7" t="s">
        <v>959</v>
      </c>
      <c r="H416" s="7" t="s">
        <v>1265</v>
      </c>
    </row>
    <row r="417" spans="2:8" ht="30" x14ac:dyDescent="0.25">
      <c r="B417" s="30" t="s">
        <v>871</v>
      </c>
      <c r="C417" s="25" t="s">
        <v>1313</v>
      </c>
      <c r="D417" s="2" t="s">
        <v>900</v>
      </c>
      <c r="E417" s="2" t="s">
        <v>959</v>
      </c>
      <c r="F417" s="2" t="s">
        <v>1266</v>
      </c>
      <c r="G417" s="2" t="s">
        <v>959</v>
      </c>
      <c r="H417" s="35" t="s">
        <v>963</v>
      </c>
    </row>
    <row r="418" spans="2:8" ht="30.6" hidden="1" customHeight="1" x14ac:dyDescent="0.25">
      <c r="B418" s="30" t="s">
        <v>871</v>
      </c>
      <c r="C418" s="25" t="s">
        <v>1313</v>
      </c>
      <c r="D418" s="17" t="s">
        <v>900</v>
      </c>
      <c r="E418" s="17" t="s">
        <v>959</v>
      </c>
      <c r="F418" s="17" t="s">
        <v>1262</v>
      </c>
      <c r="G418" s="39" t="s">
        <v>974</v>
      </c>
      <c r="H418" s="17" t="s">
        <v>1009</v>
      </c>
    </row>
    <row r="419" spans="2:8" ht="30" hidden="1" x14ac:dyDescent="0.25">
      <c r="B419" s="30" t="s">
        <v>871</v>
      </c>
      <c r="C419" s="25" t="s">
        <v>1313</v>
      </c>
      <c r="D419" s="17" t="s">
        <v>903</v>
      </c>
      <c r="E419" s="17" t="s">
        <v>959</v>
      </c>
      <c r="F419" s="17" t="s">
        <v>1267</v>
      </c>
      <c r="G419" s="39" t="s">
        <v>974</v>
      </c>
      <c r="H419" s="17" t="s">
        <v>1009</v>
      </c>
    </row>
    <row r="420" spans="2:8" ht="30" x14ac:dyDescent="0.25">
      <c r="B420" s="30" t="s">
        <v>871</v>
      </c>
      <c r="C420" s="25" t="s">
        <v>1313</v>
      </c>
      <c r="D420" s="2" t="s">
        <v>903</v>
      </c>
      <c r="E420" s="2" t="s">
        <v>959</v>
      </c>
      <c r="F420" s="2" t="s">
        <v>1268</v>
      </c>
      <c r="G420" s="2" t="s">
        <v>959</v>
      </c>
      <c r="H420" s="35" t="s">
        <v>963</v>
      </c>
    </row>
    <row r="421" spans="2:8" ht="30" x14ac:dyDescent="0.25">
      <c r="B421" s="30" t="s">
        <v>871</v>
      </c>
      <c r="C421" s="25" t="s">
        <v>1313</v>
      </c>
      <c r="D421" s="2" t="s">
        <v>903</v>
      </c>
      <c r="E421" s="2" t="s">
        <v>959</v>
      </c>
      <c r="F421" s="2" t="s">
        <v>1269</v>
      </c>
      <c r="G421" s="2" t="s">
        <v>959</v>
      </c>
      <c r="H421" s="2" t="s">
        <v>1265</v>
      </c>
    </row>
    <row r="422" spans="2:8" ht="30" x14ac:dyDescent="0.25">
      <c r="B422" s="30" t="s">
        <v>871</v>
      </c>
      <c r="C422" s="25" t="s">
        <v>1313</v>
      </c>
      <c r="D422" s="2" t="s">
        <v>906</v>
      </c>
      <c r="E422" s="2" t="s">
        <v>959</v>
      </c>
      <c r="F422" s="2" t="s">
        <v>1264</v>
      </c>
      <c r="G422" s="2" t="s">
        <v>959</v>
      </c>
      <c r="H422" s="2" t="s">
        <v>1265</v>
      </c>
    </row>
    <row r="423" spans="2:8" ht="30.75" thickBot="1" x14ac:dyDescent="0.3">
      <c r="B423" s="31" t="s">
        <v>871</v>
      </c>
      <c r="C423" s="27" t="s">
        <v>1313</v>
      </c>
      <c r="D423" s="10" t="s">
        <v>415</v>
      </c>
      <c r="E423" s="10" t="s">
        <v>959</v>
      </c>
      <c r="F423" s="10" t="s">
        <v>1264</v>
      </c>
      <c r="G423" s="10" t="s">
        <v>959</v>
      </c>
      <c r="H423" s="20" t="s">
        <v>963</v>
      </c>
    </row>
    <row r="424" spans="2:8" ht="15.75" thickTop="1" x14ac:dyDescent="0.25">
      <c r="B424" s="29" t="s">
        <v>871</v>
      </c>
      <c r="C424" s="34" t="s">
        <v>1313</v>
      </c>
      <c r="D424" s="7" t="s">
        <v>415</v>
      </c>
      <c r="E424" s="7" t="s">
        <v>959</v>
      </c>
      <c r="F424" s="7" t="s">
        <v>1262</v>
      </c>
      <c r="G424" s="7" t="s">
        <v>959</v>
      </c>
      <c r="H424" s="41" t="s">
        <v>963</v>
      </c>
    </row>
    <row r="425" spans="2:8" ht="30.75" thickBot="1" x14ac:dyDescent="0.3">
      <c r="B425" s="31" t="s">
        <v>871</v>
      </c>
      <c r="C425" s="27" t="s">
        <v>1313</v>
      </c>
      <c r="D425" s="10" t="s">
        <v>415</v>
      </c>
      <c r="E425" s="10" t="s">
        <v>959</v>
      </c>
      <c r="F425" s="10" t="s">
        <v>1263</v>
      </c>
      <c r="G425" s="10" t="s">
        <v>959</v>
      </c>
      <c r="H425" s="20" t="s">
        <v>963</v>
      </c>
    </row>
    <row r="426" spans="2:8" ht="15.75" hidden="1" thickTop="1" x14ac:dyDescent="0.25">
      <c r="B426" s="29" t="s">
        <v>871</v>
      </c>
      <c r="C426" s="34" t="s">
        <v>1313</v>
      </c>
      <c r="D426" s="9" t="s">
        <v>909</v>
      </c>
      <c r="E426" s="38" t="s">
        <v>974</v>
      </c>
      <c r="F426" s="9" t="s">
        <v>116</v>
      </c>
      <c r="G426" s="9" t="s">
        <v>116</v>
      </c>
      <c r="H426" s="9" t="s">
        <v>977</v>
      </c>
    </row>
    <row r="427" spans="2:8" ht="15.75" hidden="1" thickTop="1" x14ac:dyDescent="0.25">
      <c r="B427" s="30" t="s">
        <v>871</v>
      </c>
      <c r="C427" s="25" t="s">
        <v>1313</v>
      </c>
      <c r="D427" s="8" t="s">
        <v>912</v>
      </c>
      <c r="E427" s="37" t="s">
        <v>974</v>
      </c>
      <c r="F427" s="8" t="s">
        <v>116</v>
      </c>
      <c r="G427" s="8" t="s">
        <v>116</v>
      </c>
      <c r="H427" s="8" t="s">
        <v>977</v>
      </c>
    </row>
    <row r="428" spans="2:8" ht="31.5" hidden="1" thickTop="1" thickBot="1" x14ac:dyDescent="0.3">
      <c r="B428" s="31" t="s">
        <v>871</v>
      </c>
      <c r="C428" s="27" t="s">
        <v>1313</v>
      </c>
      <c r="D428" s="15" t="s">
        <v>956</v>
      </c>
      <c r="E428" s="47" t="s">
        <v>974</v>
      </c>
      <c r="F428" s="15" t="s">
        <v>116</v>
      </c>
      <c r="G428" s="15" t="s">
        <v>116</v>
      </c>
      <c r="H428" s="15" t="s">
        <v>1009</v>
      </c>
    </row>
    <row r="429" spans="2:8" ht="15.75" hidden="1" thickTop="1" x14ac:dyDescent="0.25">
      <c r="B429" s="29" t="s">
        <v>871</v>
      </c>
      <c r="C429" s="34" t="s">
        <v>1313</v>
      </c>
      <c r="D429" s="9" t="s">
        <v>915</v>
      </c>
      <c r="E429" s="38" t="s">
        <v>974</v>
      </c>
      <c r="F429" s="9" t="s">
        <v>116</v>
      </c>
      <c r="G429" s="9" t="s">
        <v>116</v>
      </c>
      <c r="H429" s="9" t="s">
        <v>977</v>
      </c>
    </row>
    <row r="430" spans="2:8" ht="15.75" hidden="1" thickTop="1" x14ac:dyDescent="0.25">
      <c r="B430" s="30" t="s">
        <v>871</v>
      </c>
      <c r="C430" s="25" t="s">
        <v>1313</v>
      </c>
      <c r="D430" s="8" t="s">
        <v>918</v>
      </c>
      <c r="E430" s="37" t="s">
        <v>974</v>
      </c>
      <c r="F430" s="8" t="s">
        <v>116</v>
      </c>
      <c r="G430" s="8" t="s">
        <v>116</v>
      </c>
      <c r="H430" s="8" t="s">
        <v>978</v>
      </c>
    </row>
    <row r="431" spans="2:8" ht="16.5" hidden="1" thickTop="1" thickBot="1" x14ac:dyDescent="0.3">
      <c r="B431" s="31" t="s">
        <v>871</v>
      </c>
      <c r="C431" s="27" t="s">
        <v>1313</v>
      </c>
      <c r="D431" s="15" t="s">
        <v>950</v>
      </c>
      <c r="E431" s="47" t="s">
        <v>974</v>
      </c>
      <c r="F431" s="15" t="s">
        <v>116</v>
      </c>
      <c r="G431" s="15" t="s">
        <v>116</v>
      </c>
      <c r="H431" s="15" t="s">
        <v>979</v>
      </c>
    </row>
    <row r="432" spans="2:8" ht="30.75" thickTop="1" x14ac:dyDescent="0.25">
      <c r="B432" s="29" t="s">
        <v>871</v>
      </c>
      <c r="C432" s="34" t="s">
        <v>1313</v>
      </c>
      <c r="D432" s="7" t="s">
        <v>921</v>
      </c>
      <c r="E432" s="7" t="s">
        <v>959</v>
      </c>
      <c r="F432" s="7" t="s">
        <v>1262</v>
      </c>
      <c r="G432" s="7" t="s">
        <v>959</v>
      </c>
      <c r="H432" s="7" t="s">
        <v>1265</v>
      </c>
    </row>
    <row r="433" spans="2:8" hidden="1" x14ac:dyDescent="0.25">
      <c r="B433" s="30" t="s">
        <v>871</v>
      </c>
      <c r="C433" s="25" t="s">
        <v>1313</v>
      </c>
      <c r="D433" s="8" t="s">
        <v>924</v>
      </c>
      <c r="E433" s="37" t="s">
        <v>974</v>
      </c>
      <c r="F433" s="8" t="s">
        <v>116</v>
      </c>
      <c r="G433" s="8" t="s">
        <v>116</v>
      </c>
      <c r="H433" s="8" t="s">
        <v>978</v>
      </c>
    </row>
    <row r="434" spans="2:8" ht="30" hidden="1" x14ac:dyDescent="0.25">
      <c r="B434" s="30" t="s">
        <v>871</v>
      </c>
      <c r="C434" s="25" t="s">
        <v>1313</v>
      </c>
      <c r="D434" s="8" t="s">
        <v>927</v>
      </c>
      <c r="E434" s="37" t="s">
        <v>974</v>
      </c>
      <c r="F434" s="8" t="s">
        <v>116</v>
      </c>
      <c r="G434" s="8" t="s">
        <v>116</v>
      </c>
      <c r="H434" s="8" t="s">
        <v>1009</v>
      </c>
    </row>
    <row r="435" spans="2:8" ht="30.75" hidden="1" thickBot="1" x14ac:dyDescent="0.3">
      <c r="B435" s="31" t="s">
        <v>871</v>
      </c>
      <c r="C435" s="27" t="s">
        <v>1313</v>
      </c>
      <c r="D435" s="15" t="s">
        <v>757</v>
      </c>
      <c r="E435" s="47" t="s">
        <v>974</v>
      </c>
      <c r="F435" s="15" t="s">
        <v>116</v>
      </c>
      <c r="G435" s="15" t="s">
        <v>116</v>
      </c>
      <c r="H435" s="15" t="s">
        <v>1009</v>
      </c>
    </row>
    <row r="436" spans="2:8" ht="16.5" hidden="1" thickTop="1" thickBot="1" x14ac:dyDescent="0.3">
      <c r="B436" s="32" t="s">
        <v>871</v>
      </c>
      <c r="C436" s="46" t="s">
        <v>1313</v>
      </c>
      <c r="D436" s="21" t="s">
        <v>930</v>
      </c>
      <c r="E436" s="21" t="s">
        <v>959</v>
      </c>
      <c r="F436" s="21" t="s">
        <v>1270</v>
      </c>
      <c r="G436" s="51" t="s">
        <v>974</v>
      </c>
      <c r="H436" s="21" t="s">
        <v>1271</v>
      </c>
    </row>
    <row r="437" spans="2:8" ht="30" x14ac:dyDescent="0.25">
      <c r="B437" s="29" t="s">
        <v>871</v>
      </c>
      <c r="C437" s="34" t="s">
        <v>1313</v>
      </c>
      <c r="D437" s="7" t="s">
        <v>933</v>
      </c>
      <c r="E437" s="7" t="s">
        <v>959</v>
      </c>
      <c r="F437" s="7" t="s">
        <v>1262</v>
      </c>
      <c r="G437" s="7" t="s">
        <v>959</v>
      </c>
      <c r="H437" s="7" t="s">
        <v>1265</v>
      </c>
    </row>
    <row r="438" spans="2:8" hidden="1" x14ac:dyDescent="0.25">
      <c r="B438" s="30" t="s">
        <v>871</v>
      </c>
      <c r="C438" s="25" t="s">
        <v>1313</v>
      </c>
      <c r="D438" s="8" t="s">
        <v>936</v>
      </c>
      <c r="E438" s="37" t="s">
        <v>974</v>
      </c>
      <c r="F438" s="8" t="s">
        <v>116</v>
      </c>
      <c r="G438" s="8" t="s">
        <v>116</v>
      </c>
      <c r="H438" s="8" t="s">
        <v>978</v>
      </c>
    </row>
    <row r="439" spans="2:8" hidden="1" x14ac:dyDescent="0.25">
      <c r="B439" s="30" t="s">
        <v>871</v>
      </c>
      <c r="C439" s="25" t="s">
        <v>1313</v>
      </c>
      <c r="D439" s="8" t="s">
        <v>939</v>
      </c>
      <c r="E439" s="37" t="s">
        <v>974</v>
      </c>
      <c r="F439" s="8" t="s">
        <v>116</v>
      </c>
      <c r="G439" s="8" t="s">
        <v>116</v>
      </c>
      <c r="H439" s="8" t="s">
        <v>977</v>
      </c>
    </row>
    <row r="440" spans="2:8" hidden="1" x14ac:dyDescent="0.25">
      <c r="B440" s="30" t="s">
        <v>871</v>
      </c>
      <c r="C440" s="25" t="s">
        <v>1313</v>
      </c>
      <c r="D440" s="8" t="s">
        <v>942</v>
      </c>
      <c r="E440" s="37" t="s">
        <v>974</v>
      </c>
      <c r="F440" s="8" t="s">
        <v>116</v>
      </c>
      <c r="G440" s="8" t="s">
        <v>116</v>
      </c>
      <c r="H440" s="8" t="s">
        <v>977</v>
      </c>
    </row>
    <row r="441" spans="2:8" hidden="1" x14ac:dyDescent="0.25">
      <c r="B441" s="30" t="s">
        <v>871</v>
      </c>
      <c r="C441" s="25" t="s">
        <v>1313</v>
      </c>
      <c r="D441" s="8" t="s">
        <v>190</v>
      </c>
      <c r="E441" s="37" t="s">
        <v>974</v>
      </c>
      <c r="F441" s="8" t="s">
        <v>116</v>
      </c>
      <c r="G441" s="8" t="s">
        <v>116</v>
      </c>
      <c r="H441" s="8" t="s">
        <v>978</v>
      </c>
    </row>
    <row r="442" spans="2:8" ht="30" hidden="1" x14ac:dyDescent="0.25">
      <c r="B442" s="30" t="s">
        <v>871</v>
      </c>
      <c r="C442" s="25" t="s">
        <v>1313</v>
      </c>
      <c r="D442" s="17" t="s">
        <v>947</v>
      </c>
      <c r="E442" s="17" t="s">
        <v>959</v>
      </c>
      <c r="F442" s="17" t="s">
        <v>1264</v>
      </c>
      <c r="G442" s="39" t="s">
        <v>974</v>
      </c>
      <c r="H442" s="17" t="s">
        <v>1009</v>
      </c>
    </row>
    <row r="443" spans="2:8" ht="30" hidden="1" x14ac:dyDescent="0.25">
      <c r="B443" s="24">
        <v>34</v>
      </c>
      <c r="C443" s="25" t="s">
        <v>1291</v>
      </c>
      <c r="D443" s="2" t="s">
        <v>639</v>
      </c>
      <c r="E443" s="2" t="s">
        <v>959</v>
      </c>
      <c r="F443" s="2" t="s">
        <v>1183</v>
      </c>
      <c r="G443" s="2" t="s">
        <v>959</v>
      </c>
      <c r="H443" s="35" t="s">
        <v>963</v>
      </c>
    </row>
    <row r="444" spans="2:8" ht="30" hidden="1" x14ac:dyDescent="0.25">
      <c r="B444" s="24">
        <v>34</v>
      </c>
      <c r="C444" s="25" t="s">
        <v>1291</v>
      </c>
      <c r="D444" s="2" t="s">
        <v>418</v>
      </c>
      <c r="E444" s="2" t="s">
        <v>959</v>
      </c>
      <c r="F444" s="2" t="s">
        <v>1185</v>
      </c>
      <c r="G444" s="2" t="s">
        <v>959</v>
      </c>
      <c r="H444" s="35" t="s">
        <v>963</v>
      </c>
    </row>
    <row r="445" spans="2:8" ht="30.75" hidden="1" thickBot="1" x14ac:dyDescent="0.3">
      <c r="B445" s="26">
        <v>34</v>
      </c>
      <c r="C445" s="27" t="s">
        <v>1291</v>
      </c>
      <c r="D445" s="16" t="s">
        <v>512</v>
      </c>
      <c r="E445" s="16" t="s">
        <v>959</v>
      </c>
      <c r="F445" s="16" t="s">
        <v>1186</v>
      </c>
      <c r="G445" s="40" t="s">
        <v>974</v>
      </c>
      <c r="H445" s="16" t="s">
        <v>1009</v>
      </c>
    </row>
    <row r="446" spans="2:8" hidden="1" x14ac:dyDescent="0.25">
      <c r="B446" s="28">
        <v>34</v>
      </c>
      <c r="C446" s="34" t="s">
        <v>1291</v>
      </c>
      <c r="D446" s="7" t="s">
        <v>534</v>
      </c>
      <c r="E446" s="7" t="s">
        <v>959</v>
      </c>
      <c r="F446" s="7" t="s">
        <v>1184</v>
      </c>
      <c r="G446" s="7" t="s">
        <v>959</v>
      </c>
      <c r="H446" s="41" t="s">
        <v>963</v>
      </c>
    </row>
    <row r="447" spans="2:8" ht="30" hidden="1" x14ac:dyDescent="0.25">
      <c r="B447" s="24">
        <v>14</v>
      </c>
      <c r="C447" s="43" t="s">
        <v>1278</v>
      </c>
      <c r="D447" s="2" t="s">
        <v>214</v>
      </c>
      <c r="E447" s="2" t="s">
        <v>959</v>
      </c>
      <c r="F447" s="2" t="s">
        <v>1037</v>
      </c>
      <c r="G447" s="2" t="s">
        <v>959</v>
      </c>
      <c r="H447" s="35" t="s">
        <v>963</v>
      </c>
    </row>
    <row r="448" spans="2:8" hidden="1" x14ac:dyDescent="0.25">
      <c r="B448" s="24">
        <v>14</v>
      </c>
      <c r="C448" s="43" t="s">
        <v>1278</v>
      </c>
      <c r="D448" s="8" t="s">
        <v>226</v>
      </c>
      <c r="E448" s="37" t="s">
        <v>974</v>
      </c>
      <c r="F448" s="8" t="s">
        <v>116</v>
      </c>
      <c r="G448" s="8" t="s">
        <v>116</v>
      </c>
      <c r="H448" s="8" t="s">
        <v>975</v>
      </c>
    </row>
    <row r="449" spans="2:8" hidden="1" x14ac:dyDescent="0.25">
      <c r="B449" s="24">
        <v>14</v>
      </c>
      <c r="C449" s="43" t="s">
        <v>1278</v>
      </c>
      <c r="D449" s="17" t="s">
        <v>229</v>
      </c>
      <c r="E449" s="17" t="s">
        <v>959</v>
      </c>
      <c r="F449" s="17" t="s">
        <v>1042</v>
      </c>
      <c r="G449" s="39" t="s">
        <v>974</v>
      </c>
      <c r="H449" s="17" t="s">
        <v>997</v>
      </c>
    </row>
    <row r="450" spans="2:8" hidden="1" x14ac:dyDescent="0.25">
      <c r="B450" s="24">
        <v>14</v>
      </c>
      <c r="C450" s="43" t="s">
        <v>1278</v>
      </c>
      <c r="D450" s="2" t="s">
        <v>229</v>
      </c>
      <c r="E450" s="2" t="s">
        <v>959</v>
      </c>
      <c r="F450" s="2" t="s">
        <v>1044</v>
      </c>
      <c r="G450" s="2" t="s">
        <v>959</v>
      </c>
      <c r="H450" s="35" t="s">
        <v>963</v>
      </c>
    </row>
    <row r="451" spans="2:8" hidden="1" x14ac:dyDescent="0.25">
      <c r="B451" s="24">
        <v>14</v>
      </c>
      <c r="C451" s="43" t="s">
        <v>1278</v>
      </c>
      <c r="D451" s="17" t="s">
        <v>229</v>
      </c>
      <c r="E451" s="17" t="s">
        <v>959</v>
      </c>
      <c r="F451" s="17" t="s">
        <v>1045</v>
      </c>
      <c r="G451" s="39" t="s">
        <v>974</v>
      </c>
      <c r="H451" s="17" t="s">
        <v>997</v>
      </c>
    </row>
    <row r="452" spans="2:8" hidden="1" x14ac:dyDescent="0.25">
      <c r="B452" s="24">
        <v>14</v>
      </c>
      <c r="C452" s="43" t="s">
        <v>1278</v>
      </c>
      <c r="D452" s="17" t="s">
        <v>229</v>
      </c>
      <c r="E452" s="17" t="s">
        <v>959</v>
      </c>
      <c r="F452" s="17" t="s">
        <v>1046</v>
      </c>
      <c r="G452" s="39" t="s">
        <v>974</v>
      </c>
      <c r="H452" s="17" t="s">
        <v>997</v>
      </c>
    </row>
    <row r="453" spans="2:8" ht="30" hidden="1" x14ac:dyDescent="0.25">
      <c r="B453" s="24">
        <v>14</v>
      </c>
      <c r="C453" s="43" t="s">
        <v>1278</v>
      </c>
      <c r="D453" s="17" t="s">
        <v>217</v>
      </c>
      <c r="E453" s="17" t="s">
        <v>959</v>
      </c>
      <c r="F453" s="17" t="s">
        <v>1037</v>
      </c>
      <c r="G453" s="39" t="s">
        <v>974</v>
      </c>
      <c r="H453" s="17" t="s">
        <v>1009</v>
      </c>
    </row>
    <row r="454" spans="2:8" hidden="1" x14ac:dyDescent="0.25">
      <c r="B454" s="24">
        <v>14</v>
      </c>
      <c r="C454" s="43" t="s">
        <v>1278</v>
      </c>
      <c r="D454" s="8" t="s">
        <v>244</v>
      </c>
      <c r="E454" s="37" t="s">
        <v>974</v>
      </c>
      <c r="F454" s="8" t="s">
        <v>116</v>
      </c>
      <c r="G454" s="8" t="s">
        <v>116</v>
      </c>
      <c r="H454" s="8" t="s">
        <v>977</v>
      </c>
    </row>
    <row r="455" spans="2:8" ht="30" hidden="1" x14ac:dyDescent="0.25">
      <c r="B455" s="24">
        <v>14</v>
      </c>
      <c r="C455" s="43" t="s">
        <v>1278</v>
      </c>
      <c r="D455" s="2" t="s">
        <v>220</v>
      </c>
      <c r="E455" s="2" t="s">
        <v>959</v>
      </c>
      <c r="F455" s="2" t="s">
        <v>1038</v>
      </c>
      <c r="G455" s="2" t="s">
        <v>959</v>
      </c>
      <c r="H455" s="35" t="s">
        <v>963</v>
      </c>
    </row>
    <row r="456" spans="2:8" ht="30" hidden="1" x14ac:dyDescent="0.25">
      <c r="B456" s="24">
        <v>14</v>
      </c>
      <c r="C456" s="43" t="s">
        <v>1278</v>
      </c>
      <c r="D456" s="2" t="s">
        <v>220</v>
      </c>
      <c r="E456" s="2" t="s">
        <v>959</v>
      </c>
      <c r="F456" s="2" t="s">
        <v>1039</v>
      </c>
      <c r="G456" s="2" t="s">
        <v>959</v>
      </c>
      <c r="H456" s="35" t="s">
        <v>963</v>
      </c>
    </row>
    <row r="457" spans="2:8" ht="30" hidden="1" x14ac:dyDescent="0.25">
      <c r="B457" s="24">
        <v>14</v>
      </c>
      <c r="C457" s="43" t="s">
        <v>1278</v>
      </c>
      <c r="D457" s="2" t="s">
        <v>220</v>
      </c>
      <c r="E457" s="2" t="s">
        <v>959</v>
      </c>
      <c r="F457" s="2" t="s">
        <v>1040</v>
      </c>
      <c r="G457" s="2" t="s">
        <v>959</v>
      </c>
      <c r="H457" s="35" t="s">
        <v>963</v>
      </c>
    </row>
    <row r="458" spans="2:8" ht="30" hidden="1" x14ac:dyDescent="0.25">
      <c r="B458" s="24">
        <v>14</v>
      </c>
      <c r="C458" s="43" t="s">
        <v>1278</v>
      </c>
      <c r="D458" s="17" t="s">
        <v>220</v>
      </c>
      <c r="E458" s="17" t="s">
        <v>959</v>
      </c>
      <c r="F458" s="17" t="s">
        <v>1041</v>
      </c>
      <c r="G458" s="39" t="s">
        <v>974</v>
      </c>
      <c r="H458" s="17" t="s">
        <v>978</v>
      </c>
    </row>
    <row r="459" spans="2:8" hidden="1" x14ac:dyDescent="0.25">
      <c r="B459" s="24">
        <v>14</v>
      </c>
      <c r="C459" s="43" t="s">
        <v>1278</v>
      </c>
      <c r="D459" s="17" t="s">
        <v>220</v>
      </c>
      <c r="E459" s="17" t="s">
        <v>959</v>
      </c>
      <c r="F459" s="17" t="s">
        <v>1042</v>
      </c>
      <c r="G459" s="39" t="s">
        <v>974</v>
      </c>
      <c r="H459" s="17" t="s">
        <v>979</v>
      </c>
    </row>
    <row r="460" spans="2:8" ht="30" hidden="1" x14ac:dyDescent="0.25">
      <c r="B460" s="24">
        <v>14</v>
      </c>
      <c r="C460" s="43" t="s">
        <v>1278</v>
      </c>
      <c r="D460" s="17" t="s">
        <v>223</v>
      </c>
      <c r="E460" s="17" t="s">
        <v>959</v>
      </c>
      <c r="F460" s="17" t="s">
        <v>1043</v>
      </c>
      <c r="G460" s="39" t="s">
        <v>974</v>
      </c>
      <c r="H460" s="17" t="s">
        <v>1009</v>
      </c>
    </row>
    <row r="461" spans="2:8" hidden="1" x14ac:dyDescent="0.25">
      <c r="B461" s="24">
        <v>14</v>
      </c>
      <c r="C461" s="43" t="s">
        <v>1278</v>
      </c>
      <c r="D461" s="8" t="s">
        <v>231</v>
      </c>
      <c r="E461" s="37" t="s">
        <v>974</v>
      </c>
      <c r="F461" s="8" t="s">
        <v>116</v>
      </c>
      <c r="G461" s="8" t="s">
        <v>116</v>
      </c>
      <c r="H461" s="8" t="s">
        <v>975</v>
      </c>
    </row>
    <row r="462" spans="2:8" hidden="1" x14ac:dyDescent="0.25">
      <c r="B462" s="24">
        <v>14</v>
      </c>
      <c r="C462" s="43" t="s">
        <v>1278</v>
      </c>
      <c r="D462" s="8" t="s">
        <v>233</v>
      </c>
      <c r="E462" s="37" t="s">
        <v>974</v>
      </c>
      <c r="F462" s="8" t="s">
        <v>116</v>
      </c>
      <c r="G462" s="8" t="s">
        <v>116</v>
      </c>
      <c r="H462" s="8" t="s">
        <v>977</v>
      </c>
    </row>
    <row r="463" spans="2:8" hidden="1" x14ac:dyDescent="0.25">
      <c r="B463" s="24">
        <v>14</v>
      </c>
      <c r="C463" s="43" t="s">
        <v>1278</v>
      </c>
      <c r="D463" s="17" t="s">
        <v>236</v>
      </c>
      <c r="E463" s="17" t="s">
        <v>959</v>
      </c>
      <c r="F463" s="17" t="s">
        <v>1042</v>
      </c>
      <c r="G463" s="39" t="s">
        <v>974</v>
      </c>
      <c r="H463" s="17" t="s">
        <v>997</v>
      </c>
    </row>
    <row r="464" spans="2:8" hidden="1" x14ac:dyDescent="0.25">
      <c r="B464" s="24">
        <v>14</v>
      </c>
      <c r="C464" s="43" t="s">
        <v>1278</v>
      </c>
      <c r="D464" s="17" t="s">
        <v>236</v>
      </c>
      <c r="E464" s="17" t="s">
        <v>959</v>
      </c>
      <c r="F464" s="17" t="s">
        <v>1047</v>
      </c>
      <c r="G464" s="39" t="s">
        <v>974</v>
      </c>
      <c r="H464" s="17" t="s">
        <v>997</v>
      </c>
    </row>
    <row r="465" spans="2:8" hidden="1" x14ac:dyDescent="0.25">
      <c r="B465" s="24">
        <v>14</v>
      </c>
      <c r="C465" s="43" t="s">
        <v>1278</v>
      </c>
      <c r="D465" s="8" t="s">
        <v>248</v>
      </c>
      <c r="E465" s="37" t="s">
        <v>974</v>
      </c>
      <c r="F465" s="8" t="s">
        <v>116</v>
      </c>
      <c r="G465" s="8" t="s">
        <v>116</v>
      </c>
      <c r="H465" s="8" t="s">
        <v>977</v>
      </c>
    </row>
    <row r="466" spans="2:8" ht="30" hidden="1" x14ac:dyDescent="0.25">
      <c r="B466" s="24">
        <v>14</v>
      </c>
      <c r="C466" s="43" t="s">
        <v>1278</v>
      </c>
      <c r="D466" s="17" t="s">
        <v>239</v>
      </c>
      <c r="E466" s="17" t="s">
        <v>959</v>
      </c>
      <c r="F466" s="17" t="s">
        <v>1037</v>
      </c>
      <c r="G466" s="39" t="s">
        <v>974</v>
      </c>
      <c r="H466" s="17" t="s">
        <v>1009</v>
      </c>
    </row>
    <row r="467" spans="2:8" hidden="1" x14ac:dyDescent="0.25">
      <c r="B467" s="24">
        <v>14</v>
      </c>
      <c r="C467" s="43" t="s">
        <v>1278</v>
      </c>
      <c r="D467" s="8" t="s">
        <v>246</v>
      </c>
      <c r="E467" s="37" t="s">
        <v>974</v>
      </c>
      <c r="F467" s="8" t="s">
        <v>116</v>
      </c>
      <c r="G467" s="8" t="s">
        <v>116</v>
      </c>
      <c r="H467" s="8" t="s">
        <v>977</v>
      </c>
    </row>
    <row r="468" spans="2:8" hidden="1" x14ac:dyDescent="0.25">
      <c r="B468" s="24">
        <v>14</v>
      </c>
      <c r="C468" s="43" t="s">
        <v>1278</v>
      </c>
      <c r="D468" s="8" t="s">
        <v>242</v>
      </c>
      <c r="E468" s="37" t="s">
        <v>974</v>
      </c>
      <c r="F468" s="8" t="s">
        <v>116</v>
      </c>
      <c r="G468" s="8" t="s">
        <v>116</v>
      </c>
      <c r="H468" s="8" t="s">
        <v>977</v>
      </c>
    </row>
    <row r="469" spans="2:8" ht="30.75" hidden="1" thickBot="1" x14ac:dyDescent="0.3">
      <c r="B469" s="26">
        <v>47</v>
      </c>
      <c r="C469" s="27" t="s">
        <v>1519</v>
      </c>
      <c r="D469" s="10" t="s">
        <v>616</v>
      </c>
      <c r="E469" s="10" t="s">
        <v>959</v>
      </c>
      <c r="F469" s="10" t="s">
        <v>1202</v>
      </c>
      <c r="G469" s="10" t="s">
        <v>959</v>
      </c>
      <c r="H469" s="20" t="s">
        <v>963</v>
      </c>
    </row>
    <row r="470" spans="2:8" ht="16.5" hidden="1" thickTop="1" thickBot="1" x14ac:dyDescent="0.3">
      <c r="B470" s="33">
        <v>47</v>
      </c>
      <c r="C470" s="46" t="s">
        <v>1519</v>
      </c>
      <c r="D470" s="13" t="s">
        <v>616</v>
      </c>
      <c r="E470" s="13" t="s">
        <v>959</v>
      </c>
      <c r="F470" s="13" t="s">
        <v>1203</v>
      </c>
      <c r="G470" s="13" t="s">
        <v>959</v>
      </c>
      <c r="H470" s="49" t="s">
        <v>963</v>
      </c>
    </row>
    <row r="471" spans="2:8" ht="16.5" hidden="1" thickTop="1" thickBot="1" x14ac:dyDescent="0.3">
      <c r="B471" s="33">
        <v>47</v>
      </c>
      <c r="C471" s="46" t="s">
        <v>1519</v>
      </c>
      <c r="D471" s="21" t="s">
        <v>616</v>
      </c>
      <c r="E471" s="21" t="s">
        <v>959</v>
      </c>
      <c r="F471" s="21" t="s">
        <v>1204</v>
      </c>
      <c r="G471" s="51" t="s">
        <v>974</v>
      </c>
      <c r="H471" s="21" t="s">
        <v>978</v>
      </c>
    </row>
    <row r="472" spans="2:8" hidden="1" x14ac:dyDescent="0.25">
      <c r="B472" s="28">
        <v>47</v>
      </c>
      <c r="C472" s="34" t="s">
        <v>1296</v>
      </c>
      <c r="D472" s="18" t="s">
        <v>211</v>
      </c>
      <c r="E472" s="18" t="s">
        <v>959</v>
      </c>
      <c r="F472" s="18" t="s">
        <v>1211</v>
      </c>
      <c r="G472" s="48" t="s">
        <v>974</v>
      </c>
      <c r="H472" s="18" t="s">
        <v>978</v>
      </c>
    </row>
    <row r="473" spans="2:8" hidden="1" x14ac:dyDescent="0.25">
      <c r="B473" s="24">
        <v>47</v>
      </c>
      <c r="C473" s="25" t="s">
        <v>1296</v>
      </c>
      <c r="D473" s="8" t="s">
        <v>412</v>
      </c>
      <c r="E473" s="37" t="s">
        <v>974</v>
      </c>
      <c r="F473" s="8" t="s">
        <v>116</v>
      </c>
      <c r="G473" s="8" t="s">
        <v>116</v>
      </c>
      <c r="H473" s="8" t="s">
        <v>978</v>
      </c>
    </row>
    <row r="474" spans="2:8" hidden="1" x14ac:dyDescent="0.25">
      <c r="B474" s="24">
        <v>47</v>
      </c>
      <c r="C474" s="25" t="s">
        <v>1296</v>
      </c>
      <c r="D474" s="8" t="s">
        <v>555</v>
      </c>
      <c r="E474" s="37" t="s">
        <v>974</v>
      </c>
      <c r="F474" s="8" t="s">
        <v>116</v>
      </c>
      <c r="G474" s="8" t="s">
        <v>116</v>
      </c>
      <c r="H474" s="8" t="s">
        <v>997</v>
      </c>
    </row>
    <row r="475" spans="2:8" hidden="1" x14ac:dyDescent="0.25">
      <c r="B475" s="24">
        <v>47</v>
      </c>
      <c r="C475" s="25" t="s">
        <v>1296</v>
      </c>
      <c r="D475" s="17" t="s">
        <v>697</v>
      </c>
      <c r="E475" s="17" t="s">
        <v>959</v>
      </c>
      <c r="F475" s="17" t="s">
        <v>1205</v>
      </c>
      <c r="G475" s="39" t="s">
        <v>974</v>
      </c>
      <c r="H475" s="17" t="s">
        <v>1206</v>
      </c>
    </row>
    <row r="476" spans="2:8" hidden="1" x14ac:dyDescent="0.25">
      <c r="B476" s="24">
        <v>47</v>
      </c>
      <c r="C476" s="25" t="s">
        <v>1296</v>
      </c>
      <c r="D476" s="8" t="s">
        <v>558</v>
      </c>
      <c r="E476" s="37" t="s">
        <v>974</v>
      </c>
      <c r="F476" s="8" t="s">
        <v>116</v>
      </c>
      <c r="G476" s="8" t="s">
        <v>116</v>
      </c>
      <c r="H476" s="8" t="s">
        <v>978</v>
      </c>
    </row>
    <row r="477" spans="2:8" ht="30" hidden="1" x14ac:dyDescent="0.25">
      <c r="B477" s="24">
        <v>47</v>
      </c>
      <c r="C477" s="25" t="s">
        <v>1296</v>
      </c>
      <c r="D477" s="17" t="s">
        <v>370</v>
      </c>
      <c r="E477" s="17" t="s">
        <v>959</v>
      </c>
      <c r="F477" s="17" t="s">
        <v>1207</v>
      </c>
      <c r="G477" s="39" t="s">
        <v>974</v>
      </c>
      <c r="H477" s="17" t="s">
        <v>1009</v>
      </c>
    </row>
    <row r="478" spans="2:8" hidden="1" x14ac:dyDescent="0.25">
      <c r="B478" s="24">
        <v>47</v>
      </c>
      <c r="C478" s="25" t="s">
        <v>1296</v>
      </c>
      <c r="D478" s="17" t="s">
        <v>702</v>
      </c>
      <c r="E478" s="17" t="s">
        <v>959</v>
      </c>
      <c r="F478" s="17" t="s">
        <v>1208</v>
      </c>
      <c r="G478" s="39" t="s">
        <v>974</v>
      </c>
      <c r="H478" s="17" t="s">
        <v>1131</v>
      </c>
    </row>
    <row r="479" spans="2:8" ht="30" hidden="1" x14ac:dyDescent="0.25">
      <c r="B479" s="24">
        <v>47</v>
      </c>
      <c r="C479" s="25" t="s">
        <v>1296</v>
      </c>
      <c r="D479" s="2" t="s">
        <v>418</v>
      </c>
      <c r="E479" s="2" t="s">
        <v>959</v>
      </c>
      <c r="F479" s="2" t="s">
        <v>1210</v>
      </c>
      <c r="G479" s="2" t="s">
        <v>959</v>
      </c>
      <c r="H479" s="35" t="s">
        <v>963</v>
      </c>
    </row>
    <row r="480" spans="2:8" ht="30" hidden="1" x14ac:dyDescent="0.25">
      <c r="B480" s="24">
        <v>47</v>
      </c>
      <c r="C480" s="25" t="s">
        <v>1296</v>
      </c>
      <c r="D480" s="17" t="s">
        <v>512</v>
      </c>
      <c r="E480" s="17" t="s">
        <v>959</v>
      </c>
      <c r="F480" s="17" t="s">
        <v>1212</v>
      </c>
      <c r="G480" s="39" t="s">
        <v>974</v>
      </c>
      <c r="H480" s="17" t="s">
        <v>1009</v>
      </c>
    </row>
    <row r="481" spans="2:8" hidden="1" x14ac:dyDescent="0.25">
      <c r="B481" s="24">
        <v>47</v>
      </c>
      <c r="C481" s="25" t="s">
        <v>1296</v>
      </c>
      <c r="D481" s="2" t="s">
        <v>534</v>
      </c>
      <c r="E481" s="2" t="s">
        <v>959</v>
      </c>
      <c r="F481" s="2" t="s">
        <v>1209</v>
      </c>
      <c r="G481" s="2" t="s">
        <v>959</v>
      </c>
      <c r="H481" s="35" t="s">
        <v>963</v>
      </c>
    </row>
    <row r="482" spans="2:8" hidden="1" x14ac:dyDescent="0.25">
      <c r="B482" s="30">
        <v>38</v>
      </c>
      <c r="C482" s="25" t="s">
        <v>1292</v>
      </c>
      <c r="D482" s="2" t="s">
        <v>51</v>
      </c>
      <c r="E482" s="2" t="s">
        <v>959</v>
      </c>
      <c r="F482" s="2" t="s">
        <v>1514</v>
      </c>
      <c r="G482" s="2" t="s">
        <v>959</v>
      </c>
      <c r="H482" s="2" t="s">
        <v>963</v>
      </c>
    </row>
    <row r="483" spans="2:8" hidden="1" x14ac:dyDescent="0.25">
      <c r="B483" s="24">
        <v>52</v>
      </c>
      <c r="C483" s="25" t="s">
        <v>1301</v>
      </c>
      <c r="D483" s="8" t="s">
        <v>639</v>
      </c>
      <c r="E483" s="37" t="s">
        <v>974</v>
      </c>
      <c r="F483" s="8" t="s">
        <v>116</v>
      </c>
      <c r="G483" s="8" t="s">
        <v>116</v>
      </c>
      <c r="H483" s="8" t="s">
        <v>977</v>
      </c>
    </row>
    <row r="484" spans="2:8" ht="30" hidden="1" x14ac:dyDescent="0.25">
      <c r="B484" s="24">
        <v>52</v>
      </c>
      <c r="C484" s="25" t="s">
        <v>1301</v>
      </c>
      <c r="D484" s="2" t="s">
        <v>418</v>
      </c>
      <c r="E484" s="2" t="s">
        <v>959</v>
      </c>
      <c r="F484" s="2" t="s">
        <v>1222</v>
      </c>
      <c r="G484" s="2" t="s">
        <v>959</v>
      </c>
      <c r="H484" s="35" t="s">
        <v>963</v>
      </c>
    </row>
    <row r="485" spans="2:8" hidden="1" x14ac:dyDescent="0.25">
      <c r="B485" s="24">
        <v>52</v>
      </c>
      <c r="C485" s="25" t="s">
        <v>1301</v>
      </c>
      <c r="D485" s="2" t="s">
        <v>534</v>
      </c>
      <c r="E485" s="2" t="s">
        <v>959</v>
      </c>
      <c r="F485" s="2" t="s">
        <v>1221</v>
      </c>
      <c r="G485" s="2" t="s">
        <v>959</v>
      </c>
      <c r="H485" s="35" t="s">
        <v>963</v>
      </c>
    </row>
    <row r="486" spans="2:8" hidden="1" x14ac:dyDescent="0.25">
      <c r="B486" s="24">
        <v>81</v>
      </c>
      <c r="C486" s="25" t="s">
        <v>1309</v>
      </c>
      <c r="D486" s="2" t="s">
        <v>51</v>
      </c>
      <c r="E486" s="2" t="s">
        <v>959</v>
      </c>
      <c r="F486" s="2" t="s">
        <v>1245</v>
      </c>
      <c r="G486" s="2" t="s">
        <v>959</v>
      </c>
      <c r="H486" s="35" t="s">
        <v>963</v>
      </c>
    </row>
    <row r="487" spans="2:8" ht="15.75" hidden="1" thickBot="1" x14ac:dyDescent="0.3">
      <c r="B487" s="31">
        <v>50</v>
      </c>
      <c r="C487" s="27" t="s">
        <v>1299</v>
      </c>
      <c r="D487" s="15" t="s">
        <v>741</v>
      </c>
      <c r="E487" s="47" t="s">
        <v>974</v>
      </c>
      <c r="F487" s="15" t="s">
        <v>116</v>
      </c>
      <c r="G487" s="15" t="s">
        <v>116</v>
      </c>
      <c r="H487" s="15" t="s">
        <v>978</v>
      </c>
    </row>
    <row r="488" spans="2:8" hidden="1" x14ac:dyDescent="0.25">
      <c r="B488" s="29">
        <v>50</v>
      </c>
      <c r="C488" s="34" t="s">
        <v>1299</v>
      </c>
      <c r="D488" s="9" t="s">
        <v>744</v>
      </c>
      <c r="E488" s="38" t="s">
        <v>974</v>
      </c>
      <c r="F488" s="9" t="s">
        <v>116</v>
      </c>
      <c r="G488" s="9" t="s">
        <v>116</v>
      </c>
      <c r="H488" s="9" t="s">
        <v>978</v>
      </c>
    </row>
    <row r="489" spans="2:8" ht="30.75" hidden="1" thickBot="1" x14ac:dyDescent="0.3">
      <c r="B489" s="26">
        <v>22</v>
      </c>
      <c r="C489" s="27" t="s">
        <v>1279</v>
      </c>
      <c r="D489" s="16" t="s">
        <v>275</v>
      </c>
      <c r="E489" s="16" t="s">
        <v>959</v>
      </c>
      <c r="F489" s="16" t="s">
        <v>1053</v>
      </c>
      <c r="G489" s="40" t="s">
        <v>974</v>
      </c>
      <c r="H489" s="16" t="s">
        <v>1009</v>
      </c>
    </row>
    <row r="490" spans="2:8" ht="30" hidden="1" x14ac:dyDescent="0.25">
      <c r="B490" s="28">
        <v>22</v>
      </c>
      <c r="C490" s="34" t="s">
        <v>1279</v>
      </c>
      <c r="D490" s="7" t="s">
        <v>263</v>
      </c>
      <c r="E490" s="7" t="s">
        <v>959</v>
      </c>
      <c r="F490" s="7" t="s">
        <v>1050</v>
      </c>
      <c r="G490" s="7" t="s">
        <v>959</v>
      </c>
      <c r="H490" s="41" t="s">
        <v>963</v>
      </c>
    </row>
    <row r="491" spans="2:8" ht="30" hidden="1" x14ac:dyDescent="0.25">
      <c r="B491" s="24">
        <v>22</v>
      </c>
      <c r="C491" s="25" t="s">
        <v>1279</v>
      </c>
      <c r="D491" s="2" t="s">
        <v>263</v>
      </c>
      <c r="E491" s="2" t="s">
        <v>959</v>
      </c>
      <c r="F491" s="2" t="s">
        <v>1049</v>
      </c>
      <c r="G491" s="2" t="s">
        <v>959</v>
      </c>
      <c r="H491" s="35" t="s">
        <v>963</v>
      </c>
    </row>
    <row r="492" spans="2:8" hidden="1" x14ac:dyDescent="0.25">
      <c r="B492" s="24">
        <v>22</v>
      </c>
      <c r="C492" s="25" t="s">
        <v>1279</v>
      </c>
      <c r="D492" s="17" t="s">
        <v>269</v>
      </c>
      <c r="E492" s="17" t="s">
        <v>959</v>
      </c>
      <c r="F492" s="17" t="s">
        <v>1051</v>
      </c>
      <c r="G492" s="39" t="s">
        <v>974</v>
      </c>
      <c r="H492" s="17" t="s">
        <v>997</v>
      </c>
    </row>
    <row r="493" spans="2:8" hidden="1" x14ac:dyDescent="0.25">
      <c r="B493" s="24">
        <v>22</v>
      </c>
      <c r="C493" s="25" t="s">
        <v>1279</v>
      </c>
      <c r="D493" s="17" t="s">
        <v>269</v>
      </c>
      <c r="E493" s="17" t="s">
        <v>959</v>
      </c>
      <c r="F493" s="17" t="s">
        <v>1052</v>
      </c>
      <c r="G493" s="39" t="s">
        <v>974</v>
      </c>
      <c r="H493" s="17" t="s">
        <v>997</v>
      </c>
    </row>
    <row r="494" spans="2:8" ht="30" hidden="1" x14ac:dyDescent="0.25">
      <c r="B494" s="24">
        <v>22</v>
      </c>
      <c r="C494" s="25" t="s">
        <v>1279</v>
      </c>
      <c r="D494" s="2" t="s">
        <v>251</v>
      </c>
      <c r="E494" s="2" t="s">
        <v>959</v>
      </c>
      <c r="F494" s="2" t="s">
        <v>1048</v>
      </c>
      <c r="G494" s="2" t="s">
        <v>959</v>
      </c>
      <c r="H494" s="35" t="s">
        <v>963</v>
      </c>
    </row>
    <row r="495" spans="2:8" ht="30" hidden="1" x14ac:dyDescent="0.25">
      <c r="B495" s="24">
        <v>22</v>
      </c>
      <c r="C495" s="25" t="s">
        <v>1279</v>
      </c>
      <c r="D495" s="2" t="s">
        <v>278</v>
      </c>
      <c r="E495" s="36" t="s">
        <v>959</v>
      </c>
      <c r="F495" s="2" t="s">
        <v>1505</v>
      </c>
      <c r="G495" s="2" t="s">
        <v>959</v>
      </c>
      <c r="H495" s="2" t="s">
        <v>963</v>
      </c>
    </row>
    <row r="496" spans="2:8" hidden="1" x14ac:dyDescent="0.25">
      <c r="B496" s="24">
        <v>22</v>
      </c>
      <c r="C496" s="25" t="s">
        <v>1279</v>
      </c>
      <c r="D496" s="8" t="s">
        <v>272</v>
      </c>
      <c r="E496" s="37" t="s">
        <v>974</v>
      </c>
      <c r="F496" s="8" t="s">
        <v>116</v>
      </c>
      <c r="G496" s="8" t="s">
        <v>116</v>
      </c>
      <c r="H496" s="8" t="s">
        <v>978</v>
      </c>
    </row>
    <row r="497" spans="2:8" hidden="1" x14ac:dyDescent="0.25">
      <c r="B497" s="24">
        <v>22</v>
      </c>
      <c r="C497" s="25" t="s">
        <v>1279</v>
      </c>
      <c r="D497" s="8" t="s">
        <v>260</v>
      </c>
      <c r="E497" s="37" t="s">
        <v>974</v>
      </c>
      <c r="F497" s="8" t="s">
        <v>116</v>
      </c>
      <c r="G497" s="8" t="s">
        <v>116</v>
      </c>
      <c r="H497" s="8" t="s">
        <v>1001</v>
      </c>
    </row>
    <row r="498" spans="2:8" ht="30" hidden="1" x14ac:dyDescent="0.25">
      <c r="B498" s="24">
        <v>22</v>
      </c>
      <c r="C498" s="25" t="s">
        <v>1279</v>
      </c>
      <c r="D498" s="17" t="s">
        <v>254</v>
      </c>
      <c r="E498" s="17" t="s">
        <v>959</v>
      </c>
      <c r="F498" s="17" t="s">
        <v>1049</v>
      </c>
      <c r="G498" s="39" t="s">
        <v>974</v>
      </c>
      <c r="H498" s="17" t="s">
        <v>1009</v>
      </c>
    </row>
    <row r="499" spans="2:8" ht="30" hidden="1" x14ac:dyDescent="0.25">
      <c r="B499" s="24">
        <v>22</v>
      </c>
      <c r="C499" s="25" t="s">
        <v>1279</v>
      </c>
      <c r="D499" s="17" t="s">
        <v>254</v>
      </c>
      <c r="E499" s="17" t="s">
        <v>959</v>
      </c>
      <c r="F499" s="17" t="s">
        <v>1050</v>
      </c>
      <c r="G499" s="39" t="s">
        <v>974</v>
      </c>
      <c r="H499" s="17" t="s">
        <v>1009</v>
      </c>
    </row>
    <row r="500" spans="2:8" hidden="1" x14ac:dyDescent="0.25">
      <c r="B500" s="24">
        <v>22</v>
      </c>
      <c r="C500" s="25" t="s">
        <v>1279</v>
      </c>
      <c r="D500" s="8" t="s">
        <v>257</v>
      </c>
      <c r="E500" s="37" t="s">
        <v>974</v>
      </c>
      <c r="F500" s="8" t="s">
        <v>116</v>
      </c>
      <c r="G500" s="8" t="s">
        <v>116</v>
      </c>
      <c r="H500" s="8" t="s">
        <v>978</v>
      </c>
    </row>
    <row r="501" spans="2:8" hidden="1" x14ac:dyDescent="0.25">
      <c r="B501" s="24">
        <v>22</v>
      </c>
      <c r="C501" s="25" t="s">
        <v>1279</v>
      </c>
      <c r="D501" s="8" t="s">
        <v>166</v>
      </c>
      <c r="E501" s="37" t="s">
        <v>974</v>
      </c>
      <c r="F501" s="8" t="s">
        <v>116</v>
      </c>
      <c r="G501" s="8" t="s">
        <v>116</v>
      </c>
      <c r="H501" s="8" t="s">
        <v>977</v>
      </c>
    </row>
    <row r="502" spans="2:8" hidden="1" x14ac:dyDescent="0.25">
      <c r="B502" s="24">
        <v>22</v>
      </c>
      <c r="C502" s="25" t="s">
        <v>1279</v>
      </c>
      <c r="D502" s="8" t="s">
        <v>266</v>
      </c>
      <c r="E502" s="37" t="s">
        <v>974</v>
      </c>
      <c r="F502" s="8" t="s">
        <v>116</v>
      </c>
      <c r="G502" s="8" t="s">
        <v>116</v>
      </c>
      <c r="H502" s="8" t="s">
        <v>978</v>
      </c>
    </row>
    <row r="503" spans="2:8" ht="15.75" hidden="1" thickBot="1" x14ac:dyDescent="0.3">
      <c r="B503" s="31">
        <v>74</v>
      </c>
      <c r="C503" s="27" t="s">
        <v>1305</v>
      </c>
      <c r="D503" s="15" t="s">
        <v>783</v>
      </c>
      <c r="E503" s="47" t="s">
        <v>974</v>
      </c>
      <c r="F503" s="15" t="s">
        <v>116</v>
      </c>
      <c r="G503" s="15" t="s">
        <v>116</v>
      </c>
      <c r="H503" s="15" t="s">
        <v>978</v>
      </c>
    </row>
    <row r="504" spans="2:8" ht="30" hidden="1" x14ac:dyDescent="0.25">
      <c r="B504" s="29">
        <v>74</v>
      </c>
      <c r="C504" s="34" t="s">
        <v>1305</v>
      </c>
      <c r="D504" s="7" t="s">
        <v>477</v>
      </c>
      <c r="E504" s="7" t="s">
        <v>959</v>
      </c>
      <c r="F504" s="7" t="s">
        <v>1228</v>
      </c>
      <c r="G504" s="7" t="s">
        <v>959</v>
      </c>
      <c r="H504" s="41" t="s">
        <v>963</v>
      </c>
    </row>
    <row r="505" spans="2:8" hidden="1" x14ac:dyDescent="0.25">
      <c r="B505" s="30">
        <v>74</v>
      </c>
      <c r="C505" s="25" t="s">
        <v>1305</v>
      </c>
      <c r="D505" s="8" t="s">
        <v>777</v>
      </c>
      <c r="E505" s="37" t="s">
        <v>974</v>
      </c>
      <c r="F505" s="8" t="s">
        <v>116</v>
      </c>
      <c r="G505" s="8" t="s">
        <v>116</v>
      </c>
      <c r="H505" s="8" t="s">
        <v>978</v>
      </c>
    </row>
    <row r="506" spans="2:8" hidden="1" x14ac:dyDescent="0.25">
      <c r="B506" s="30">
        <v>74</v>
      </c>
      <c r="C506" s="25" t="s">
        <v>1305</v>
      </c>
      <c r="D506" s="2" t="s">
        <v>771</v>
      </c>
      <c r="E506" s="2" t="s">
        <v>959</v>
      </c>
      <c r="F506" s="2" t="s">
        <v>1226</v>
      </c>
      <c r="G506" s="2" t="s">
        <v>959</v>
      </c>
      <c r="H506" s="35" t="s">
        <v>963</v>
      </c>
    </row>
    <row r="507" spans="2:8" hidden="1" x14ac:dyDescent="0.25">
      <c r="B507" s="30">
        <v>74</v>
      </c>
      <c r="C507" s="25" t="s">
        <v>1305</v>
      </c>
      <c r="D507" s="2" t="s">
        <v>768</v>
      </c>
      <c r="E507" s="2" t="s">
        <v>959</v>
      </c>
      <c r="F507" s="2" t="s">
        <v>1225</v>
      </c>
      <c r="G507" s="2" t="s">
        <v>959</v>
      </c>
      <c r="H507" s="35" t="s">
        <v>963</v>
      </c>
    </row>
    <row r="508" spans="2:8" ht="30" hidden="1" x14ac:dyDescent="0.25">
      <c r="B508" s="30">
        <v>74</v>
      </c>
      <c r="C508" s="25" t="s">
        <v>1305</v>
      </c>
      <c r="D508" s="8" t="s">
        <v>51</v>
      </c>
      <c r="E508" s="37" t="s">
        <v>974</v>
      </c>
      <c r="F508" s="8" t="s">
        <v>116</v>
      </c>
      <c r="G508" s="8" t="s">
        <v>116</v>
      </c>
      <c r="H508" s="8" t="s">
        <v>980</v>
      </c>
    </row>
    <row r="509" spans="2:8" ht="30" hidden="1" x14ac:dyDescent="0.25">
      <c r="B509" s="30">
        <v>74</v>
      </c>
      <c r="C509" s="25" t="s">
        <v>1305</v>
      </c>
      <c r="D509" s="8" t="s">
        <v>786</v>
      </c>
      <c r="E509" s="37" t="s">
        <v>974</v>
      </c>
      <c r="F509" s="8" t="s">
        <v>116</v>
      </c>
      <c r="G509" s="8" t="s">
        <v>116</v>
      </c>
      <c r="H509" s="8" t="s">
        <v>980</v>
      </c>
    </row>
    <row r="510" spans="2:8" hidden="1" x14ac:dyDescent="0.25">
      <c r="B510" s="30">
        <v>74</v>
      </c>
      <c r="C510" s="25" t="s">
        <v>1305</v>
      </c>
      <c r="D510" s="2" t="s">
        <v>780</v>
      </c>
      <c r="E510" s="2" t="s">
        <v>959</v>
      </c>
      <c r="F510" s="2" t="s">
        <v>1227</v>
      </c>
      <c r="G510" s="2" t="s">
        <v>959</v>
      </c>
      <c r="H510" s="35" t="s">
        <v>963</v>
      </c>
    </row>
    <row r="511" spans="2:8" hidden="1" x14ac:dyDescent="0.25">
      <c r="B511" s="30">
        <v>74</v>
      </c>
      <c r="C511" s="25" t="s">
        <v>1305</v>
      </c>
      <c r="D511" s="8" t="s">
        <v>774</v>
      </c>
      <c r="E511" s="37" t="s">
        <v>974</v>
      </c>
      <c r="F511" s="8" t="s">
        <v>116</v>
      </c>
      <c r="G511" s="8" t="s">
        <v>116</v>
      </c>
      <c r="H511" s="8" t="s">
        <v>978</v>
      </c>
    </row>
    <row r="512" spans="2:8" ht="30" hidden="1" x14ac:dyDescent="0.25">
      <c r="B512" s="24">
        <v>23</v>
      </c>
      <c r="C512" s="25" t="s">
        <v>1280</v>
      </c>
      <c r="D512" s="2" t="s">
        <v>285</v>
      </c>
      <c r="E512" s="2" t="s">
        <v>959</v>
      </c>
      <c r="F512" s="2" t="s">
        <v>1058</v>
      </c>
      <c r="G512" s="2" t="s">
        <v>959</v>
      </c>
      <c r="H512" s="35" t="s">
        <v>963</v>
      </c>
    </row>
    <row r="513" spans="2:8" hidden="1" x14ac:dyDescent="0.25">
      <c r="B513" s="24">
        <v>23</v>
      </c>
      <c r="C513" s="25" t="s">
        <v>1280</v>
      </c>
      <c r="D513" s="2" t="s">
        <v>275</v>
      </c>
      <c r="E513" s="2" t="s">
        <v>959</v>
      </c>
      <c r="F513" s="2" t="s">
        <v>1057</v>
      </c>
      <c r="G513" s="2" t="s">
        <v>959</v>
      </c>
      <c r="H513" s="35" t="s">
        <v>963</v>
      </c>
    </row>
    <row r="514" spans="2:8" hidden="1" x14ac:dyDescent="0.25">
      <c r="B514" s="24">
        <v>23</v>
      </c>
      <c r="C514" s="25" t="s">
        <v>1280</v>
      </c>
      <c r="D514" s="8" t="s">
        <v>288</v>
      </c>
      <c r="E514" s="37" t="s">
        <v>974</v>
      </c>
      <c r="F514" s="8" t="s">
        <v>116</v>
      </c>
      <c r="G514" s="8" t="s">
        <v>116</v>
      </c>
      <c r="H514" s="8" t="s">
        <v>978</v>
      </c>
    </row>
    <row r="515" spans="2:8" hidden="1" x14ac:dyDescent="0.25">
      <c r="B515" s="24">
        <v>23</v>
      </c>
      <c r="C515" s="25" t="s">
        <v>1280</v>
      </c>
      <c r="D515" s="17" t="s">
        <v>291</v>
      </c>
      <c r="E515" s="17" t="s">
        <v>959</v>
      </c>
      <c r="F515" s="17" t="s">
        <v>1059</v>
      </c>
      <c r="G515" s="39" t="s">
        <v>974</v>
      </c>
      <c r="H515" s="17" t="s">
        <v>1060</v>
      </c>
    </row>
    <row r="516" spans="2:8" ht="30" hidden="1" x14ac:dyDescent="0.25">
      <c r="B516" s="24">
        <v>23</v>
      </c>
      <c r="C516" s="25" t="s">
        <v>1280</v>
      </c>
      <c r="D516" s="17" t="s">
        <v>1061</v>
      </c>
      <c r="E516" s="17" t="s">
        <v>959</v>
      </c>
      <c r="F516" s="17" t="s">
        <v>1062</v>
      </c>
      <c r="G516" s="39" t="s">
        <v>974</v>
      </c>
      <c r="H516" s="17" t="s">
        <v>980</v>
      </c>
    </row>
    <row r="517" spans="2:8" hidden="1" x14ac:dyDescent="0.25">
      <c r="B517" s="24">
        <v>23</v>
      </c>
      <c r="C517" s="25" t="s">
        <v>1280</v>
      </c>
      <c r="D517" s="8" t="s">
        <v>300</v>
      </c>
      <c r="E517" s="37" t="s">
        <v>974</v>
      </c>
      <c r="F517" s="8" t="s">
        <v>116</v>
      </c>
      <c r="G517" s="8" t="s">
        <v>116</v>
      </c>
      <c r="H517" s="8" t="s">
        <v>977</v>
      </c>
    </row>
    <row r="518" spans="2:8" ht="30" hidden="1" x14ac:dyDescent="0.25">
      <c r="B518" s="24">
        <v>23</v>
      </c>
      <c r="C518" s="25" t="s">
        <v>1280</v>
      </c>
      <c r="D518" s="8" t="s">
        <v>297</v>
      </c>
      <c r="E518" s="37" t="s">
        <v>974</v>
      </c>
      <c r="F518" s="8" t="s">
        <v>116</v>
      </c>
      <c r="G518" s="8" t="s">
        <v>116</v>
      </c>
      <c r="H518" s="8" t="s">
        <v>980</v>
      </c>
    </row>
    <row r="519" spans="2:8" ht="30" hidden="1" x14ac:dyDescent="0.25">
      <c r="B519" s="24">
        <v>23</v>
      </c>
      <c r="C519" s="25" t="s">
        <v>1280</v>
      </c>
      <c r="D519" s="17" t="s">
        <v>303</v>
      </c>
      <c r="E519" s="17" t="s">
        <v>959</v>
      </c>
      <c r="F519" s="17" t="s">
        <v>1056</v>
      </c>
      <c r="G519" s="39" t="s">
        <v>974</v>
      </c>
      <c r="H519" s="17" t="s">
        <v>982</v>
      </c>
    </row>
    <row r="520" spans="2:8" ht="30" hidden="1" x14ac:dyDescent="0.25">
      <c r="B520" s="24">
        <v>23</v>
      </c>
      <c r="C520" s="25" t="s">
        <v>1280</v>
      </c>
      <c r="D520" s="17" t="s">
        <v>282</v>
      </c>
      <c r="E520" s="17" t="s">
        <v>959</v>
      </c>
      <c r="F520" s="17" t="s">
        <v>1054</v>
      </c>
      <c r="G520" s="39" t="s">
        <v>974</v>
      </c>
      <c r="H520" s="17" t="s">
        <v>1009</v>
      </c>
    </row>
    <row r="521" spans="2:8" hidden="1" x14ac:dyDescent="0.25">
      <c r="B521" s="24">
        <v>23</v>
      </c>
      <c r="C521" s="25" t="s">
        <v>1280</v>
      </c>
      <c r="D521" s="2" t="s">
        <v>282</v>
      </c>
      <c r="E521" s="2" t="s">
        <v>959</v>
      </c>
      <c r="F521" s="2" t="s">
        <v>1055</v>
      </c>
      <c r="G521" s="2" t="s">
        <v>959</v>
      </c>
      <c r="H521" s="2" t="s">
        <v>116</v>
      </c>
    </row>
    <row r="522" spans="2:8" hidden="1" x14ac:dyDescent="0.25">
      <c r="B522" s="24">
        <v>23</v>
      </c>
      <c r="C522" s="25" t="s">
        <v>1280</v>
      </c>
      <c r="D522" s="2" t="s">
        <v>282</v>
      </c>
      <c r="E522" s="2" t="s">
        <v>959</v>
      </c>
      <c r="F522" s="2" t="s">
        <v>1056</v>
      </c>
      <c r="G522" s="2" t="s">
        <v>959</v>
      </c>
      <c r="H522" s="35" t="s">
        <v>963</v>
      </c>
    </row>
    <row r="523" spans="2:8" ht="30" hidden="1" x14ac:dyDescent="0.25">
      <c r="B523" s="30">
        <v>30</v>
      </c>
      <c r="C523" s="43" t="s">
        <v>1287</v>
      </c>
      <c r="D523" s="2" t="s">
        <v>616</v>
      </c>
      <c r="E523" s="2" t="s">
        <v>959</v>
      </c>
      <c r="F523" s="2" t="s">
        <v>1177</v>
      </c>
      <c r="G523" s="2" t="s">
        <v>959</v>
      </c>
      <c r="H523" s="35" t="s">
        <v>1178</v>
      </c>
    </row>
    <row r="524" spans="2:8" hidden="1" x14ac:dyDescent="0.25">
      <c r="B524" s="30">
        <v>30</v>
      </c>
      <c r="C524" s="43" t="s">
        <v>1287</v>
      </c>
      <c r="D524" s="8" t="s">
        <v>341</v>
      </c>
      <c r="E524" s="37" t="s">
        <v>974</v>
      </c>
      <c r="F524" s="8" t="s">
        <v>116</v>
      </c>
      <c r="G524" s="8" t="s">
        <v>116</v>
      </c>
      <c r="H524" s="8" t="s">
        <v>978</v>
      </c>
    </row>
    <row r="525" spans="2:8" hidden="1" x14ac:dyDescent="0.25">
      <c r="B525" s="30">
        <v>30</v>
      </c>
      <c r="C525" s="43" t="s">
        <v>1287</v>
      </c>
      <c r="D525" s="17" t="s">
        <v>208</v>
      </c>
      <c r="E525" s="17" t="s">
        <v>959</v>
      </c>
      <c r="F525" s="17" t="s">
        <v>1180</v>
      </c>
      <c r="G525" s="39" t="s">
        <v>974</v>
      </c>
      <c r="H525" s="17" t="s">
        <v>978</v>
      </c>
    </row>
    <row r="526" spans="2:8" hidden="1" x14ac:dyDescent="0.25">
      <c r="B526" s="30">
        <v>30</v>
      </c>
      <c r="C526" s="43" t="s">
        <v>1287</v>
      </c>
      <c r="D526" s="17" t="s">
        <v>639</v>
      </c>
      <c r="E526" s="17" t="s">
        <v>959</v>
      </c>
      <c r="F526" s="17" t="s">
        <v>1176</v>
      </c>
      <c r="G526" s="39" t="s">
        <v>974</v>
      </c>
      <c r="H526" s="17" t="s">
        <v>1001</v>
      </c>
    </row>
    <row r="527" spans="2:8" hidden="1" x14ac:dyDescent="0.25">
      <c r="B527" s="30">
        <v>30</v>
      </c>
      <c r="C527" s="25" t="s">
        <v>1287</v>
      </c>
      <c r="D527" s="2" t="s">
        <v>631</v>
      </c>
      <c r="E527" s="2" t="s">
        <v>959</v>
      </c>
      <c r="F527" s="2" t="s">
        <v>1175</v>
      </c>
      <c r="G527" s="2" t="s">
        <v>959</v>
      </c>
      <c r="H527" s="35" t="s">
        <v>963</v>
      </c>
    </row>
    <row r="528" spans="2:8" hidden="1" x14ac:dyDescent="0.25">
      <c r="B528" s="30">
        <v>30</v>
      </c>
      <c r="C528" s="25" t="s">
        <v>1287</v>
      </c>
      <c r="D528" s="2" t="s">
        <v>625</v>
      </c>
      <c r="E528" s="2" t="s">
        <v>959</v>
      </c>
      <c r="F528" s="2" t="s">
        <v>1173</v>
      </c>
      <c r="G528" s="2" t="s">
        <v>959</v>
      </c>
      <c r="H528" s="35" t="s">
        <v>963</v>
      </c>
    </row>
    <row r="529" spans="2:8" hidden="1" x14ac:dyDescent="0.25">
      <c r="B529" s="30">
        <v>30</v>
      </c>
      <c r="C529" s="43" t="s">
        <v>1287</v>
      </c>
      <c r="D529" s="8" t="s">
        <v>620</v>
      </c>
      <c r="E529" s="37" t="s">
        <v>974</v>
      </c>
      <c r="F529" s="8" t="s">
        <v>116</v>
      </c>
      <c r="G529" s="8" t="s">
        <v>116</v>
      </c>
      <c r="H529" s="8" t="s">
        <v>1001</v>
      </c>
    </row>
    <row r="530" spans="2:8" hidden="1" x14ac:dyDescent="0.25">
      <c r="B530" s="30">
        <v>30</v>
      </c>
      <c r="C530" s="43" t="s">
        <v>1287</v>
      </c>
      <c r="D530" s="8" t="s">
        <v>166</v>
      </c>
      <c r="E530" s="37" t="s">
        <v>974</v>
      </c>
      <c r="F530" s="8" t="s">
        <v>116</v>
      </c>
      <c r="G530" s="8" t="s">
        <v>116</v>
      </c>
      <c r="H530" s="8" t="s">
        <v>977</v>
      </c>
    </row>
    <row r="531" spans="2:8" hidden="1" x14ac:dyDescent="0.25">
      <c r="B531" s="30">
        <v>30</v>
      </c>
      <c r="C531" s="43" t="s">
        <v>1287</v>
      </c>
      <c r="D531" s="8" t="s">
        <v>634</v>
      </c>
      <c r="E531" s="37" t="s">
        <v>974</v>
      </c>
      <c r="F531" s="8" t="s">
        <v>116</v>
      </c>
      <c r="G531" s="8" t="s">
        <v>116</v>
      </c>
      <c r="H531" s="8" t="s">
        <v>977</v>
      </c>
    </row>
    <row r="532" spans="2:8" ht="30" hidden="1" x14ac:dyDescent="0.25">
      <c r="B532" s="30">
        <v>30</v>
      </c>
      <c r="C532" s="25" t="s">
        <v>1287</v>
      </c>
      <c r="D532" s="2" t="s">
        <v>622</v>
      </c>
      <c r="E532" s="2" t="s">
        <v>959</v>
      </c>
      <c r="F532" s="2" t="s">
        <v>1172</v>
      </c>
      <c r="G532" s="2" t="s">
        <v>959</v>
      </c>
      <c r="H532" s="35" t="s">
        <v>963</v>
      </c>
    </row>
    <row r="533" spans="2:8" hidden="1" x14ac:dyDescent="0.25">
      <c r="B533" s="30">
        <v>30</v>
      </c>
      <c r="C533" s="43" t="s">
        <v>1287</v>
      </c>
      <c r="D533" s="2" t="s">
        <v>418</v>
      </c>
      <c r="E533" s="2" t="s">
        <v>959</v>
      </c>
      <c r="F533" s="2" t="s">
        <v>1512</v>
      </c>
      <c r="G533" s="2" t="s">
        <v>959</v>
      </c>
      <c r="H533" s="35" t="s">
        <v>963</v>
      </c>
    </row>
    <row r="534" spans="2:8" ht="30" hidden="1" x14ac:dyDescent="0.25">
      <c r="B534" s="30">
        <v>30</v>
      </c>
      <c r="C534" s="25" t="s">
        <v>1287</v>
      </c>
      <c r="D534" s="2" t="s">
        <v>628</v>
      </c>
      <c r="E534" s="2" t="s">
        <v>959</v>
      </c>
      <c r="F534" s="2" t="s">
        <v>1174</v>
      </c>
      <c r="G534" s="2" t="s">
        <v>959</v>
      </c>
      <c r="H534" s="35" t="s">
        <v>1511</v>
      </c>
    </row>
    <row r="535" spans="2:8" hidden="1" x14ac:dyDescent="0.25">
      <c r="B535" s="30">
        <v>30</v>
      </c>
      <c r="C535" s="43" t="s">
        <v>1287</v>
      </c>
      <c r="D535" s="8" t="s">
        <v>637</v>
      </c>
      <c r="E535" s="37" t="s">
        <v>974</v>
      </c>
      <c r="F535" s="8" t="s">
        <v>116</v>
      </c>
      <c r="G535" s="8" t="s">
        <v>116</v>
      </c>
      <c r="H535" s="8" t="s">
        <v>977</v>
      </c>
    </row>
    <row r="536" spans="2:8" ht="30" hidden="1" x14ac:dyDescent="0.25">
      <c r="B536" s="30">
        <v>30</v>
      </c>
      <c r="C536" s="43" t="s">
        <v>1287</v>
      </c>
      <c r="D536" s="17" t="s">
        <v>334</v>
      </c>
      <c r="E536" s="17" t="s">
        <v>959</v>
      </c>
      <c r="F536" s="17" t="s">
        <v>1171</v>
      </c>
      <c r="G536" s="39" t="s">
        <v>974</v>
      </c>
      <c r="H536" s="17" t="s">
        <v>982</v>
      </c>
    </row>
    <row r="537" spans="2:8" hidden="1" x14ac:dyDescent="0.25">
      <c r="B537" s="30">
        <v>30</v>
      </c>
      <c r="C537" s="43" t="s">
        <v>1287</v>
      </c>
      <c r="D537" s="17" t="s">
        <v>512</v>
      </c>
      <c r="E537" s="17" t="s">
        <v>959</v>
      </c>
      <c r="F537" s="17" t="s">
        <v>1181</v>
      </c>
      <c r="G537" s="39" t="s">
        <v>974</v>
      </c>
      <c r="H537" s="17" t="s">
        <v>978</v>
      </c>
    </row>
    <row r="538" spans="2:8" hidden="1" x14ac:dyDescent="0.25">
      <c r="B538" s="30">
        <v>30</v>
      </c>
      <c r="C538" s="43" t="s">
        <v>1287</v>
      </c>
      <c r="D538" s="17" t="s">
        <v>534</v>
      </c>
      <c r="E538" s="17" t="s">
        <v>959</v>
      </c>
      <c r="F538" s="17" t="s">
        <v>1179</v>
      </c>
      <c r="G538" s="39" t="s">
        <v>974</v>
      </c>
      <c r="H538" s="17" t="s">
        <v>978</v>
      </c>
    </row>
    <row r="539" spans="2:8" ht="30" hidden="1" x14ac:dyDescent="0.25">
      <c r="B539" s="24">
        <v>40</v>
      </c>
      <c r="C539" s="25" t="s">
        <v>1293</v>
      </c>
      <c r="D539" s="2" t="s">
        <v>278</v>
      </c>
      <c r="E539" s="2" t="s">
        <v>959</v>
      </c>
      <c r="F539" s="2" t="s">
        <v>1515</v>
      </c>
      <c r="G539" s="2" t="s">
        <v>959</v>
      </c>
      <c r="H539" s="35" t="s">
        <v>963</v>
      </c>
    </row>
    <row r="540" spans="2:8" hidden="1" x14ac:dyDescent="0.25">
      <c r="B540" s="24">
        <v>40</v>
      </c>
      <c r="C540" s="25" t="s">
        <v>1293</v>
      </c>
      <c r="D540" s="17" t="s">
        <v>51</v>
      </c>
      <c r="E540" s="17" t="s">
        <v>959</v>
      </c>
      <c r="F540" s="17" t="s">
        <v>1188</v>
      </c>
      <c r="G540" s="39" t="s">
        <v>974</v>
      </c>
      <c r="H540" s="17" t="s">
        <v>997</v>
      </c>
    </row>
  </sheetData>
  <autoFilter ref="B2:H540" xr:uid="{00000000-0001-0000-0100-000000000000}">
    <filterColumn colId="1">
      <filters>
        <filter val="Rare Earths (RE)"/>
      </filters>
    </filterColumn>
    <filterColumn colId="5">
      <filters>
        <filter val="Y"/>
      </filters>
    </filterColumn>
    <sortState xmlns:xlrd2="http://schemas.microsoft.com/office/spreadsheetml/2017/richdata2" ref="B3:H540">
      <sortCondition ref="C2:C540"/>
    </sortState>
  </autoFilter>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FBA4F-6C3E-4F6D-B774-7081905DF22B}">
  <sheetPr>
    <tabColor theme="5" tint="0.39997558519241921"/>
  </sheetPr>
  <dimension ref="A1:BN69"/>
  <sheetViews>
    <sheetView showGridLines="0" zoomScaleNormal="100" workbookViewId="0">
      <pane xSplit="2" ySplit="2" topLeftCell="C3" activePane="bottomRight" state="frozen"/>
      <selection pane="topRight" activeCell="C1" sqref="C1"/>
      <selection pane="bottomLeft" activeCell="A3" sqref="A3"/>
      <selection pane="bottomRight" activeCell="B13" sqref="A13:XFD13"/>
    </sheetView>
  </sheetViews>
  <sheetFormatPr baseColWidth="10" defaultColWidth="11.42578125" defaultRowHeight="15" x14ac:dyDescent="0.25"/>
  <cols>
    <col min="1" max="1" width="3.42578125" bestFit="1" customWidth="1"/>
    <col min="2" max="2" width="17.42578125" bestFit="1" customWidth="1"/>
    <col min="3" max="3" width="6.5703125" bestFit="1" customWidth="1"/>
    <col min="4" max="14" width="5.42578125" customWidth="1"/>
    <col min="15" max="15" width="6.5703125" bestFit="1" customWidth="1"/>
    <col min="16" max="17" width="6.42578125" bestFit="1" customWidth="1"/>
    <col min="18" max="52" width="5.42578125" customWidth="1"/>
    <col min="53" max="53" width="6.42578125" bestFit="1" customWidth="1"/>
    <col min="54" max="57" width="5.42578125" customWidth="1"/>
    <col min="58" max="58" width="6.42578125" bestFit="1" customWidth="1"/>
    <col min="59" max="65" width="5.42578125" customWidth="1"/>
    <col min="66" max="66" width="30.42578125" bestFit="1" customWidth="1"/>
  </cols>
  <sheetData>
    <row r="1" spans="1:66" x14ac:dyDescent="0.25">
      <c r="C1" s="119" t="s">
        <v>1337</v>
      </c>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c r="AU1" s="120"/>
      <c r="AV1" s="120"/>
      <c r="AW1" s="120"/>
      <c r="AX1" s="120"/>
      <c r="AY1" s="120"/>
      <c r="AZ1" s="120"/>
      <c r="BA1" s="120"/>
      <c r="BB1" s="120"/>
      <c r="BC1" s="120"/>
      <c r="BD1" s="120"/>
      <c r="BE1" s="120"/>
      <c r="BF1" s="120"/>
      <c r="BG1" s="120"/>
      <c r="BH1" s="120"/>
      <c r="BI1" s="120"/>
      <c r="BJ1" s="120"/>
      <c r="BK1" s="120"/>
      <c r="BL1" s="120"/>
      <c r="BM1" s="121"/>
    </row>
    <row r="2" spans="1:66" x14ac:dyDescent="0.25">
      <c r="B2" s="3"/>
      <c r="C2" s="66" t="s">
        <v>4</v>
      </c>
      <c r="D2" s="66" t="s">
        <v>50</v>
      </c>
      <c r="E2" s="66" t="s">
        <v>54</v>
      </c>
      <c r="F2" s="66" t="s">
        <v>101</v>
      </c>
      <c r="G2" s="66" t="s">
        <v>135</v>
      </c>
      <c r="H2" s="66" t="s">
        <v>1338</v>
      </c>
      <c r="I2" s="66" t="s">
        <v>250</v>
      </c>
      <c r="J2" s="66" t="s">
        <v>281</v>
      </c>
      <c r="K2" s="66" t="s">
        <v>306</v>
      </c>
      <c r="L2" s="66" t="s">
        <v>322</v>
      </c>
      <c r="M2" s="66" t="s">
        <v>337</v>
      </c>
      <c r="N2" s="66" t="s">
        <v>421</v>
      </c>
      <c r="O2" s="66" t="s">
        <v>480</v>
      </c>
      <c r="P2" s="66" t="s">
        <v>518</v>
      </c>
      <c r="Q2" s="66" t="s">
        <v>619</v>
      </c>
      <c r="R2" s="66" t="s">
        <v>640</v>
      </c>
      <c r="S2" s="66" t="s">
        <v>641</v>
      </c>
      <c r="T2" s="66" t="s">
        <v>648</v>
      </c>
      <c r="U2" s="66" t="s">
        <v>649</v>
      </c>
      <c r="V2" s="66" t="s">
        <v>650</v>
      </c>
      <c r="W2" s="66" t="s">
        <v>959</v>
      </c>
      <c r="X2" s="66" t="s">
        <v>651</v>
      </c>
      <c r="Y2" s="66" t="s">
        <v>652</v>
      </c>
      <c r="Z2" s="66" t="s">
        <v>674</v>
      </c>
      <c r="AA2" s="66" t="s">
        <v>1339</v>
      </c>
      <c r="AB2" s="66" t="s">
        <v>1340</v>
      </c>
      <c r="AC2" s="66" t="s">
        <v>1341</v>
      </c>
      <c r="AD2" s="66" t="s">
        <v>695</v>
      </c>
      <c r="AE2" s="66" t="s">
        <v>705</v>
      </c>
      <c r="AF2" s="66" t="s">
        <v>724</v>
      </c>
      <c r="AG2" s="66" t="s">
        <v>740</v>
      </c>
      <c r="AH2" s="66" t="s">
        <v>747</v>
      </c>
      <c r="AI2" s="66" t="s">
        <v>755</v>
      </c>
      <c r="AJ2" s="66" t="s">
        <v>756</v>
      </c>
      <c r="AK2" s="66" t="s">
        <v>1342</v>
      </c>
      <c r="AL2" s="66" t="s">
        <v>1343</v>
      </c>
      <c r="AM2" s="66" t="s">
        <v>1344</v>
      </c>
      <c r="AN2" s="66" t="s">
        <v>1345</v>
      </c>
      <c r="AO2" s="66" t="s">
        <v>1346</v>
      </c>
      <c r="AP2" s="66" t="s">
        <v>1347</v>
      </c>
      <c r="AQ2" s="66" t="s">
        <v>1348</v>
      </c>
      <c r="AR2" s="66" t="s">
        <v>1349</v>
      </c>
      <c r="AS2" s="66" t="s">
        <v>1350</v>
      </c>
      <c r="AT2" s="66" t="s">
        <v>1351</v>
      </c>
      <c r="AU2" s="66" t="s">
        <v>1352</v>
      </c>
      <c r="AV2" s="66" t="s">
        <v>1353</v>
      </c>
      <c r="AW2" s="66" t="s">
        <v>1354</v>
      </c>
      <c r="AX2" s="66" t="s">
        <v>1355</v>
      </c>
      <c r="AY2" s="66" t="s">
        <v>766</v>
      </c>
      <c r="AZ2" s="66" t="s">
        <v>1356</v>
      </c>
      <c r="BA2" s="66" t="s">
        <v>767</v>
      </c>
      <c r="BB2" s="66" t="s">
        <v>1357</v>
      </c>
      <c r="BC2" s="66" t="s">
        <v>1358</v>
      </c>
      <c r="BD2" s="66" t="s">
        <v>1359</v>
      </c>
      <c r="BE2" s="66" t="s">
        <v>1360</v>
      </c>
      <c r="BF2" s="66" t="s">
        <v>789</v>
      </c>
      <c r="BG2" s="66" t="s">
        <v>806</v>
      </c>
      <c r="BH2" s="66" t="s">
        <v>807</v>
      </c>
      <c r="BI2" s="66" t="s">
        <v>808</v>
      </c>
      <c r="BJ2" s="66" t="s">
        <v>832</v>
      </c>
      <c r="BK2" s="66" t="s">
        <v>1361</v>
      </c>
      <c r="BL2" s="66" t="s">
        <v>1362</v>
      </c>
      <c r="BM2" s="67" t="s">
        <v>1363</v>
      </c>
      <c r="BN2" s="68" t="s">
        <v>1503</v>
      </c>
    </row>
    <row r="3" spans="1:66" ht="14.85" customHeight="1" x14ac:dyDescent="0.25">
      <c r="A3" s="122" t="s">
        <v>1364</v>
      </c>
      <c r="B3" s="69" t="s">
        <v>4</v>
      </c>
      <c r="C3" s="70"/>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2"/>
      <c r="BA3" s="72"/>
      <c r="BB3" s="72"/>
      <c r="BC3" s="72"/>
      <c r="BD3" s="72"/>
      <c r="BE3" s="72"/>
      <c r="BF3" s="72"/>
      <c r="BG3" s="72"/>
      <c r="BH3" s="72"/>
      <c r="BI3" s="72"/>
      <c r="BJ3" s="72"/>
      <c r="BK3" s="72"/>
      <c r="BL3" s="72"/>
      <c r="BM3" s="72"/>
      <c r="BN3" s="73">
        <f>SUM(C3:BM3)</f>
        <v>0</v>
      </c>
    </row>
    <row r="4" spans="1:66" x14ac:dyDescent="0.25">
      <c r="A4" s="122"/>
      <c r="B4" s="69" t="s">
        <v>50</v>
      </c>
      <c r="C4" s="72"/>
      <c r="D4" s="70"/>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2"/>
      <c r="BA4" s="72"/>
      <c r="BB4" s="72"/>
      <c r="BC4" s="72"/>
      <c r="BD4" s="72"/>
      <c r="BE4" s="72"/>
      <c r="BF4" s="72"/>
      <c r="BG4" s="72"/>
      <c r="BH4" s="72"/>
      <c r="BI4" s="72"/>
      <c r="BJ4" s="72"/>
      <c r="BK4" s="72"/>
      <c r="BL4" s="72"/>
      <c r="BM4" s="72"/>
      <c r="BN4" s="73">
        <f t="shared" ref="BN4:BN64" si="0">SUM(C4:BM4)</f>
        <v>0</v>
      </c>
    </row>
    <row r="5" spans="1:66" x14ac:dyDescent="0.25">
      <c r="A5" s="122"/>
      <c r="B5" s="69" t="s">
        <v>54</v>
      </c>
      <c r="C5" s="72"/>
      <c r="D5" s="71"/>
      <c r="E5" s="70"/>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2"/>
      <c r="BA5" s="72"/>
      <c r="BB5" s="72"/>
      <c r="BC5" s="72"/>
      <c r="BD5" s="72"/>
      <c r="BE5" s="72"/>
      <c r="BF5" s="72"/>
      <c r="BG5" s="72"/>
      <c r="BH5" s="72"/>
      <c r="BI5" s="72"/>
      <c r="BJ5" s="72"/>
      <c r="BK5" s="72"/>
      <c r="BL5" s="72"/>
      <c r="BM5" s="72"/>
      <c r="BN5" s="73">
        <f t="shared" si="0"/>
        <v>0</v>
      </c>
    </row>
    <row r="6" spans="1:66" x14ac:dyDescent="0.25">
      <c r="A6" s="122"/>
      <c r="B6" s="69" t="s">
        <v>101</v>
      </c>
      <c r="C6" s="72"/>
      <c r="D6" s="71"/>
      <c r="E6" s="71"/>
      <c r="F6" s="70"/>
      <c r="G6" s="71"/>
      <c r="H6" s="71"/>
      <c r="I6" s="71"/>
      <c r="J6" s="71"/>
      <c r="K6" s="71"/>
      <c r="L6" s="71"/>
      <c r="M6" s="71"/>
      <c r="N6" s="71"/>
      <c r="O6" s="71"/>
      <c r="P6" s="71"/>
      <c r="Q6" s="71"/>
      <c r="R6" s="71"/>
      <c r="S6" s="71"/>
      <c r="T6" s="71"/>
      <c r="U6" s="71"/>
      <c r="V6" s="71"/>
      <c r="W6" s="71"/>
      <c r="X6" s="71"/>
      <c r="Y6" s="71"/>
      <c r="Z6" s="71"/>
      <c r="AA6" s="71"/>
      <c r="AB6" s="71"/>
      <c r="AC6" s="71"/>
      <c r="AD6" s="71"/>
      <c r="AE6" s="72"/>
      <c r="AF6" s="72"/>
      <c r="AG6" s="72"/>
      <c r="AH6" s="72"/>
      <c r="AI6" s="72"/>
      <c r="AJ6" s="72"/>
      <c r="AK6" s="72"/>
      <c r="AL6" s="72"/>
      <c r="AM6" s="72"/>
      <c r="AN6" s="71"/>
      <c r="AO6" s="71"/>
      <c r="AP6" s="71"/>
      <c r="AQ6" s="71"/>
      <c r="AR6" s="71"/>
      <c r="AS6" s="71"/>
      <c r="AT6" s="71"/>
      <c r="AU6" s="71"/>
      <c r="AV6" s="71"/>
      <c r="AW6" s="71"/>
      <c r="AX6" s="71"/>
      <c r="AY6" s="71"/>
      <c r="AZ6" s="72"/>
      <c r="BA6" s="72"/>
      <c r="BB6" s="72"/>
      <c r="BC6" s="72"/>
      <c r="BD6" s="72"/>
      <c r="BE6" s="72"/>
      <c r="BF6" s="72"/>
      <c r="BG6" s="72"/>
      <c r="BH6" s="72"/>
      <c r="BI6" s="72"/>
      <c r="BJ6" s="72"/>
      <c r="BK6" s="72"/>
      <c r="BL6" s="72"/>
      <c r="BM6" s="72"/>
      <c r="BN6" s="73">
        <f t="shared" si="0"/>
        <v>0</v>
      </c>
    </row>
    <row r="7" spans="1:66" x14ac:dyDescent="0.25">
      <c r="A7" s="122"/>
      <c r="B7" s="69" t="s">
        <v>135</v>
      </c>
      <c r="C7" s="72"/>
      <c r="D7" s="71"/>
      <c r="E7" s="71"/>
      <c r="F7" s="71"/>
      <c r="G7" s="70"/>
      <c r="H7" s="71"/>
      <c r="I7" s="71"/>
      <c r="J7" s="71"/>
      <c r="K7" s="74">
        <v>1</v>
      </c>
      <c r="L7" s="71"/>
      <c r="M7" s="71"/>
      <c r="N7" s="71"/>
      <c r="O7" s="71"/>
      <c r="P7" s="74">
        <v>4</v>
      </c>
      <c r="Q7" s="74">
        <v>1</v>
      </c>
      <c r="R7" s="71"/>
      <c r="S7" s="71"/>
      <c r="T7" s="71"/>
      <c r="U7" s="71"/>
      <c r="V7" s="71"/>
      <c r="W7" s="71"/>
      <c r="X7" s="71"/>
      <c r="Y7" s="71"/>
      <c r="Z7" s="71"/>
      <c r="AA7" s="71"/>
      <c r="AB7" s="71"/>
      <c r="AC7" s="71"/>
      <c r="AD7" s="71"/>
      <c r="AE7" s="72"/>
      <c r="AF7" s="72"/>
      <c r="AG7" s="72"/>
      <c r="AH7" s="72"/>
      <c r="AI7" s="72"/>
      <c r="AJ7" s="72"/>
      <c r="AK7" s="72"/>
      <c r="AL7" s="72"/>
      <c r="AM7" s="72"/>
      <c r="AN7" s="71"/>
      <c r="AO7" s="71"/>
      <c r="AP7" s="71"/>
      <c r="AQ7" s="71"/>
      <c r="AR7" s="71"/>
      <c r="AS7" s="71"/>
      <c r="AT7" s="71"/>
      <c r="AU7" s="71"/>
      <c r="AV7" s="71"/>
      <c r="AW7" s="71"/>
      <c r="AX7" s="71"/>
      <c r="AY7" s="71"/>
      <c r="AZ7" s="72"/>
      <c r="BA7" s="72"/>
      <c r="BB7" s="72"/>
      <c r="BC7" s="72"/>
      <c r="BD7" s="72"/>
      <c r="BE7" s="72"/>
      <c r="BF7" s="72"/>
      <c r="BG7" s="72"/>
      <c r="BH7" s="72"/>
      <c r="BI7" s="72"/>
      <c r="BJ7" s="72"/>
      <c r="BK7" s="72"/>
      <c r="BL7" s="72"/>
      <c r="BM7" s="72"/>
      <c r="BN7" s="73">
        <f t="shared" si="0"/>
        <v>6</v>
      </c>
    </row>
    <row r="8" spans="1:66" x14ac:dyDescent="0.25">
      <c r="A8" s="122"/>
      <c r="B8" s="69" t="s">
        <v>1338</v>
      </c>
      <c r="C8" s="72"/>
      <c r="D8" s="71"/>
      <c r="E8" s="71"/>
      <c r="F8" s="71"/>
      <c r="G8" s="72"/>
      <c r="H8" s="70"/>
      <c r="I8" s="71"/>
      <c r="J8" s="71"/>
      <c r="K8" s="71"/>
      <c r="L8" s="71"/>
      <c r="M8" s="72"/>
      <c r="N8" s="71"/>
      <c r="O8" s="71"/>
      <c r="P8" s="71"/>
      <c r="Q8" s="71"/>
      <c r="R8" s="71"/>
      <c r="S8" s="71"/>
      <c r="T8" s="71"/>
      <c r="U8" s="71"/>
      <c r="V8" s="71"/>
      <c r="W8" s="71"/>
      <c r="X8" s="71"/>
      <c r="Y8" s="71"/>
      <c r="Z8" s="71"/>
      <c r="AA8" s="71"/>
      <c r="AB8" s="71"/>
      <c r="AC8" s="71"/>
      <c r="AD8" s="71"/>
      <c r="AE8" s="72"/>
      <c r="AF8" s="72"/>
      <c r="AG8" s="72"/>
      <c r="AH8" s="72"/>
      <c r="AI8" s="72"/>
      <c r="AJ8" s="72"/>
      <c r="AK8" s="72"/>
      <c r="AL8" s="72"/>
      <c r="AM8" s="72"/>
      <c r="AN8" s="71"/>
      <c r="AO8" s="71"/>
      <c r="AP8" s="71"/>
      <c r="AQ8" s="71"/>
      <c r="AR8" s="71"/>
      <c r="AS8" s="71"/>
      <c r="AT8" s="71"/>
      <c r="AU8" s="71"/>
      <c r="AV8" s="71"/>
      <c r="AW8" s="71"/>
      <c r="AX8" s="71"/>
      <c r="AY8" s="71"/>
      <c r="AZ8" s="72"/>
      <c r="BA8" s="72"/>
      <c r="BB8" s="72"/>
      <c r="BC8" s="72"/>
      <c r="BD8" s="72"/>
      <c r="BE8" s="72"/>
      <c r="BF8" s="72"/>
      <c r="BG8" s="72"/>
      <c r="BH8" s="72"/>
      <c r="BI8" s="72"/>
      <c r="BJ8" s="72"/>
      <c r="BK8" s="72"/>
      <c r="BL8" s="72"/>
      <c r="BM8" s="72"/>
      <c r="BN8" s="73">
        <f t="shared" si="0"/>
        <v>0</v>
      </c>
    </row>
    <row r="9" spans="1:66" x14ac:dyDescent="0.25">
      <c r="A9" s="122"/>
      <c r="B9" s="69" t="s">
        <v>250</v>
      </c>
      <c r="C9" s="72"/>
      <c r="D9" s="71"/>
      <c r="E9" s="71"/>
      <c r="F9" s="71"/>
      <c r="G9" s="72"/>
      <c r="H9" s="71"/>
      <c r="I9" s="70"/>
      <c r="J9" s="71"/>
      <c r="K9" s="71"/>
      <c r="L9" s="71"/>
      <c r="M9" s="74">
        <v>1</v>
      </c>
      <c r="N9" s="71"/>
      <c r="O9" s="71"/>
      <c r="P9" s="71"/>
      <c r="Q9" s="71"/>
      <c r="R9" s="71"/>
      <c r="S9" s="71"/>
      <c r="T9" s="71"/>
      <c r="U9" s="71"/>
      <c r="V9" s="71"/>
      <c r="W9" s="71"/>
      <c r="X9" s="72"/>
      <c r="Y9" s="71"/>
      <c r="Z9" s="71"/>
      <c r="AA9" s="71"/>
      <c r="AB9" s="71"/>
      <c r="AC9" s="71"/>
      <c r="AD9" s="71"/>
      <c r="AE9" s="72"/>
      <c r="AF9" s="72"/>
      <c r="AG9" s="72"/>
      <c r="AH9" s="72"/>
      <c r="AI9" s="72"/>
      <c r="AJ9" s="72"/>
      <c r="AK9" s="72"/>
      <c r="AL9" s="72"/>
      <c r="AM9" s="72"/>
      <c r="AN9" s="71"/>
      <c r="AO9" s="71"/>
      <c r="AP9" s="71"/>
      <c r="AQ9" s="71"/>
      <c r="AR9" s="71"/>
      <c r="AS9" s="71"/>
      <c r="AT9" s="71"/>
      <c r="AU9" s="71"/>
      <c r="AV9" s="71"/>
      <c r="AW9" s="71"/>
      <c r="AX9" s="71"/>
      <c r="AY9" s="71"/>
      <c r="AZ9" s="72"/>
      <c r="BA9" s="72"/>
      <c r="BB9" s="72"/>
      <c r="BC9" s="72"/>
      <c r="BD9" s="72"/>
      <c r="BE9" s="72"/>
      <c r="BF9" s="72"/>
      <c r="BG9" s="72"/>
      <c r="BH9" s="72"/>
      <c r="BI9" s="72"/>
      <c r="BJ9" s="72"/>
      <c r="BK9" s="72"/>
      <c r="BL9" s="72"/>
      <c r="BM9" s="72"/>
      <c r="BN9" s="73">
        <f t="shared" si="0"/>
        <v>1</v>
      </c>
    </row>
    <row r="10" spans="1:66" x14ac:dyDescent="0.25">
      <c r="A10" s="122"/>
      <c r="B10" s="69" t="s">
        <v>281</v>
      </c>
      <c r="C10" s="72"/>
      <c r="D10" s="71"/>
      <c r="E10" s="71"/>
      <c r="F10" s="71"/>
      <c r="G10" s="72"/>
      <c r="H10" s="71"/>
      <c r="I10" s="71"/>
      <c r="J10" s="70"/>
      <c r="K10" s="71"/>
      <c r="L10" s="71"/>
      <c r="M10" s="75">
        <v>2</v>
      </c>
      <c r="N10" s="71"/>
      <c r="O10" s="71"/>
      <c r="P10" s="71"/>
      <c r="Q10" s="71"/>
      <c r="R10" s="71"/>
      <c r="S10" s="71"/>
      <c r="T10" s="71"/>
      <c r="U10" s="71"/>
      <c r="V10" s="71"/>
      <c r="W10" s="71"/>
      <c r="X10" s="71"/>
      <c r="Y10" s="71"/>
      <c r="Z10" s="71"/>
      <c r="AA10" s="71"/>
      <c r="AB10" s="71"/>
      <c r="AC10" s="71"/>
      <c r="AD10" s="71"/>
      <c r="AE10" s="72"/>
      <c r="AF10" s="72"/>
      <c r="AG10" s="72"/>
      <c r="AH10" s="72"/>
      <c r="AI10" s="72"/>
      <c r="AJ10" s="72"/>
      <c r="AK10" s="72"/>
      <c r="AL10" s="72"/>
      <c r="AM10" s="72"/>
      <c r="AN10" s="71"/>
      <c r="AO10" s="71"/>
      <c r="AP10" s="71"/>
      <c r="AQ10" s="71"/>
      <c r="AR10" s="71"/>
      <c r="AS10" s="71"/>
      <c r="AT10" s="71"/>
      <c r="AU10" s="71"/>
      <c r="AV10" s="71"/>
      <c r="AW10" s="71"/>
      <c r="AX10" s="71"/>
      <c r="AY10" s="71"/>
      <c r="AZ10" s="72"/>
      <c r="BA10" s="72"/>
      <c r="BB10" s="72"/>
      <c r="BC10" s="72"/>
      <c r="BD10" s="72"/>
      <c r="BE10" s="72"/>
      <c r="BF10" s="72"/>
      <c r="BG10" s="72"/>
      <c r="BH10" s="72"/>
      <c r="BI10" s="72"/>
      <c r="BJ10" s="72"/>
      <c r="BK10" s="72"/>
      <c r="BL10" s="72"/>
      <c r="BM10" s="72"/>
      <c r="BN10" s="73">
        <f t="shared" si="0"/>
        <v>2</v>
      </c>
    </row>
    <row r="11" spans="1:66" x14ac:dyDescent="0.25">
      <c r="A11" s="122"/>
      <c r="B11" s="69" t="s">
        <v>306</v>
      </c>
      <c r="C11" s="72"/>
      <c r="D11" s="71"/>
      <c r="E11" s="71"/>
      <c r="F11" s="71"/>
      <c r="G11" s="72"/>
      <c r="H11" s="71"/>
      <c r="I11" s="71"/>
      <c r="J11" s="72"/>
      <c r="K11" s="70"/>
      <c r="L11" s="71"/>
      <c r="M11" s="71"/>
      <c r="N11" s="71"/>
      <c r="O11" s="71"/>
      <c r="P11" s="71"/>
      <c r="Q11" s="71"/>
      <c r="R11" s="71"/>
      <c r="S11" s="71"/>
      <c r="T11" s="71"/>
      <c r="U11" s="71"/>
      <c r="V11" s="71"/>
      <c r="W11" s="71"/>
      <c r="X11" s="71"/>
      <c r="Y11" s="71"/>
      <c r="Z11" s="71"/>
      <c r="AA11" s="71"/>
      <c r="AB11" s="71"/>
      <c r="AC11" s="71"/>
      <c r="AD11" s="71"/>
      <c r="AE11" s="72"/>
      <c r="AF11" s="72"/>
      <c r="AG11" s="72"/>
      <c r="AH11" s="72"/>
      <c r="AI11" s="72"/>
      <c r="AJ11" s="72"/>
      <c r="AK11" s="72"/>
      <c r="AL11" s="72"/>
      <c r="AM11" s="72"/>
      <c r="AN11" s="71"/>
      <c r="AO11" s="71"/>
      <c r="AP11" s="71"/>
      <c r="AQ11" s="71"/>
      <c r="AR11" s="71"/>
      <c r="AS11" s="71"/>
      <c r="AT11" s="71"/>
      <c r="AU11" s="71"/>
      <c r="AV11" s="71"/>
      <c r="AW11" s="71"/>
      <c r="AX11" s="71"/>
      <c r="AY11" s="71"/>
      <c r="AZ11" s="72"/>
      <c r="BA11" s="72"/>
      <c r="BB11" s="72"/>
      <c r="BC11" s="72"/>
      <c r="BD11" s="72"/>
      <c r="BE11" s="72"/>
      <c r="BF11" s="72"/>
      <c r="BG11" s="72"/>
      <c r="BH11" s="72"/>
      <c r="BI11" s="72"/>
      <c r="BJ11" s="72"/>
      <c r="BK11" s="72"/>
      <c r="BL11" s="72"/>
      <c r="BM11" s="72"/>
      <c r="BN11" s="73">
        <f t="shared" si="0"/>
        <v>0</v>
      </c>
    </row>
    <row r="12" spans="1:66" x14ac:dyDescent="0.25">
      <c r="A12" s="122"/>
      <c r="B12" s="69" t="s">
        <v>322</v>
      </c>
      <c r="C12" s="72"/>
      <c r="D12" s="71"/>
      <c r="E12" s="71"/>
      <c r="F12" s="71"/>
      <c r="G12" s="72"/>
      <c r="H12" s="71"/>
      <c r="I12" s="71"/>
      <c r="J12" s="72"/>
      <c r="K12" s="71"/>
      <c r="L12" s="70"/>
      <c r="M12" s="72"/>
      <c r="N12" s="71"/>
      <c r="O12" s="71"/>
      <c r="P12" s="71"/>
      <c r="Q12" s="74">
        <v>1</v>
      </c>
      <c r="R12" s="71"/>
      <c r="S12" s="71"/>
      <c r="T12" s="71"/>
      <c r="U12" s="71"/>
      <c r="V12" s="71"/>
      <c r="W12" s="71"/>
      <c r="X12" s="71"/>
      <c r="Y12" s="71"/>
      <c r="Z12" s="71"/>
      <c r="AA12" s="71"/>
      <c r="AB12" s="71"/>
      <c r="AC12" s="71"/>
      <c r="AD12" s="71"/>
      <c r="AE12" s="72"/>
      <c r="AF12" s="72"/>
      <c r="AG12" s="72"/>
      <c r="AH12" s="72"/>
      <c r="AI12" s="72"/>
      <c r="AJ12" s="72"/>
      <c r="AK12" s="72"/>
      <c r="AL12" s="72"/>
      <c r="AM12" s="72"/>
      <c r="AN12" s="71"/>
      <c r="AO12" s="71"/>
      <c r="AP12" s="71"/>
      <c r="AQ12" s="71"/>
      <c r="AR12" s="71"/>
      <c r="AS12" s="71"/>
      <c r="AT12" s="71"/>
      <c r="AU12" s="71"/>
      <c r="AV12" s="71"/>
      <c r="AW12" s="71"/>
      <c r="AX12" s="71"/>
      <c r="AY12" s="71"/>
      <c r="AZ12" s="72"/>
      <c r="BA12" s="72"/>
      <c r="BB12" s="72"/>
      <c r="BC12" s="72"/>
      <c r="BD12" s="72"/>
      <c r="BE12" s="72"/>
      <c r="BF12" s="72"/>
      <c r="BG12" s="72"/>
      <c r="BH12" s="72"/>
      <c r="BI12" s="72"/>
      <c r="BJ12" s="72"/>
      <c r="BK12" s="72"/>
      <c r="BL12" s="72"/>
      <c r="BM12" s="72"/>
      <c r="BN12" s="73">
        <f t="shared" si="0"/>
        <v>1</v>
      </c>
    </row>
    <row r="13" spans="1:66" x14ac:dyDescent="0.25">
      <c r="A13" s="122"/>
      <c r="B13" s="69" t="s">
        <v>337</v>
      </c>
      <c r="C13" s="72"/>
      <c r="D13" s="71"/>
      <c r="E13" s="71"/>
      <c r="F13" s="71"/>
      <c r="G13" s="72"/>
      <c r="H13" s="71"/>
      <c r="I13" s="74">
        <v>3</v>
      </c>
      <c r="J13" s="72"/>
      <c r="K13" s="74">
        <v>1</v>
      </c>
      <c r="L13" s="71"/>
      <c r="M13" s="70"/>
      <c r="N13" s="71"/>
      <c r="O13" s="71"/>
      <c r="P13" s="74">
        <v>4</v>
      </c>
      <c r="Q13" s="71"/>
      <c r="R13" s="71"/>
      <c r="S13" s="71"/>
      <c r="T13" s="71"/>
      <c r="U13" s="71"/>
      <c r="V13" s="71"/>
      <c r="W13" s="71"/>
      <c r="X13" s="71"/>
      <c r="Y13" s="74">
        <v>3</v>
      </c>
      <c r="Z13" s="71"/>
      <c r="AA13" s="71"/>
      <c r="AB13" s="71"/>
      <c r="AC13" s="72"/>
      <c r="AD13" s="72"/>
      <c r="AE13" s="72"/>
      <c r="AF13" s="72"/>
      <c r="AG13" s="72"/>
      <c r="AH13" s="72"/>
      <c r="AI13" s="72"/>
      <c r="AJ13" s="72"/>
      <c r="AK13" s="72"/>
      <c r="AL13" s="72"/>
      <c r="AM13" s="72"/>
      <c r="AN13" s="72"/>
      <c r="AO13" s="72"/>
      <c r="AP13" s="72"/>
      <c r="AQ13" s="71"/>
      <c r="AR13" s="71"/>
      <c r="AS13" s="71"/>
      <c r="AT13" s="71"/>
      <c r="AU13" s="71"/>
      <c r="AV13" s="71"/>
      <c r="AW13" s="71"/>
      <c r="AX13" s="71"/>
      <c r="AY13" s="71"/>
      <c r="AZ13" s="71"/>
      <c r="BA13" s="71"/>
      <c r="BB13" s="71"/>
      <c r="BC13" s="71"/>
      <c r="BD13" s="71"/>
      <c r="BE13" s="71"/>
      <c r="BF13" s="74">
        <v>1</v>
      </c>
      <c r="BG13" s="71"/>
      <c r="BH13" s="71"/>
      <c r="BI13" s="71"/>
      <c r="BJ13" s="71"/>
      <c r="BK13" s="71"/>
      <c r="BL13" s="71"/>
      <c r="BM13" s="71"/>
      <c r="BN13" s="73">
        <f t="shared" si="0"/>
        <v>12</v>
      </c>
    </row>
    <row r="14" spans="1:66" x14ac:dyDescent="0.25">
      <c r="A14" s="122"/>
      <c r="B14" s="69" t="s">
        <v>421</v>
      </c>
      <c r="C14" s="72"/>
      <c r="D14" s="71"/>
      <c r="E14" s="71"/>
      <c r="F14" s="71"/>
      <c r="G14" s="72"/>
      <c r="H14" s="71"/>
      <c r="I14" s="74">
        <v>2</v>
      </c>
      <c r="J14" s="72"/>
      <c r="K14" s="71"/>
      <c r="L14" s="71"/>
      <c r="M14" s="71"/>
      <c r="N14" s="70"/>
      <c r="O14" s="75">
        <v>6</v>
      </c>
      <c r="P14" s="72"/>
      <c r="Q14" s="74">
        <v>1</v>
      </c>
      <c r="R14" s="71"/>
      <c r="S14" s="71"/>
      <c r="T14" s="71"/>
      <c r="U14" s="71"/>
      <c r="V14" s="71"/>
      <c r="W14" s="71"/>
      <c r="X14" s="71"/>
      <c r="Y14" s="71"/>
      <c r="Z14" s="71"/>
      <c r="AA14" s="71"/>
      <c r="AB14" s="71"/>
      <c r="AC14" s="72"/>
      <c r="AD14" s="72"/>
      <c r="AE14" s="72"/>
      <c r="AF14" s="72"/>
      <c r="AG14" s="72"/>
      <c r="AH14" s="72"/>
      <c r="AI14" s="72"/>
      <c r="AJ14" s="72"/>
      <c r="AK14" s="72"/>
      <c r="AL14" s="72"/>
      <c r="AM14" s="72"/>
      <c r="AN14" s="72"/>
      <c r="AO14" s="72"/>
      <c r="AP14" s="72"/>
      <c r="AQ14" s="71"/>
      <c r="AR14" s="71"/>
      <c r="AS14" s="71"/>
      <c r="AT14" s="71"/>
      <c r="AU14" s="71"/>
      <c r="AV14" s="71"/>
      <c r="AW14" s="71"/>
      <c r="AX14" s="71"/>
      <c r="AY14" s="71"/>
      <c r="AZ14" s="71"/>
      <c r="BA14" s="75">
        <v>1</v>
      </c>
      <c r="BB14" s="71"/>
      <c r="BC14" s="71"/>
      <c r="BD14" s="71"/>
      <c r="BE14" s="72"/>
      <c r="BF14" s="71"/>
      <c r="BG14" s="71"/>
      <c r="BH14" s="71"/>
      <c r="BI14" s="71"/>
      <c r="BJ14" s="71"/>
      <c r="BK14" s="71"/>
      <c r="BL14" s="71"/>
      <c r="BM14" s="71"/>
      <c r="BN14" s="73">
        <f t="shared" si="0"/>
        <v>10</v>
      </c>
    </row>
    <row r="15" spans="1:66" x14ac:dyDescent="0.25">
      <c r="A15" s="122"/>
      <c r="B15" s="69" t="s">
        <v>480</v>
      </c>
      <c r="C15" s="72"/>
      <c r="D15" s="71"/>
      <c r="E15" s="71"/>
      <c r="F15" s="71"/>
      <c r="G15" s="72"/>
      <c r="H15" s="71"/>
      <c r="I15" s="71"/>
      <c r="J15" s="72"/>
      <c r="K15" s="71"/>
      <c r="L15" s="71"/>
      <c r="M15" s="71"/>
      <c r="N15" s="71"/>
      <c r="O15" s="70"/>
      <c r="P15" s="74">
        <v>6</v>
      </c>
      <c r="Q15" s="71"/>
      <c r="R15" s="71"/>
      <c r="S15" s="71"/>
      <c r="T15" s="71"/>
      <c r="U15" s="71"/>
      <c r="V15" s="71"/>
      <c r="W15" s="71"/>
      <c r="X15" s="71"/>
      <c r="Y15" s="71"/>
      <c r="Z15" s="71"/>
      <c r="AA15" s="71"/>
      <c r="AB15" s="71"/>
      <c r="AC15" s="72"/>
      <c r="AD15" s="72"/>
      <c r="AE15" s="72"/>
      <c r="AF15" s="72"/>
      <c r="AG15" s="72"/>
      <c r="AH15" s="72"/>
      <c r="AI15" s="72"/>
      <c r="AJ15" s="72"/>
      <c r="AK15" s="72"/>
      <c r="AL15" s="72"/>
      <c r="AM15" s="72"/>
      <c r="AN15" s="72"/>
      <c r="AO15" s="72"/>
      <c r="AP15" s="72"/>
      <c r="AQ15" s="71"/>
      <c r="AR15" s="71"/>
      <c r="AS15" s="71"/>
      <c r="AT15" s="71"/>
      <c r="AU15" s="71"/>
      <c r="AV15" s="71"/>
      <c r="AW15" s="71"/>
      <c r="AX15" s="71"/>
      <c r="AY15" s="71"/>
      <c r="AZ15" s="71"/>
      <c r="BA15" s="71"/>
      <c r="BB15" s="71"/>
      <c r="BC15" s="71"/>
      <c r="BD15" s="71"/>
      <c r="BE15" s="72"/>
      <c r="BF15" s="72"/>
      <c r="BG15" s="72"/>
      <c r="BH15" s="72"/>
      <c r="BI15" s="72"/>
      <c r="BJ15" s="72"/>
      <c r="BK15" s="71"/>
      <c r="BL15" s="71"/>
      <c r="BM15" s="71"/>
      <c r="BN15" s="73">
        <f t="shared" si="0"/>
        <v>6</v>
      </c>
    </row>
    <row r="16" spans="1:66" x14ac:dyDescent="0.25">
      <c r="A16" s="122"/>
      <c r="B16" s="69" t="s">
        <v>518</v>
      </c>
      <c r="C16" s="72"/>
      <c r="D16" s="71"/>
      <c r="E16" s="71"/>
      <c r="F16" s="71"/>
      <c r="G16" s="72"/>
      <c r="H16" s="71"/>
      <c r="I16" s="71"/>
      <c r="J16" s="72"/>
      <c r="K16" s="71"/>
      <c r="L16" s="71"/>
      <c r="M16" s="71"/>
      <c r="N16" s="71"/>
      <c r="O16" s="74">
        <v>4</v>
      </c>
      <c r="P16" s="70"/>
      <c r="Q16" s="74">
        <v>1</v>
      </c>
      <c r="R16" s="71"/>
      <c r="S16" s="71"/>
      <c r="T16" s="71"/>
      <c r="U16" s="71"/>
      <c r="V16" s="71"/>
      <c r="W16" s="71"/>
      <c r="X16" s="71"/>
      <c r="Y16" s="71"/>
      <c r="Z16" s="71"/>
      <c r="AA16" s="71"/>
      <c r="AB16" s="71"/>
      <c r="AC16" s="72"/>
      <c r="AD16" s="72"/>
      <c r="AE16" s="72"/>
      <c r="AF16" s="72"/>
      <c r="AG16" s="72"/>
      <c r="AH16" s="72"/>
      <c r="AI16" s="72"/>
      <c r="AJ16" s="72"/>
      <c r="AK16" s="72"/>
      <c r="AL16" s="72"/>
      <c r="AM16" s="72"/>
      <c r="AN16" s="72"/>
      <c r="AO16" s="72"/>
      <c r="AP16" s="72"/>
      <c r="AQ16" s="71"/>
      <c r="AR16" s="71"/>
      <c r="AS16" s="71"/>
      <c r="AT16" s="71"/>
      <c r="AU16" s="71"/>
      <c r="AV16" s="71"/>
      <c r="AW16" s="71"/>
      <c r="AX16" s="71"/>
      <c r="AY16" s="71"/>
      <c r="AZ16" s="71"/>
      <c r="BA16" s="71"/>
      <c r="BB16" s="71"/>
      <c r="BC16" s="71"/>
      <c r="BD16" s="71"/>
      <c r="BE16" s="72"/>
      <c r="BF16" s="72"/>
      <c r="BG16" s="72"/>
      <c r="BH16" s="72"/>
      <c r="BI16" s="72"/>
      <c r="BJ16" s="72"/>
      <c r="BK16" s="71"/>
      <c r="BL16" s="71"/>
      <c r="BM16" s="71"/>
      <c r="BN16" s="73">
        <f t="shared" si="0"/>
        <v>5</v>
      </c>
    </row>
    <row r="17" spans="1:66" x14ac:dyDescent="0.25">
      <c r="A17" s="122"/>
      <c r="B17" s="69" t="s">
        <v>619</v>
      </c>
      <c r="C17" s="72"/>
      <c r="D17" s="71"/>
      <c r="E17" s="71"/>
      <c r="F17" s="71"/>
      <c r="G17" s="72"/>
      <c r="H17" s="71"/>
      <c r="I17" s="71"/>
      <c r="J17" s="72"/>
      <c r="K17" s="71"/>
      <c r="L17" s="71"/>
      <c r="M17" s="71"/>
      <c r="N17" s="71"/>
      <c r="O17" s="74">
        <v>1</v>
      </c>
      <c r="P17" s="75">
        <v>4</v>
      </c>
      <c r="Q17" s="70"/>
      <c r="R17" s="71"/>
      <c r="S17" s="71"/>
      <c r="T17" s="71"/>
      <c r="U17" s="71"/>
      <c r="V17" s="71"/>
      <c r="W17" s="71"/>
      <c r="X17" s="71"/>
      <c r="Y17" s="71"/>
      <c r="Z17" s="71"/>
      <c r="AA17" s="71"/>
      <c r="AB17" s="71"/>
      <c r="AC17" s="72"/>
      <c r="AD17" s="72"/>
      <c r="AE17" s="72"/>
      <c r="AF17" s="72"/>
      <c r="AG17" s="72"/>
      <c r="AH17" s="72"/>
      <c r="AI17" s="72"/>
      <c r="AJ17" s="72"/>
      <c r="AK17" s="72"/>
      <c r="AL17" s="72"/>
      <c r="AM17" s="72"/>
      <c r="AN17" s="72"/>
      <c r="AO17" s="72"/>
      <c r="AP17" s="72"/>
      <c r="AQ17" s="71"/>
      <c r="AR17" s="71"/>
      <c r="AS17" s="71"/>
      <c r="AT17" s="71"/>
      <c r="AU17" s="71"/>
      <c r="AV17" s="71"/>
      <c r="AW17" s="71"/>
      <c r="AX17" s="71"/>
      <c r="AY17" s="71"/>
      <c r="AZ17" s="71"/>
      <c r="BA17" s="71"/>
      <c r="BB17" s="71"/>
      <c r="BC17" s="71"/>
      <c r="BD17" s="71"/>
      <c r="BE17" s="71"/>
      <c r="BF17" s="72"/>
      <c r="BG17" s="71"/>
      <c r="BH17" s="71"/>
      <c r="BI17" s="75">
        <v>3</v>
      </c>
      <c r="BJ17" s="71"/>
      <c r="BK17" s="71"/>
      <c r="BL17" s="71"/>
      <c r="BM17" s="71"/>
      <c r="BN17" s="73">
        <f t="shared" si="0"/>
        <v>8</v>
      </c>
    </row>
    <row r="18" spans="1:66" x14ac:dyDescent="0.25">
      <c r="A18" s="122"/>
      <c r="B18" s="69" t="s">
        <v>640</v>
      </c>
      <c r="C18" s="72"/>
      <c r="D18" s="71"/>
      <c r="E18" s="71"/>
      <c r="F18" s="71"/>
      <c r="G18" s="72"/>
      <c r="H18" s="71"/>
      <c r="I18" s="71"/>
      <c r="J18" s="72"/>
      <c r="K18" s="71"/>
      <c r="L18" s="71"/>
      <c r="M18" s="72"/>
      <c r="N18" s="72"/>
      <c r="O18" s="72"/>
      <c r="P18" s="71"/>
      <c r="Q18" s="71"/>
      <c r="R18" s="70"/>
      <c r="S18" s="71"/>
      <c r="T18" s="71"/>
      <c r="U18" s="71"/>
      <c r="V18" s="71"/>
      <c r="W18" s="71"/>
      <c r="X18" s="71"/>
      <c r="Y18" s="71"/>
      <c r="Z18" s="71"/>
      <c r="AA18" s="71"/>
      <c r="AB18" s="71"/>
      <c r="AC18" s="72"/>
      <c r="AD18" s="72"/>
      <c r="AE18" s="72"/>
      <c r="AF18" s="72"/>
      <c r="AG18" s="72"/>
      <c r="AH18" s="72"/>
      <c r="AI18" s="72"/>
      <c r="AJ18" s="72"/>
      <c r="AK18" s="72"/>
      <c r="AL18" s="72"/>
      <c r="AM18" s="72"/>
      <c r="AN18" s="72"/>
      <c r="AO18" s="72"/>
      <c r="AP18" s="72"/>
      <c r="AQ18" s="71"/>
      <c r="AR18" s="71"/>
      <c r="AS18" s="71"/>
      <c r="AT18" s="71"/>
      <c r="AU18" s="71"/>
      <c r="AV18" s="71"/>
      <c r="AW18" s="71"/>
      <c r="AX18" s="71"/>
      <c r="AY18" s="71"/>
      <c r="AZ18" s="71"/>
      <c r="BA18" s="71"/>
      <c r="BB18" s="71"/>
      <c r="BC18" s="71"/>
      <c r="BD18" s="71"/>
      <c r="BE18" s="71"/>
      <c r="BF18" s="71"/>
      <c r="BG18" s="71"/>
      <c r="BH18" s="71"/>
      <c r="BI18" s="71"/>
      <c r="BJ18" s="71"/>
      <c r="BK18" s="71"/>
      <c r="BL18" s="71"/>
      <c r="BM18" s="71"/>
      <c r="BN18" s="73">
        <f t="shared" si="0"/>
        <v>0</v>
      </c>
    </row>
    <row r="19" spans="1:66" x14ac:dyDescent="0.25">
      <c r="A19" s="122"/>
      <c r="B19" s="69" t="s">
        <v>641</v>
      </c>
      <c r="C19" s="72"/>
      <c r="D19" s="71"/>
      <c r="E19" s="71"/>
      <c r="F19" s="71"/>
      <c r="G19" s="72"/>
      <c r="H19" s="71"/>
      <c r="I19" s="71"/>
      <c r="J19" s="72"/>
      <c r="K19" s="71"/>
      <c r="L19" s="71"/>
      <c r="M19" s="72"/>
      <c r="N19" s="72"/>
      <c r="O19" s="72"/>
      <c r="P19" s="71"/>
      <c r="Q19" s="75">
        <v>1</v>
      </c>
      <c r="R19" s="71"/>
      <c r="S19" s="70"/>
      <c r="T19" s="71"/>
      <c r="U19" s="71"/>
      <c r="V19" s="71"/>
      <c r="W19" s="71"/>
      <c r="X19" s="71"/>
      <c r="Y19" s="71"/>
      <c r="Z19" s="71"/>
      <c r="AA19" s="71"/>
      <c r="AB19" s="71"/>
      <c r="AC19" s="72"/>
      <c r="AD19" s="72"/>
      <c r="AE19" s="72"/>
      <c r="AF19" s="72"/>
      <c r="AG19" s="72"/>
      <c r="AH19" s="72"/>
      <c r="AI19" s="72"/>
      <c r="AJ19" s="72"/>
      <c r="AK19" s="72"/>
      <c r="AL19" s="72"/>
      <c r="AM19" s="72"/>
      <c r="AN19" s="72"/>
      <c r="AO19" s="72"/>
      <c r="AP19" s="72"/>
      <c r="AQ19" s="71"/>
      <c r="AR19" s="71"/>
      <c r="AS19" s="71"/>
      <c r="AT19" s="71"/>
      <c r="AU19" s="71"/>
      <c r="AV19" s="71"/>
      <c r="AW19" s="72"/>
      <c r="AX19" s="72"/>
      <c r="AY19" s="72"/>
      <c r="AZ19" s="72"/>
      <c r="BA19" s="72"/>
      <c r="BB19" s="72"/>
      <c r="BC19" s="72"/>
      <c r="BD19" s="72"/>
      <c r="BE19" s="72"/>
      <c r="BF19" s="72"/>
      <c r="BG19" s="72"/>
      <c r="BH19" s="72"/>
      <c r="BI19" s="72"/>
      <c r="BJ19" s="72"/>
      <c r="BK19" s="72"/>
      <c r="BL19" s="72"/>
      <c r="BM19" s="72"/>
      <c r="BN19" s="73">
        <f t="shared" si="0"/>
        <v>1</v>
      </c>
    </row>
    <row r="20" spans="1:66" x14ac:dyDescent="0.25">
      <c r="A20" s="122"/>
      <c r="B20" s="69" t="s">
        <v>648</v>
      </c>
      <c r="C20" s="72"/>
      <c r="D20" s="71"/>
      <c r="E20" s="71"/>
      <c r="F20" s="71"/>
      <c r="G20" s="72"/>
      <c r="H20" s="71"/>
      <c r="I20" s="71"/>
      <c r="J20" s="72"/>
      <c r="K20" s="71"/>
      <c r="L20" s="71"/>
      <c r="M20" s="72"/>
      <c r="N20" s="72"/>
      <c r="O20" s="72"/>
      <c r="P20" s="75">
        <v>1</v>
      </c>
      <c r="Q20" s="72"/>
      <c r="R20" s="72"/>
      <c r="S20" s="71"/>
      <c r="T20" s="70"/>
      <c r="U20" s="71"/>
      <c r="V20" s="71"/>
      <c r="W20" s="71"/>
      <c r="X20" s="71"/>
      <c r="Y20" s="71"/>
      <c r="Z20" s="71"/>
      <c r="AA20" s="71"/>
      <c r="AB20" s="71"/>
      <c r="AC20" s="72"/>
      <c r="AD20" s="72"/>
      <c r="AE20" s="72"/>
      <c r="AF20" s="72"/>
      <c r="AG20" s="72"/>
      <c r="AH20" s="72"/>
      <c r="AI20" s="72"/>
      <c r="AJ20" s="72"/>
      <c r="AK20" s="72"/>
      <c r="AL20" s="72"/>
      <c r="AM20" s="72"/>
      <c r="AN20" s="72"/>
      <c r="AO20" s="72"/>
      <c r="AP20" s="72"/>
      <c r="AQ20" s="71"/>
      <c r="AR20" s="71"/>
      <c r="AS20" s="71"/>
      <c r="AT20" s="71"/>
      <c r="AU20" s="71"/>
      <c r="AV20" s="71"/>
      <c r="AW20" s="72"/>
      <c r="AX20" s="72"/>
      <c r="AY20" s="72"/>
      <c r="AZ20" s="72"/>
      <c r="BA20" s="72"/>
      <c r="BB20" s="72"/>
      <c r="BC20" s="72"/>
      <c r="BD20" s="72"/>
      <c r="BE20" s="72"/>
      <c r="BF20" s="72"/>
      <c r="BG20" s="72"/>
      <c r="BH20" s="72"/>
      <c r="BI20" s="72"/>
      <c r="BJ20" s="72"/>
      <c r="BK20" s="72"/>
      <c r="BL20" s="72"/>
      <c r="BM20" s="72"/>
      <c r="BN20" s="73">
        <f t="shared" si="0"/>
        <v>1</v>
      </c>
    </row>
    <row r="21" spans="1:66" x14ac:dyDescent="0.25">
      <c r="A21" s="122"/>
      <c r="B21" s="69" t="s">
        <v>649</v>
      </c>
      <c r="C21" s="72"/>
      <c r="D21" s="71"/>
      <c r="E21" s="71"/>
      <c r="F21" s="71"/>
      <c r="G21" s="72"/>
      <c r="H21" s="71"/>
      <c r="I21" s="71"/>
      <c r="J21" s="72"/>
      <c r="K21" s="71"/>
      <c r="L21" s="71"/>
      <c r="M21" s="72"/>
      <c r="N21" s="72"/>
      <c r="O21" s="72"/>
      <c r="P21" s="75">
        <v>4</v>
      </c>
      <c r="Q21" s="72"/>
      <c r="R21" s="72"/>
      <c r="S21" s="71"/>
      <c r="T21" s="71"/>
      <c r="U21" s="70"/>
      <c r="V21" s="71"/>
      <c r="W21" s="71"/>
      <c r="X21" s="71"/>
      <c r="Y21" s="71"/>
      <c r="Z21" s="71"/>
      <c r="AA21" s="71"/>
      <c r="AB21" s="71"/>
      <c r="AC21" s="72"/>
      <c r="AD21" s="72"/>
      <c r="AE21" s="72"/>
      <c r="AF21" s="72"/>
      <c r="AG21" s="72"/>
      <c r="AH21" s="72"/>
      <c r="AI21" s="72"/>
      <c r="AJ21" s="72"/>
      <c r="AK21" s="72"/>
      <c r="AL21" s="72"/>
      <c r="AM21" s="72"/>
      <c r="AN21" s="72"/>
      <c r="AO21" s="72"/>
      <c r="AP21" s="72"/>
      <c r="AQ21" s="71"/>
      <c r="AR21" s="71"/>
      <c r="AS21" s="71"/>
      <c r="AT21" s="71"/>
      <c r="AU21" s="71"/>
      <c r="AV21" s="71"/>
      <c r="AW21" s="72"/>
      <c r="AX21" s="72"/>
      <c r="AY21" s="72"/>
      <c r="AZ21" s="72"/>
      <c r="BA21" s="72"/>
      <c r="BB21" s="72"/>
      <c r="BC21" s="72"/>
      <c r="BD21" s="72"/>
      <c r="BE21" s="72"/>
      <c r="BF21" s="72"/>
      <c r="BG21" s="72"/>
      <c r="BH21" s="72"/>
      <c r="BI21" s="72"/>
      <c r="BJ21" s="72"/>
      <c r="BK21" s="72"/>
      <c r="BL21" s="72"/>
      <c r="BM21" s="72"/>
      <c r="BN21" s="73">
        <f t="shared" si="0"/>
        <v>4</v>
      </c>
    </row>
    <row r="22" spans="1:66" x14ac:dyDescent="0.25">
      <c r="A22" s="122"/>
      <c r="B22" s="69" t="s">
        <v>650</v>
      </c>
      <c r="C22" s="72"/>
      <c r="D22" s="71"/>
      <c r="E22" s="71"/>
      <c r="F22" s="71"/>
      <c r="G22" s="72"/>
      <c r="H22" s="71"/>
      <c r="I22" s="71"/>
      <c r="J22" s="72"/>
      <c r="K22" s="71"/>
      <c r="L22" s="71"/>
      <c r="M22" s="72"/>
      <c r="N22" s="72"/>
      <c r="O22" s="72"/>
      <c r="P22" s="71"/>
      <c r="Q22" s="72"/>
      <c r="R22" s="72"/>
      <c r="S22" s="71"/>
      <c r="T22" s="71"/>
      <c r="U22" s="71"/>
      <c r="V22" s="70"/>
      <c r="W22" s="71"/>
      <c r="X22" s="71"/>
      <c r="Y22" s="71"/>
      <c r="Z22" s="71"/>
      <c r="AA22" s="71"/>
      <c r="AB22" s="71"/>
      <c r="AC22" s="72"/>
      <c r="AD22" s="72"/>
      <c r="AE22" s="72"/>
      <c r="AF22" s="72"/>
      <c r="AG22" s="72"/>
      <c r="AH22" s="72"/>
      <c r="AI22" s="72"/>
      <c r="AJ22" s="72"/>
      <c r="AK22" s="72"/>
      <c r="AL22" s="72"/>
      <c r="AM22" s="72"/>
      <c r="AN22" s="72"/>
      <c r="AO22" s="72"/>
      <c r="AP22" s="72"/>
      <c r="AQ22" s="71"/>
      <c r="AR22" s="71"/>
      <c r="AS22" s="71"/>
      <c r="AT22" s="71"/>
      <c r="AU22" s="71"/>
      <c r="AV22" s="71"/>
      <c r="AW22" s="72"/>
      <c r="AX22" s="72"/>
      <c r="AY22" s="72"/>
      <c r="AZ22" s="72"/>
      <c r="BA22" s="72"/>
      <c r="BB22" s="72"/>
      <c r="BC22" s="72"/>
      <c r="BD22" s="72"/>
      <c r="BE22" s="72"/>
      <c r="BF22" s="72"/>
      <c r="BG22" s="72"/>
      <c r="BH22" s="72"/>
      <c r="BI22" s="72"/>
      <c r="BJ22" s="72"/>
      <c r="BK22" s="72"/>
      <c r="BL22" s="72"/>
      <c r="BM22" s="72"/>
      <c r="BN22" s="73">
        <f t="shared" si="0"/>
        <v>0</v>
      </c>
    </row>
    <row r="23" spans="1:66" x14ac:dyDescent="0.25">
      <c r="A23" s="122"/>
      <c r="B23" s="69" t="s">
        <v>959</v>
      </c>
      <c r="C23" s="72"/>
      <c r="D23" s="71"/>
      <c r="E23" s="71"/>
      <c r="F23" s="71"/>
      <c r="G23" s="71"/>
      <c r="H23" s="71"/>
      <c r="I23" s="71"/>
      <c r="J23" s="71"/>
      <c r="K23" s="71"/>
      <c r="L23" s="71"/>
      <c r="M23" s="72"/>
      <c r="N23" s="72"/>
      <c r="O23" s="72"/>
      <c r="P23" s="71"/>
      <c r="Q23" s="72"/>
      <c r="R23" s="72"/>
      <c r="S23" s="71"/>
      <c r="T23" s="71"/>
      <c r="U23" s="71"/>
      <c r="V23" s="71"/>
      <c r="W23" s="70"/>
      <c r="X23" s="71"/>
      <c r="Y23" s="71"/>
      <c r="Z23" s="71"/>
      <c r="AA23" s="71"/>
      <c r="AB23" s="71"/>
      <c r="AC23" s="72"/>
      <c r="AD23" s="72"/>
      <c r="AE23" s="72"/>
      <c r="AF23" s="72"/>
      <c r="AG23" s="72"/>
      <c r="AH23" s="72"/>
      <c r="AI23" s="72"/>
      <c r="AJ23" s="72"/>
      <c r="AK23" s="72"/>
      <c r="AL23" s="72"/>
      <c r="AM23" s="72"/>
      <c r="AN23" s="72"/>
      <c r="AO23" s="72"/>
      <c r="AP23" s="72"/>
      <c r="AQ23" s="71"/>
      <c r="AR23" s="71"/>
      <c r="AS23" s="71"/>
      <c r="AT23" s="71"/>
      <c r="AU23" s="71"/>
      <c r="AV23" s="71"/>
      <c r="AW23" s="72"/>
      <c r="AX23" s="72"/>
      <c r="AY23" s="72"/>
      <c r="AZ23" s="72"/>
      <c r="BA23" s="72"/>
      <c r="BB23" s="72"/>
      <c r="BC23" s="72"/>
      <c r="BD23" s="72"/>
      <c r="BE23" s="72"/>
      <c r="BF23" s="72"/>
      <c r="BG23" s="72"/>
      <c r="BH23" s="72"/>
      <c r="BI23" s="72"/>
      <c r="BJ23" s="72"/>
      <c r="BK23" s="72"/>
      <c r="BL23" s="72"/>
      <c r="BM23" s="72"/>
      <c r="BN23" s="73">
        <f t="shared" si="0"/>
        <v>0</v>
      </c>
    </row>
    <row r="24" spans="1:66" x14ac:dyDescent="0.25">
      <c r="A24" s="122"/>
      <c r="B24" s="69" t="s">
        <v>651</v>
      </c>
      <c r="C24" s="72"/>
      <c r="D24" s="71"/>
      <c r="E24" s="71"/>
      <c r="F24" s="71"/>
      <c r="G24" s="71"/>
      <c r="H24" s="71"/>
      <c r="I24" s="75">
        <v>1</v>
      </c>
      <c r="J24" s="71"/>
      <c r="K24" s="71"/>
      <c r="L24" s="71"/>
      <c r="M24" s="72"/>
      <c r="N24" s="72"/>
      <c r="O24" s="72"/>
      <c r="P24" s="71"/>
      <c r="Q24" s="72"/>
      <c r="R24" s="72"/>
      <c r="S24" s="71"/>
      <c r="T24" s="71"/>
      <c r="U24" s="71"/>
      <c r="V24" s="71"/>
      <c r="W24" s="71"/>
      <c r="X24" s="70"/>
      <c r="Y24" s="71"/>
      <c r="Z24" s="71"/>
      <c r="AA24" s="71"/>
      <c r="AB24" s="71"/>
      <c r="AC24" s="72"/>
      <c r="AD24" s="72"/>
      <c r="AE24" s="72"/>
      <c r="AF24" s="72"/>
      <c r="AG24" s="72"/>
      <c r="AH24" s="72"/>
      <c r="AI24" s="72"/>
      <c r="AJ24" s="72"/>
      <c r="AK24" s="72"/>
      <c r="AL24" s="72"/>
      <c r="AM24" s="72"/>
      <c r="AN24" s="72"/>
      <c r="AO24" s="72"/>
      <c r="AP24" s="72"/>
      <c r="AQ24" s="71"/>
      <c r="AR24" s="71"/>
      <c r="AS24" s="71"/>
      <c r="AT24" s="71"/>
      <c r="AU24" s="71"/>
      <c r="AV24" s="71"/>
      <c r="AW24" s="72"/>
      <c r="AX24" s="72"/>
      <c r="AY24" s="72"/>
      <c r="AZ24" s="72"/>
      <c r="BA24" s="72"/>
      <c r="BB24" s="72"/>
      <c r="BC24" s="72"/>
      <c r="BD24" s="72"/>
      <c r="BE24" s="72"/>
      <c r="BF24" s="72"/>
      <c r="BG24" s="72"/>
      <c r="BH24" s="72"/>
      <c r="BI24" s="72"/>
      <c r="BJ24" s="72"/>
      <c r="BK24" s="72"/>
      <c r="BL24" s="72"/>
      <c r="BM24" s="72"/>
      <c r="BN24" s="73">
        <f t="shared" si="0"/>
        <v>1</v>
      </c>
    </row>
    <row r="25" spans="1:66" x14ac:dyDescent="0.25">
      <c r="A25" s="122"/>
      <c r="B25" s="69" t="s">
        <v>652</v>
      </c>
      <c r="C25" s="72"/>
      <c r="D25" s="71"/>
      <c r="E25" s="71"/>
      <c r="F25" s="71"/>
      <c r="G25" s="71"/>
      <c r="H25" s="71"/>
      <c r="I25" s="71"/>
      <c r="J25" s="71"/>
      <c r="K25" s="71"/>
      <c r="L25" s="71"/>
      <c r="M25" s="71"/>
      <c r="N25" s="71"/>
      <c r="O25" s="71"/>
      <c r="P25" s="71"/>
      <c r="Q25" s="71"/>
      <c r="R25" s="71"/>
      <c r="S25" s="71"/>
      <c r="T25" s="71"/>
      <c r="U25" s="71"/>
      <c r="V25" s="71"/>
      <c r="W25" s="71"/>
      <c r="X25" s="71"/>
      <c r="Y25" s="70"/>
      <c r="Z25" s="71"/>
      <c r="AA25" s="71"/>
      <c r="AB25" s="71"/>
      <c r="AC25" s="71"/>
      <c r="AD25" s="71"/>
      <c r="AE25" s="72"/>
      <c r="AF25" s="72"/>
      <c r="AG25" s="72"/>
      <c r="AH25" s="72"/>
      <c r="AI25" s="72"/>
      <c r="AJ25" s="72"/>
      <c r="AK25" s="72"/>
      <c r="AL25" s="72"/>
      <c r="AM25" s="72"/>
      <c r="AN25" s="72"/>
      <c r="AO25" s="72"/>
      <c r="AP25" s="72"/>
      <c r="AQ25" s="71"/>
      <c r="AR25" s="71"/>
      <c r="AS25" s="71"/>
      <c r="AT25" s="71"/>
      <c r="AU25" s="71"/>
      <c r="AV25" s="71"/>
      <c r="AW25" s="72"/>
      <c r="AX25" s="72"/>
      <c r="AY25" s="72"/>
      <c r="AZ25" s="72"/>
      <c r="BA25" s="72"/>
      <c r="BB25" s="72"/>
      <c r="BC25" s="72"/>
      <c r="BD25" s="72"/>
      <c r="BE25" s="72"/>
      <c r="BF25" s="72"/>
      <c r="BG25" s="72"/>
      <c r="BH25" s="72"/>
      <c r="BI25" s="72"/>
      <c r="BJ25" s="72"/>
      <c r="BK25" s="72"/>
      <c r="BL25" s="72"/>
      <c r="BM25" s="72"/>
      <c r="BN25" s="73">
        <f t="shared" si="0"/>
        <v>0</v>
      </c>
    </row>
    <row r="26" spans="1:66" x14ac:dyDescent="0.25">
      <c r="A26" s="122"/>
      <c r="B26" s="69" t="s">
        <v>674</v>
      </c>
      <c r="C26" s="72"/>
      <c r="D26" s="71"/>
      <c r="E26" s="71"/>
      <c r="F26" s="71"/>
      <c r="G26" s="71"/>
      <c r="H26" s="71"/>
      <c r="I26" s="71"/>
      <c r="J26" s="71"/>
      <c r="K26" s="71"/>
      <c r="L26" s="71"/>
      <c r="M26" s="71"/>
      <c r="N26" s="71"/>
      <c r="O26" s="71"/>
      <c r="P26" s="75">
        <v>3</v>
      </c>
      <c r="Q26" s="71"/>
      <c r="R26" s="71"/>
      <c r="S26" s="71"/>
      <c r="T26" s="71"/>
      <c r="U26" s="71"/>
      <c r="V26" s="71"/>
      <c r="W26" s="71"/>
      <c r="X26" s="71"/>
      <c r="Y26" s="71"/>
      <c r="Z26" s="70"/>
      <c r="AA26" s="71"/>
      <c r="AB26" s="71"/>
      <c r="AC26" s="71"/>
      <c r="AD26" s="71"/>
      <c r="AE26" s="72"/>
      <c r="AF26" s="72"/>
      <c r="AG26" s="72"/>
      <c r="AH26" s="72"/>
      <c r="AI26" s="72"/>
      <c r="AJ26" s="72"/>
      <c r="AK26" s="72"/>
      <c r="AL26" s="72"/>
      <c r="AM26" s="72"/>
      <c r="AN26" s="72"/>
      <c r="AO26" s="72"/>
      <c r="AP26" s="72"/>
      <c r="AQ26" s="71"/>
      <c r="AR26" s="71"/>
      <c r="AS26" s="71"/>
      <c r="AT26" s="71"/>
      <c r="AU26" s="71"/>
      <c r="AV26" s="71"/>
      <c r="AW26" s="72"/>
      <c r="AX26" s="72"/>
      <c r="AY26" s="72"/>
      <c r="AZ26" s="72"/>
      <c r="BA26" s="72"/>
      <c r="BB26" s="72"/>
      <c r="BC26" s="72"/>
      <c r="BD26" s="72"/>
      <c r="BE26" s="72"/>
      <c r="BF26" s="72"/>
      <c r="BG26" s="72"/>
      <c r="BH26" s="72"/>
      <c r="BI26" s="72"/>
      <c r="BJ26" s="72"/>
      <c r="BK26" s="72"/>
      <c r="BL26" s="72"/>
      <c r="BM26" s="72"/>
      <c r="BN26" s="73">
        <f t="shared" si="0"/>
        <v>3</v>
      </c>
    </row>
    <row r="27" spans="1:66" x14ac:dyDescent="0.25">
      <c r="A27" s="122"/>
      <c r="B27" s="69" t="s">
        <v>1339</v>
      </c>
      <c r="C27" s="72"/>
      <c r="D27" s="71"/>
      <c r="E27" s="71"/>
      <c r="F27" s="71"/>
      <c r="G27" s="71"/>
      <c r="H27" s="71"/>
      <c r="I27" s="71"/>
      <c r="J27" s="71"/>
      <c r="K27" s="71"/>
      <c r="L27" s="71"/>
      <c r="M27" s="71"/>
      <c r="N27" s="71"/>
      <c r="O27" s="75">
        <v>1</v>
      </c>
      <c r="P27" s="71"/>
      <c r="Q27" s="71"/>
      <c r="R27" s="71"/>
      <c r="S27" s="71"/>
      <c r="T27" s="71"/>
      <c r="U27" s="71"/>
      <c r="V27" s="71"/>
      <c r="W27" s="71"/>
      <c r="X27" s="71"/>
      <c r="Y27" s="71"/>
      <c r="Z27" s="71"/>
      <c r="AA27" s="70"/>
      <c r="AB27" s="71"/>
      <c r="AC27" s="71"/>
      <c r="AD27" s="71"/>
      <c r="AE27" s="72"/>
      <c r="AF27" s="72"/>
      <c r="AG27" s="72"/>
      <c r="AH27" s="72"/>
      <c r="AI27" s="72"/>
      <c r="AJ27" s="72"/>
      <c r="AK27" s="72"/>
      <c r="AL27" s="72"/>
      <c r="AM27" s="72"/>
      <c r="AN27" s="72"/>
      <c r="AO27" s="72"/>
      <c r="AP27" s="72"/>
      <c r="AQ27" s="71"/>
      <c r="AR27" s="71"/>
      <c r="AS27" s="71"/>
      <c r="AT27" s="71"/>
      <c r="AU27" s="71"/>
      <c r="AV27" s="71"/>
      <c r="AW27" s="72"/>
      <c r="AX27" s="72"/>
      <c r="AY27" s="72"/>
      <c r="AZ27" s="72"/>
      <c r="BA27" s="72"/>
      <c r="BB27" s="72"/>
      <c r="BC27" s="72"/>
      <c r="BD27" s="72"/>
      <c r="BE27" s="72"/>
      <c r="BF27" s="72"/>
      <c r="BG27" s="72"/>
      <c r="BH27" s="72"/>
      <c r="BI27" s="72"/>
      <c r="BJ27" s="72"/>
      <c r="BK27" s="72"/>
      <c r="BL27" s="72"/>
      <c r="BM27" s="72"/>
      <c r="BN27" s="73">
        <f t="shared" si="0"/>
        <v>1</v>
      </c>
    </row>
    <row r="28" spans="1:66" x14ac:dyDescent="0.25">
      <c r="A28" s="122"/>
      <c r="B28" s="69" t="s">
        <v>1340</v>
      </c>
      <c r="C28" s="72"/>
      <c r="D28" s="71"/>
      <c r="E28" s="71"/>
      <c r="F28" s="71"/>
      <c r="G28" s="71"/>
      <c r="H28" s="71"/>
      <c r="I28" s="71"/>
      <c r="J28" s="71"/>
      <c r="K28" s="71"/>
      <c r="L28" s="71"/>
      <c r="M28" s="71"/>
      <c r="N28" s="71"/>
      <c r="O28" s="75">
        <v>1</v>
      </c>
      <c r="P28" s="71"/>
      <c r="Q28" s="71"/>
      <c r="R28" s="71"/>
      <c r="S28" s="71"/>
      <c r="T28" s="71"/>
      <c r="U28" s="71"/>
      <c r="V28" s="71"/>
      <c r="W28" s="71"/>
      <c r="X28" s="71"/>
      <c r="Y28" s="71"/>
      <c r="Z28" s="71"/>
      <c r="AA28" s="71"/>
      <c r="AB28" s="70"/>
      <c r="AC28" s="71"/>
      <c r="AD28" s="71"/>
      <c r="AE28" s="71"/>
      <c r="AF28" s="71"/>
      <c r="AG28" s="71"/>
      <c r="AH28" s="71"/>
      <c r="AI28" s="71"/>
      <c r="AJ28" s="71"/>
      <c r="AK28" s="71"/>
      <c r="AL28" s="71"/>
      <c r="AM28" s="71"/>
      <c r="AN28" s="71"/>
      <c r="AO28" s="71"/>
      <c r="AP28" s="71"/>
      <c r="AQ28" s="71"/>
      <c r="AR28" s="71"/>
      <c r="AS28" s="71"/>
      <c r="AT28" s="71"/>
      <c r="AU28" s="71"/>
      <c r="AV28" s="71"/>
      <c r="AW28" s="72"/>
      <c r="AX28" s="72"/>
      <c r="AY28" s="72"/>
      <c r="AZ28" s="72"/>
      <c r="BA28" s="72"/>
      <c r="BB28" s="72"/>
      <c r="BC28" s="72"/>
      <c r="BD28" s="72"/>
      <c r="BE28" s="72"/>
      <c r="BF28" s="72"/>
      <c r="BG28" s="72"/>
      <c r="BH28" s="72"/>
      <c r="BI28" s="72"/>
      <c r="BJ28" s="72"/>
      <c r="BK28" s="72"/>
      <c r="BL28" s="72"/>
      <c r="BM28" s="72"/>
      <c r="BN28" s="73">
        <f t="shared" si="0"/>
        <v>1</v>
      </c>
    </row>
    <row r="29" spans="1:66" x14ac:dyDescent="0.25">
      <c r="A29" s="122"/>
      <c r="B29" s="69" t="s">
        <v>1341</v>
      </c>
      <c r="C29" s="72"/>
      <c r="D29" s="71"/>
      <c r="E29" s="71"/>
      <c r="F29" s="71"/>
      <c r="G29" s="71"/>
      <c r="H29" s="71"/>
      <c r="I29" s="71"/>
      <c r="J29" s="71"/>
      <c r="K29" s="71"/>
      <c r="L29" s="71"/>
      <c r="M29" s="71"/>
      <c r="N29" s="71"/>
      <c r="O29" s="75">
        <v>1</v>
      </c>
      <c r="P29" s="74">
        <v>1</v>
      </c>
      <c r="Q29" s="71"/>
      <c r="R29" s="71"/>
      <c r="S29" s="71"/>
      <c r="T29" s="71"/>
      <c r="U29" s="71"/>
      <c r="V29" s="71"/>
      <c r="W29" s="71"/>
      <c r="X29" s="71"/>
      <c r="Y29" s="71"/>
      <c r="Z29" s="71"/>
      <c r="AA29" s="71"/>
      <c r="AB29" s="71"/>
      <c r="AC29" s="70"/>
      <c r="AD29" s="71"/>
      <c r="AE29" s="71"/>
      <c r="AF29" s="71"/>
      <c r="AG29" s="71"/>
      <c r="AH29" s="71"/>
      <c r="AI29" s="71"/>
      <c r="AJ29" s="71"/>
      <c r="AK29" s="71"/>
      <c r="AL29" s="71"/>
      <c r="AM29" s="71"/>
      <c r="AN29" s="71"/>
      <c r="AO29" s="71"/>
      <c r="AP29" s="71"/>
      <c r="AQ29" s="71"/>
      <c r="AR29" s="71"/>
      <c r="AS29" s="71"/>
      <c r="AT29" s="71"/>
      <c r="AU29" s="71"/>
      <c r="AV29" s="71"/>
      <c r="AW29" s="72"/>
      <c r="AX29" s="72"/>
      <c r="AY29" s="72"/>
      <c r="AZ29" s="72"/>
      <c r="BA29" s="72"/>
      <c r="BB29" s="72"/>
      <c r="BC29" s="72"/>
      <c r="BD29" s="72"/>
      <c r="BE29" s="72"/>
      <c r="BF29" s="72"/>
      <c r="BG29" s="72"/>
      <c r="BH29" s="72"/>
      <c r="BI29" s="72"/>
      <c r="BJ29" s="72"/>
      <c r="BK29" s="72"/>
      <c r="BL29" s="72"/>
      <c r="BM29" s="72"/>
      <c r="BN29" s="73">
        <f t="shared" si="0"/>
        <v>2</v>
      </c>
    </row>
    <row r="30" spans="1:66" x14ac:dyDescent="0.25">
      <c r="A30" s="122"/>
      <c r="B30" s="69" t="s">
        <v>695</v>
      </c>
      <c r="C30" s="72"/>
      <c r="D30" s="71"/>
      <c r="E30" s="71"/>
      <c r="F30" s="71"/>
      <c r="G30" s="71"/>
      <c r="H30" s="71"/>
      <c r="I30" s="71"/>
      <c r="J30" s="71"/>
      <c r="K30" s="71"/>
      <c r="L30" s="71"/>
      <c r="M30" s="71"/>
      <c r="N30" s="71"/>
      <c r="O30" s="71"/>
      <c r="P30" s="75">
        <v>5</v>
      </c>
      <c r="Q30" s="75">
        <v>1</v>
      </c>
      <c r="R30" s="71"/>
      <c r="S30" s="71"/>
      <c r="T30" s="71"/>
      <c r="U30" s="71"/>
      <c r="V30" s="71"/>
      <c r="W30" s="71"/>
      <c r="X30" s="71"/>
      <c r="Y30" s="71"/>
      <c r="Z30" s="71"/>
      <c r="AA30" s="71"/>
      <c r="AB30" s="71"/>
      <c r="AC30" s="71"/>
      <c r="AD30" s="70"/>
      <c r="AE30" s="71"/>
      <c r="AF30" s="71"/>
      <c r="AG30" s="71"/>
      <c r="AH30" s="71"/>
      <c r="AI30" s="71"/>
      <c r="AJ30" s="71"/>
      <c r="AK30" s="71"/>
      <c r="AL30" s="71"/>
      <c r="AM30" s="71"/>
      <c r="AN30" s="71"/>
      <c r="AO30" s="71"/>
      <c r="AP30" s="71"/>
      <c r="AQ30" s="71"/>
      <c r="AR30" s="71"/>
      <c r="AS30" s="71"/>
      <c r="AT30" s="71"/>
      <c r="AU30" s="71"/>
      <c r="AV30" s="71"/>
      <c r="AW30" s="71"/>
      <c r="AX30" s="71"/>
      <c r="AY30" s="71"/>
      <c r="AZ30" s="71"/>
      <c r="BA30" s="71"/>
      <c r="BB30" s="71"/>
      <c r="BC30" s="71"/>
      <c r="BD30" s="71"/>
      <c r="BE30" s="71"/>
      <c r="BF30" s="75">
        <v>4</v>
      </c>
      <c r="BG30" s="71"/>
      <c r="BH30" s="71"/>
      <c r="BI30" s="71"/>
      <c r="BJ30" s="71"/>
      <c r="BK30" s="71"/>
      <c r="BL30" s="71"/>
      <c r="BM30" s="72"/>
      <c r="BN30" s="73">
        <f t="shared" si="0"/>
        <v>10</v>
      </c>
    </row>
    <row r="31" spans="1:66" x14ac:dyDescent="0.25">
      <c r="A31" s="122"/>
      <c r="B31" s="69" t="s">
        <v>705</v>
      </c>
      <c r="C31" s="72"/>
      <c r="D31" s="71"/>
      <c r="E31" s="71"/>
      <c r="F31" s="71"/>
      <c r="G31" s="71"/>
      <c r="H31" s="71"/>
      <c r="I31" s="71"/>
      <c r="J31" s="71"/>
      <c r="K31" s="71"/>
      <c r="L31" s="71"/>
      <c r="M31" s="71"/>
      <c r="N31" s="71"/>
      <c r="O31" s="71"/>
      <c r="P31" s="74">
        <v>1</v>
      </c>
      <c r="Q31" s="75">
        <v>3</v>
      </c>
      <c r="R31" s="71"/>
      <c r="S31" s="71"/>
      <c r="T31" s="71"/>
      <c r="U31" s="71"/>
      <c r="V31" s="71"/>
      <c r="W31" s="71"/>
      <c r="X31" s="71"/>
      <c r="Y31" s="71"/>
      <c r="Z31" s="71"/>
      <c r="AA31" s="71"/>
      <c r="AB31" s="71"/>
      <c r="AC31" s="71"/>
      <c r="AD31" s="71"/>
      <c r="AE31" s="70"/>
      <c r="AF31" s="71"/>
      <c r="AG31" s="71"/>
      <c r="AH31" s="71"/>
      <c r="AI31" s="71"/>
      <c r="AJ31" s="71"/>
      <c r="AK31" s="71"/>
      <c r="AL31" s="71"/>
      <c r="AM31" s="71"/>
      <c r="AN31" s="71"/>
      <c r="AO31" s="71"/>
      <c r="AP31" s="71"/>
      <c r="AQ31" s="71"/>
      <c r="AR31" s="71"/>
      <c r="AS31" s="71"/>
      <c r="AT31" s="71"/>
      <c r="AU31" s="71"/>
      <c r="AV31" s="71"/>
      <c r="AW31" s="71"/>
      <c r="AX31" s="71"/>
      <c r="AY31" s="71"/>
      <c r="AZ31" s="71"/>
      <c r="BA31" s="71"/>
      <c r="BB31" s="71"/>
      <c r="BC31" s="71"/>
      <c r="BD31" s="71"/>
      <c r="BE31" s="71"/>
      <c r="BF31" s="71"/>
      <c r="BG31" s="71"/>
      <c r="BH31" s="71"/>
      <c r="BI31" s="71"/>
      <c r="BJ31" s="71"/>
      <c r="BK31" s="71"/>
      <c r="BL31" s="71"/>
      <c r="BM31" s="71"/>
      <c r="BN31" s="73">
        <f t="shared" si="0"/>
        <v>4</v>
      </c>
    </row>
    <row r="32" spans="1:66" x14ac:dyDescent="0.25">
      <c r="A32" s="122"/>
      <c r="B32" s="69" t="s">
        <v>724</v>
      </c>
      <c r="C32" s="72"/>
      <c r="D32" s="71"/>
      <c r="E32" s="71"/>
      <c r="F32" s="71"/>
      <c r="G32" s="71"/>
      <c r="H32" s="71"/>
      <c r="I32" s="71"/>
      <c r="J32" s="71"/>
      <c r="K32" s="71"/>
      <c r="L32" s="71"/>
      <c r="M32" s="71"/>
      <c r="N32" s="71"/>
      <c r="O32" s="71"/>
      <c r="P32" s="72"/>
      <c r="Q32" s="75">
        <v>4</v>
      </c>
      <c r="R32" s="71"/>
      <c r="S32" s="71"/>
      <c r="T32" s="71"/>
      <c r="U32" s="71"/>
      <c r="V32" s="71"/>
      <c r="W32" s="71"/>
      <c r="X32" s="71"/>
      <c r="Y32" s="71"/>
      <c r="Z32" s="71"/>
      <c r="AA32" s="71"/>
      <c r="AB32" s="71"/>
      <c r="AC32" s="71"/>
      <c r="AD32" s="71"/>
      <c r="AE32" s="71"/>
      <c r="AF32" s="70"/>
      <c r="AG32" s="72"/>
      <c r="AH32" s="71"/>
      <c r="AI32" s="71"/>
      <c r="AJ32" s="71"/>
      <c r="AK32" s="71"/>
      <c r="AL32" s="71"/>
      <c r="AM32" s="71"/>
      <c r="AN32" s="71"/>
      <c r="AO32" s="71"/>
      <c r="AP32" s="71"/>
      <c r="AQ32" s="71"/>
      <c r="AR32" s="71"/>
      <c r="AS32" s="71"/>
      <c r="AT32" s="71"/>
      <c r="AU32" s="71"/>
      <c r="AV32" s="72"/>
      <c r="AW32" s="72"/>
      <c r="AX32" s="72"/>
      <c r="AY32" s="72"/>
      <c r="AZ32" s="72"/>
      <c r="BA32" s="72"/>
      <c r="BB32" s="72"/>
      <c r="BC32" s="72"/>
      <c r="BD32" s="72"/>
      <c r="BE32" s="72"/>
      <c r="BF32" s="72"/>
      <c r="BG32" s="72"/>
      <c r="BH32" s="72"/>
      <c r="BI32" s="72"/>
      <c r="BJ32" s="72"/>
      <c r="BK32" s="72"/>
      <c r="BL32" s="72"/>
      <c r="BM32" s="72"/>
      <c r="BN32" s="73">
        <f t="shared" si="0"/>
        <v>4</v>
      </c>
    </row>
    <row r="33" spans="1:66" x14ac:dyDescent="0.25">
      <c r="A33" s="122"/>
      <c r="B33" s="69" t="s">
        <v>740</v>
      </c>
      <c r="C33" s="72"/>
      <c r="D33" s="71"/>
      <c r="E33" s="71"/>
      <c r="F33" s="71"/>
      <c r="G33" s="71"/>
      <c r="H33" s="71"/>
      <c r="I33" s="71"/>
      <c r="J33" s="71"/>
      <c r="K33" s="71"/>
      <c r="L33" s="71"/>
      <c r="M33" s="71"/>
      <c r="N33" s="72"/>
      <c r="O33" s="72"/>
      <c r="P33" s="72"/>
      <c r="Q33" s="72"/>
      <c r="R33" s="72"/>
      <c r="S33" s="72"/>
      <c r="T33" s="71"/>
      <c r="U33" s="71"/>
      <c r="V33" s="71"/>
      <c r="W33" s="71"/>
      <c r="X33" s="71"/>
      <c r="Y33" s="71"/>
      <c r="Z33" s="71"/>
      <c r="AA33" s="71"/>
      <c r="AB33" s="71"/>
      <c r="AC33" s="71"/>
      <c r="AD33" s="71"/>
      <c r="AE33" s="71"/>
      <c r="AF33" s="71"/>
      <c r="AG33" s="70"/>
      <c r="AH33" s="71"/>
      <c r="AI33" s="71"/>
      <c r="AJ33" s="71"/>
      <c r="AK33" s="71"/>
      <c r="AL33" s="71"/>
      <c r="AM33" s="71"/>
      <c r="AN33" s="71"/>
      <c r="AO33" s="71"/>
      <c r="AP33" s="71"/>
      <c r="AQ33" s="71"/>
      <c r="AR33" s="71"/>
      <c r="AS33" s="71"/>
      <c r="AT33" s="71"/>
      <c r="AU33" s="71"/>
      <c r="AV33" s="72"/>
      <c r="AW33" s="72"/>
      <c r="AX33" s="72"/>
      <c r="AY33" s="72"/>
      <c r="AZ33" s="72"/>
      <c r="BA33" s="72"/>
      <c r="BB33" s="72"/>
      <c r="BC33" s="72"/>
      <c r="BD33" s="72"/>
      <c r="BE33" s="72"/>
      <c r="BF33" s="72"/>
      <c r="BG33" s="72"/>
      <c r="BH33" s="72"/>
      <c r="BI33" s="72"/>
      <c r="BJ33" s="72"/>
      <c r="BK33" s="72"/>
      <c r="BL33" s="72"/>
      <c r="BM33" s="72"/>
      <c r="BN33" s="73">
        <f t="shared" si="0"/>
        <v>0</v>
      </c>
    </row>
    <row r="34" spans="1:66" x14ac:dyDescent="0.25">
      <c r="A34" s="122"/>
      <c r="B34" s="69" t="s">
        <v>747</v>
      </c>
      <c r="C34" s="72"/>
      <c r="D34" s="71"/>
      <c r="E34" s="71"/>
      <c r="F34" s="71"/>
      <c r="G34" s="71"/>
      <c r="H34" s="71"/>
      <c r="I34" s="71"/>
      <c r="J34" s="71"/>
      <c r="K34" s="71"/>
      <c r="L34" s="71"/>
      <c r="M34" s="71"/>
      <c r="N34" s="72"/>
      <c r="O34" s="72"/>
      <c r="P34" s="72"/>
      <c r="Q34" s="72"/>
      <c r="R34" s="72"/>
      <c r="S34" s="72"/>
      <c r="T34" s="71"/>
      <c r="U34" s="71"/>
      <c r="V34" s="71"/>
      <c r="W34" s="71"/>
      <c r="X34" s="71"/>
      <c r="Y34" s="71"/>
      <c r="Z34" s="71"/>
      <c r="AA34" s="71"/>
      <c r="AB34" s="71"/>
      <c r="AC34" s="72"/>
      <c r="AD34" s="72"/>
      <c r="AE34" s="72"/>
      <c r="AF34" s="72"/>
      <c r="AG34" s="72"/>
      <c r="AH34" s="70"/>
      <c r="AI34" s="71"/>
      <c r="AJ34" s="71"/>
      <c r="AK34" s="71"/>
      <c r="AL34" s="71"/>
      <c r="AM34" s="71"/>
      <c r="AN34" s="71"/>
      <c r="AO34" s="71"/>
      <c r="AP34" s="71"/>
      <c r="AQ34" s="71"/>
      <c r="AR34" s="71"/>
      <c r="AS34" s="71"/>
      <c r="AT34" s="71"/>
      <c r="AU34" s="71"/>
      <c r="AV34" s="72"/>
      <c r="AW34" s="72"/>
      <c r="AX34" s="72"/>
      <c r="AY34" s="72"/>
      <c r="AZ34" s="72"/>
      <c r="BA34" s="72"/>
      <c r="BB34" s="72"/>
      <c r="BC34" s="72"/>
      <c r="BD34" s="72"/>
      <c r="BE34" s="72"/>
      <c r="BF34" s="72"/>
      <c r="BG34" s="72"/>
      <c r="BH34" s="72"/>
      <c r="BI34" s="72"/>
      <c r="BJ34" s="72"/>
      <c r="BK34" s="72"/>
      <c r="BL34" s="72"/>
      <c r="BM34" s="72"/>
      <c r="BN34" s="73">
        <f t="shared" si="0"/>
        <v>0</v>
      </c>
    </row>
    <row r="35" spans="1:66" x14ac:dyDescent="0.25">
      <c r="A35" s="122"/>
      <c r="B35" s="69" t="s">
        <v>755</v>
      </c>
      <c r="C35" s="72"/>
      <c r="D35" s="71"/>
      <c r="E35" s="71"/>
      <c r="F35" s="71"/>
      <c r="G35" s="71"/>
      <c r="H35" s="71"/>
      <c r="I35" s="71"/>
      <c r="J35" s="71"/>
      <c r="K35" s="71"/>
      <c r="L35" s="71"/>
      <c r="M35" s="71"/>
      <c r="N35" s="71"/>
      <c r="O35" s="71"/>
      <c r="P35" s="75">
        <v>2</v>
      </c>
      <c r="Q35" s="71"/>
      <c r="R35" s="71"/>
      <c r="S35" s="71"/>
      <c r="T35" s="71"/>
      <c r="U35" s="71"/>
      <c r="V35" s="71"/>
      <c r="W35" s="71"/>
      <c r="X35" s="71"/>
      <c r="Y35" s="71"/>
      <c r="Z35" s="71"/>
      <c r="AA35" s="71"/>
      <c r="AB35" s="71"/>
      <c r="AC35" s="72"/>
      <c r="AD35" s="72"/>
      <c r="AE35" s="72"/>
      <c r="AF35" s="72"/>
      <c r="AG35" s="72"/>
      <c r="AH35" s="71"/>
      <c r="AI35" s="70"/>
      <c r="AJ35" s="71"/>
      <c r="AK35" s="71"/>
      <c r="AL35" s="71"/>
      <c r="AM35" s="71"/>
      <c r="AN35" s="71"/>
      <c r="AO35" s="71"/>
      <c r="AP35" s="71"/>
      <c r="AQ35" s="71"/>
      <c r="AR35" s="71"/>
      <c r="AS35" s="71"/>
      <c r="AT35" s="71"/>
      <c r="AU35" s="71"/>
      <c r="AV35" s="72"/>
      <c r="AW35" s="72"/>
      <c r="AX35" s="72"/>
      <c r="AY35" s="72"/>
      <c r="AZ35" s="72"/>
      <c r="BA35" s="72"/>
      <c r="BB35" s="72"/>
      <c r="BC35" s="72"/>
      <c r="BD35" s="72"/>
      <c r="BE35" s="72"/>
      <c r="BF35" s="72"/>
      <c r="BG35" s="72"/>
      <c r="BH35" s="72"/>
      <c r="BI35" s="72"/>
      <c r="BJ35" s="72"/>
      <c r="BK35" s="72"/>
      <c r="BL35" s="72"/>
      <c r="BM35" s="72"/>
      <c r="BN35" s="73">
        <f t="shared" si="0"/>
        <v>2</v>
      </c>
    </row>
    <row r="36" spans="1:66" x14ac:dyDescent="0.25">
      <c r="A36" s="122"/>
      <c r="B36" s="69" t="s">
        <v>756</v>
      </c>
      <c r="C36" s="72"/>
      <c r="D36" s="71"/>
      <c r="E36" s="71"/>
      <c r="F36" s="71"/>
      <c r="G36" s="71"/>
      <c r="H36" s="72"/>
      <c r="I36" s="72"/>
      <c r="J36" s="72"/>
      <c r="K36" s="72"/>
      <c r="L36" s="72"/>
      <c r="M36" s="72"/>
      <c r="N36" s="72"/>
      <c r="O36" s="72"/>
      <c r="P36" s="72"/>
      <c r="Q36" s="72"/>
      <c r="R36" s="71"/>
      <c r="S36" s="71"/>
      <c r="T36" s="71"/>
      <c r="U36" s="71"/>
      <c r="V36" s="71"/>
      <c r="W36" s="71"/>
      <c r="X36" s="71"/>
      <c r="Y36" s="74">
        <v>4</v>
      </c>
      <c r="Z36" s="71"/>
      <c r="AA36" s="71"/>
      <c r="AB36" s="71"/>
      <c r="AC36" s="72"/>
      <c r="AD36" s="72"/>
      <c r="AE36" s="72"/>
      <c r="AF36" s="72"/>
      <c r="AG36" s="72"/>
      <c r="AH36" s="71"/>
      <c r="AI36" s="71"/>
      <c r="AJ36" s="70"/>
      <c r="AK36" s="71"/>
      <c r="AL36" s="71"/>
      <c r="AM36" s="71"/>
      <c r="AN36" s="71"/>
      <c r="AO36" s="71"/>
      <c r="AP36" s="71"/>
      <c r="AQ36" s="71"/>
      <c r="AR36" s="71"/>
      <c r="AS36" s="71"/>
      <c r="AT36" s="71"/>
      <c r="AU36" s="71"/>
      <c r="AV36" s="72"/>
      <c r="AW36" s="72"/>
      <c r="AX36" s="72"/>
      <c r="AY36" s="72"/>
      <c r="AZ36" s="72"/>
      <c r="BA36" s="72"/>
      <c r="BB36" s="72"/>
      <c r="BC36" s="72"/>
      <c r="BD36" s="72"/>
      <c r="BE36" s="72"/>
      <c r="BF36" s="72"/>
      <c r="BG36" s="72"/>
      <c r="BH36" s="72"/>
      <c r="BI36" s="72"/>
      <c r="BJ36" s="72"/>
      <c r="BK36" s="72"/>
      <c r="BL36" s="72"/>
      <c r="BM36" s="72"/>
      <c r="BN36" s="73">
        <f t="shared" si="0"/>
        <v>4</v>
      </c>
    </row>
    <row r="37" spans="1:66" x14ac:dyDescent="0.25">
      <c r="A37" s="122"/>
      <c r="B37" s="69" t="s">
        <v>1342</v>
      </c>
      <c r="C37" s="72"/>
      <c r="D37" s="71"/>
      <c r="E37" s="71"/>
      <c r="F37" s="71"/>
      <c r="G37" s="71"/>
      <c r="H37" s="72"/>
      <c r="I37" s="72"/>
      <c r="J37" s="72"/>
      <c r="K37" s="72"/>
      <c r="L37" s="72"/>
      <c r="M37" s="72"/>
      <c r="N37" s="72"/>
      <c r="O37" s="72"/>
      <c r="P37" s="72"/>
      <c r="Q37" s="72"/>
      <c r="R37" s="71"/>
      <c r="S37" s="71"/>
      <c r="T37" s="71"/>
      <c r="U37" s="71"/>
      <c r="V37" s="72"/>
      <c r="W37" s="72"/>
      <c r="X37" s="72"/>
      <c r="Y37" s="72"/>
      <c r="Z37" s="72"/>
      <c r="AA37" s="72"/>
      <c r="AB37" s="72"/>
      <c r="AC37" s="72"/>
      <c r="AD37" s="72"/>
      <c r="AE37" s="72"/>
      <c r="AF37" s="72"/>
      <c r="AG37" s="72"/>
      <c r="AH37" s="72"/>
      <c r="AI37" s="72"/>
      <c r="AJ37" s="71"/>
      <c r="AK37" s="70"/>
      <c r="AL37" s="72"/>
      <c r="AM37" s="71"/>
      <c r="AN37" s="71"/>
      <c r="AO37" s="72"/>
      <c r="AP37" s="71"/>
      <c r="AQ37" s="71"/>
      <c r="AR37" s="71"/>
      <c r="AS37" s="71"/>
      <c r="AT37" s="71"/>
      <c r="AU37" s="71"/>
      <c r="AV37" s="72"/>
      <c r="AW37" s="72"/>
      <c r="AX37" s="72"/>
      <c r="AY37" s="72"/>
      <c r="AZ37" s="72"/>
      <c r="BA37" s="72"/>
      <c r="BB37" s="72"/>
      <c r="BC37" s="72"/>
      <c r="BD37" s="72"/>
      <c r="BE37" s="72"/>
      <c r="BF37" s="72"/>
      <c r="BG37" s="72"/>
      <c r="BH37" s="72"/>
      <c r="BI37" s="72"/>
      <c r="BJ37" s="72"/>
      <c r="BK37" s="72"/>
      <c r="BL37" s="72"/>
      <c r="BM37" s="72"/>
      <c r="BN37" s="73">
        <f t="shared" si="0"/>
        <v>0</v>
      </c>
    </row>
    <row r="38" spans="1:66" x14ac:dyDescent="0.25">
      <c r="A38" s="122"/>
      <c r="B38" s="69" t="s">
        <v>1343</v>
      </c>
      <c r="C38" s="72"/>
      <c r="D38" s="71"/>
      <c r="E38" s="71"/>
      <c r="F38" s="71"/>
      <c r="G38" s="71"/>
      <c r="H38" s="72"/>
      <c r="I38" s="72"/>
      <c r="J38" s="72"/>
      <c r="K38" s="72"/>
      <c r="L38" s="72"/>
      <c r="M38" s="72"/>
      <c r="N38" s="72"/>
      <c r="O38" s="72"/>
      <c r="P38" s="72"/>
      <c r="Q38" s="72"/>
      <c r="R38" s="71"/>
      <c r="S38" s="71"/>
      <c r="T38" s="71"/>
      <c r="U38" s="71"/>
      <c r="V38" s="72"/>
      <c r="W38" s="72"/>
      <c r="X38" s="72"/>
      <c r="Y38" s="72"/>
      <c r="Z38" s="72"/>
      <c r="AA38" s="72"/>
      <c r="AB38" s="72"/>
      <c r="AC38" s="72"/>
      <c r="AD38" s="72"/>
      <c r="AE38" s="72"/>
      <c r="AF38" s="72"/>
      <c r="AG38" s="72"/>
      <c r="AH38" s="72"/>
      <c r="AI38" s="72"/>
      <c r="AJ38" s="71"/>
      <c r="AK38" s="72"/>
      <c r="AL38" s="70"/>
      <c r="AM38" s="71"/>
      <c r="AN38" s="71"/>
      <c r="AO38" s="72"/>
      <c r="AP38" s="71"/>
      <c r="AQ38" s="71"/>
      <c r="AR38" s="71"/>
      <c r="AS38" s="71"/>
      <c r="AT38" s="71"/>
      <c r="AU38" s="71"/>
      <c r="AV38" s="72"/>
      <c r="AW38" s="72"/>
      <c r="AX38" s="72"/>
      <c r="AY38" s="72"/>
      <c r="AZ38" s="72"/>
      <c r="BA38" s="72"/>
      <c r="BB38" s="72"/>
      <c r="BC38" s="72"/>
      <c r="BD38" s="72"/>
      <c r="BE38" s="72"/>
      <c r="BF38" s="72"/>
      <c r="BG38" s="72"/>
      <c r="BH38" s="72"/>
      <c r="BI38" s="72"/>
      <c r="BJ38" s="72"/>
      <c r="BK38" s="72"/>
      <c r="BL38" s="72"/>
      <c r="BM38" s="72"/>
      <c r="BN38" s="73">
        <f t="shared" si="0"/>
        <v>0</v>
      </c>
    </row>
    <row r="39" spans="1:66" x14ac:dyDescent="0.25">
      <c r="A39" s="122"/>
      <c r="B39" s="69" t="s">
        <v>1344</v>
      </c>
      <c r="C39" s="72"/>
      <c r="D39" s="71"/>
      <c r="E39" s="71"/>
      <c r="F39" s="71"/>
      <c r="G39" s="71"/>
      <c r="H39" s="72"/>
      <c r="I39" s="72"/>
      <c r="J39" s="72"/>
      <c r="K39" s="72"/>
      <c r="L39" s="72"/>
      <c r="M39" s="72"/>
      <c r="N39" s="72"/>
      <c r="O39" s="72"/>
      <c r="P39" s="72"/>
      <c r="Q39" s="72"/>
      <c r="R39" s="71"/>
      <c r="S39" s="71"/>
      <c r="T39" s="71"/>
      <c r="U39" s="71"/>
      <c r="V39" s="72"/>
      <c r="W39" s="72"/>
      <c r="X39" s="72"/>
      <c r="Y39" s="72"/>
      <c r="Z39" s="72"/>
      <c r="AA39" s="72"/>
      <c r="AB39" s="72"/>
      <c r="AC39" s="72"/>
      <c r="AD39" s="72"/>
      <c r="AE39" s="72"/>
      <c r="AF39" s="72"/>
      <c r="AG39" s="72"/>
      <c r="AH39" s="72"/>
      <c r="AI39" s="72"/>
      <c r="AJ39" s="71"/>
      <c r="AK39" s="72"/>
      <c r="AL39" s="72"/>
      <c r="AM39" s="70"/>
      <c r="AN39" s="71"/>
      <c r="AO39" s="72"/>
      <c r="AP39" s="71"/>
      <c r="AQ39" s="71"/>
      <c r="AR39" s="71"/>
      <c r="AS39" s="71"/>
      <c r="AT39" s="71"/>
      <c r="AU39" s="71"/>
      <c r="AV39" s="72"/>
      <c r="AW39" s="72"/>
      <c r="AX39" s="72"/>
      <c r="AY39" s="72"/>
      <c r="AZ39" s="72"/>
      <c r="BA39" s="72"/>
      <c r="BB39" s="72"/>
      <c r="BC39" s="72"/>
      <c r="BD39" s="72"/>
      <c r="BE39" s="72"/>
      <c r="BF39" s="72"/>
      <c r="BG39" s="72"/>
      <c r="BH39" s="72"/>
      <c r="BI39" s="72"/>
      <c r="BJ39" s="72"/>
      <c r="BK39" s="72"/>
      <c r="BL39" s="72"/>
      <c r="BM39" s="72"/>
      <c r="BN39" s="73">
        <f t="shared" si="0"/>
        <v>0</v>
      </c>
    </row>
    <row r="40" spans="1:66" x14ac:dyDescent="0.25">
      <c r="A40" s="122"/>
      <c r="B40" s="69" t="s">
        <v>1345</v>
      </c>
      <c r="C40" s="72"/>
      <c r="D40" s="71"/>
      <c r="E40" s="71"/>
      <c r="F40" s="71"/>
      <c r="G40" s="71"/>
      <c r="H40" s="72"/>
      <c r="I40" s="72"/>
      <c r="J40" s="72"/>
      <c r="K40" s="72"/>
      <c r="L40" s="72"/>
      <c r="M40" s="72"/>
      <c r="N40" s="72"/>
      <c r="O40" s="72"/>
      <c r="P40" s="72"/>
      <c r="Q40" s="72"/>
      <c r="R40" s="71"/>
      <c r="S40" s="71"/>
      <c r="T40" s="71"/>
      <c r="U40" s="71"/>
      <c r="V40" s="72"/>
      <c r="W40" s="72"/>
      <c r="X40" s="72"/>
      <c r="Y40" s="72"/>
      <c r="Z40" s="72"/>
      <c r="AA40" s="72"/>
      <c r="AB40" s="72"/>
      <c r="AC40" s="72"/>
      <c r="AD40" s="72"/>
      <c r="AE40" s="72"/>
      <c r="AF40" s="72"/>
      <c r="AG40" s="72"/>
      <c r="AH40" s="72"/>
      <c r="AI40" s="72"/>
      <c r="AJ40" s="71"/>
      <c r="AK40" s="72"/>
      <c r="AL40" s="72"/>
      <c r="AM40" s="71"/>
      <c r="AN40" s="70"/>
      <c r="AO40" s="72"/>
      <c r="AP40" s="71"/>
      <c r="AQ40" s="71"/>
      <c r="AR40" s="71"/>
      <c r="AS40" s="71"/>
      <c r="AT40" s="71"/>
      <c r="AU40" s="71"/>
      <c r="AV40" s="72"/>
      <c r="AW40" s="72"/>
      <c r="AX40" s="72"/>
      <c r="AY40" s="72"/>
      <c r="AZ40" s="72"/>
      <c r="BA40" s="72"/>
      <c r="BB40" s="72"/>
      <c r="BC40" s="72"/>
      <c r="BD40" s="72"/>
      <c r="BE40" s="72"/>
      <c r="BF40" s="72"/>
      <c r="BG40" s="72"/>
      <c r="BH40" s="72"/>
      <c r="BI40" s="72"/>
      <c r="BJ40" s="72"/>
      <c r="BK40" s="72"/>
      <c r="BL40" s="72"/>
      <c r="BM40" s="72"/>
      <c r="BN40" s="73">
        <f t="shared" si="0"/>
        <v>0</v>
      </c>
    </row>
    <row r="41" spans="1:66" x14ac:dyDescent="0.25">
      <c r="A41" s="122"/>
      <c r="B41" s="69" t="s">
        <v>1346</v>
      </c>
      <c r="C41" s="72"/>
      <c r="D41" s="71"/>
      <c r="E41" s="71"/>
      <c r="F41" s="71"/>
      <c r="G41" s="71"/>
      <c r="H41" s="72"/>
      <c r="I41" s="72"/>
      <c r="J41" s="72"/>
      <c r="K41" s="72"/>
      <c r="L41" s="72"/>
      <c r="M41" s="72"/>
      <c r="N41" s="72"/>
      <c r="O41" s="72"/>
      <c r="P41" s="72"/>
      <c r="Q41" s="72"/>
      <c r="R41" s="71"/>
      <c r="S41" s="71"/>
      <c r="T41" s="71"/>
      <c r="U41" s="71"/>
      <c r="V41" s="72"/>
      <c r="W41" s="72"/>
      <c r="X41" s="72"/>
      <c r="Y41" s="72"/>
      <c r="Z41" s="72"/>
      <c r="AA41" s="72"/>
      <c r="AB41" s="72"/>
      <c r="AC41" s="72"/>
      <c r="AD41" s="72"/>
      <c r="AE41" s="72"/>
      <c r="AF41" s="72"/>
      <c r="AG41" s="72"/>
      <c r="AH41" s="72"/>
      <c r="AI41" s="72"/>
      <c r="AJ41" s="71"/>
      <c r="AK41" s="72"/>
      <c r="AL41" s="72"/>
      <c r="AM41" s="71"/>
      <c r="AN41" s="71"/>
      <c r="AO41" s="70"/>
      <c r="AP41" s="71"/>
      <c r="AQ41" s="71"/>
      <c r="AR41" s="71"/>
      <c r="AS41" s="71"/>
      <c r="AT41" s="71"/>
      <c r="AU41" s="71"/>
      <c r="AV41" s="71"/>
      <c r="AW41" s="71"/>
      <c r="AX41" s="71"/>
      <c r="AY41" s="71"/>
      <c r="AZ41" s="71"/>
      <c r="BA41" s="71"/>
      <c r="BB41" s="71"/>
      <c r="BC41" s="71"/>
      <c r="BD41" s="71"/>
      <c r="BE41" s="71"/>
      <c r="BF41" s="71"/>
      <c r="BG41" s="71"/>
      <c r="BH41" s="71"/>
      <c r="BI41" s="71"/>
      <c r="BJ41" s="71"/>
      <c r="BK41" s="71"/>
      <c r="BL41" s="71"/>
      <c r="BM41" s="71"/>
      <c r="BN41" s="73">
        <f t="shared" si="0"/>
        <v>0</v>
      </c>
    </row>
    <row r="42" spans="1:66" x14ac:dyDescent="0.25">
      <c r="A42" s="122"/>
      <c r="B42" s="69" t="s">
        <v>1347</v>
      </c>
      <c r="C42" s="72"/>
      <c r="D42" s="71"/>
      <c r="E42" s="71"/>
      <c r="F42" s="71"/>
      <c r="G42" s="71"/>
      <c r="H42" s="72"/>
      <c r="I42" s="72"/>
      <c r="J42" s="72"/>
      <c r="K42" s="72"/>
      <c r="L42" s="72"/>
      <c r="M42" s="72"/>
      <c r="N42" s="72"/>
      <c r="O42" s="72"/>
      <c r="P42" s="72"/>
      <c r="Q42" s="72"/>
      <c r="R42" s="71"/>
      <c r="S42" s="71"/>
      <c r="T42" s="71"/>
      <c r="U42" s="71"/>
      <c r="V42" s="72"/>
      <c r="W42" s="72"/>
      <c r="X42" s="72"/>
      <c r="Y42" s="72"/>
      <c r="Z42" s="72"/>
      <c r="AA42" s="72"/>
      <c r="AB42" s="72"/>
      <c r="AC42" s="72"/>
      <c r="AD42" s="72"/>
      <c r="AE42" s="72"/>
      <c r="AF42" s="72"/>
      <c r="AG42" s="72"/>
      <c r="AH42" s="72"/>
      <c r="AI42" s="72"/>
      <c r="AJ42" s="71"/>
      <c r="AK42" s="72"/>
      <c r="AL42" s="72"/>
      <c r="AM42" s="71"/>
      <c r="AN42" s="71"/>
      <c r="AO42" s="72"/>
      <c r="AP42" s="70"/>
      <c r="AQ42" s="71"/>
      <c r="AR42" s="71"/>
      <c r="AS42" s="71"/>
      <c r="AT42" s="71"/>
      <c r="AU42" s="71"/>
      <c r="AV42" s="71"/>
      <c r="AW42" s="71"/>
      <c r="AX42" s="71"/>
      <c r="AY42" s="71"/>
      <c r="AZ42" s="71"/>
      <c r="BA42" s="71"/>
      <c r="BB42" s="71"/>
      <c r="BC42" s="71"/>
      <c r="BD42" s="71"/>
      <c r="BE42" s="71"/>
      <c r="BF42" s="71"/>
      <c r="BG42" s="71"/>
      <c r="BH42" s="71"/>
      <c r="BI42" s="71"/>
      <c r="BJ42" s="71"/>
      <c r="BK42" s="71"/>
      <c r="BL42" s="71"/>
      <c r="BM42" s="71"/>
      <c r="BN42" s="73">
        <f t="shared" si="0"/>
        <v>0</v>
      </c>
    </row>
    <row r="43" spans="1:66" x14ac:dyDescent="0.25">
      <c r="A43" s="122"/>
      <c r="B43" s="69" t="s">
        <v>1348</v>
      </c>
      <c r="C43" s="72"/>
      <c r="D43" s="71"/>
      <c r="E43" s="71"/>
      <c r="F43" s="71"/>
      <c r="G43" s="71"/>
      <c r="H43" s="72"/>
      <c r="I43" s="72"/>
      <c r="J43" s="72"/>
      <c r="K43" s="72"/>
      <c r="L43" s="72"/>
      <c r="M43" s="72"/>
      <c r="N43" s="72"/>
      <c r="O43" s="72"/>
      <c r="P43" s="72"/>
      <c r="Q43" s="72"/>
      <c r="R43" s="71"/>
      <c r="S43" s="71"/>
      <c r="T43" s="71"/>
      <c r="U43" s="71"/>
      <c r="V43" s="72"/>
      <c r="W43" s="72"/>
      <c r="X43" s="72"/>
      <c r="Y43" s="72"/>
      <c r="Z43" s="72"/>
      <c r="AA43" s="72"/>
      <c r="AB43" s="72"/>
      <c r="AC43" s="72"/>
      <c r="AD43" s="72"/>
      <c r="AE43" s="72"/>
      <c r="AF43" s="72"/>
      <c r="AG43" s="72"/>
      <c r="AH43" s="72"/>
      <c r="AI43" s="72"/>
      <c r="AJ43" s="71"/>
      <c r="AK43" s="72"/>
      <c r="AL43" s="72"/>
      <c r="AM43" s="71"/>
      <c r="AN43" s="71"/>
      <c r="AO43" s="72"/>
      <c r="AP43" s="71"/>
      <c r="AQ43" s="70"/>
      <c r="AR43" s="71"/>
      <c r="AS43" s="71"/>
      <c r="AT43" s="71"/>
      <c r="AU43" s="71"/>
      <c r="AV43" s="71"/>
      <c r="AW43" s="71"/>
      <c r="AX43" s="71"/>
      <c r="AY43" s="71"/>
      <c r="AZ43" s="71"/>
      <c r="BA43" s="71"/>
      <c r="BB43" s="71"/>
      <c r="BC43" s="71"/>
      <c r="BD43" s="71"/>
      <c r="BE43" s="71"/>
      <c r="BF43" s="71"/>
      <c r="BG43" s="71"/>
      <c r="BH43" s="71"/>
      <c r="BI43" s="71"/>
      <c r="BJ43" s="71"/>
      <c r="BK43" s="71"/>
      <c r="BL43" s="71"/>
      <c r="BM43" s="71"/>
      <c r="BN43" s="73">
        <f t="shared" si="0"/>
        <v>0</v>
      </c>
    </row>
    <row r="44" spans="1:66" x14ac:dyDescent="0.25">
      <c r="A44" s="122"/>
      <c r="B44" s="69" t="s">
        <v>1349</v>
      </c>
      <c r="C44" s="72"/>
      <c r="D44" s="71"/>
      <c r="E44" s="71"/>
      <c r="F44" s="71"/>
      <c r="G44" s="71"/>
      <c r="H44" s="72"/>
      <c r="I44" s="72"/>
      <c r="J44" s="72"/>
      <c r="K44" s="72"/>
      <c r="L44" s="72"/>
      <c r="M44" s="72"/>
      <c r="N44" s="72"/>
      <c r="O44" s="72"/>
      <c r="P44" s="72"/>
      <c r="Q44" s="72"/>
      <c r="R44" s="71"/>
      <c r="S44" s="71"/>
      <c r="T44" s="71"/>
      <c r="U44" s="71"/>
      <c r="V44" s="72"/>
      <c r="W44" s="72"/>
      <c r="X44" s="72"/>
      <c r="Y44" s="72"/>
      <c r="Z44" s="72"/>
      <c r="AA44" s="72"/>
      <c r="AB44" s="72"/>
      <c r="AC44" s="72"/>
      <c r="AD44" s="72"/>
      <c r="AE44" s="72"/>
      <c r="AF44" s="72"/>
      <c r="AG44" s="72"/>
      <c r="AH44" s="72"/>
      <c r="AI44" s="72"/>
      <c r="AJ44" s="71"/>
      <c r="AK44" s="72"/>
      <c r="AL44" s="72"/>
      <c r="AM44" s="71"/>
      <c r="AN44" s="71"/>
      <c r="AO44" s="72"/>
      <c r="AP44" s="71"/>
      <c r="AQ44" s="71"/>
      <c r="AR44" s="70"/>
      <c r="AS44" s="71"/>
      <c r="AT44" s="71"/>
      <c r="AU44" s="71"/>
      <c r="AV44" s="71"/>
      <c r="AW44" s="71"/>
      <c r="AX44" s="71"/>
      <c r="AY44" s="71"/>
      <c r="AZ44" s="71"/>
      <c r="BA44" s="71"/>
      <c r="BB44" s="71"/>
      <c r="BC44" s="71"/>
      <c r="BD44" s="71"/>
      <c r="BE44" s="71"/>
      <c r="BF44" s="71"/>
      <c r="BG44" s="71"/>
      <c r="BH44" s="71"/>
      <c r="BI44" s="71"/>
      <c r="BJ44" s="71"/>
      <c r="BK44" s="71"/>
      <c r="BL44" s="71"/>
      <c r="BM44" s="71"/>
      <c r="BN44" s="73">
        <f t="shared" si="0"/>
        <v>0</v>
      </c>
    </row>
    <row r="45" spans="1:66" x14ac:dyDescent="0.25">
      <c r="A45" s="122"/>
      <c r="B45" s="69" t="s">
        <v>1350</v>
      </c>
      <c r="C45" s="72"/>
      <c r="D45" s="71"/>
      <c r="E45" s="71"/>
      <c r="F45" s="71"/>
      <c r="G45" s="71"/>
      <c r="H45" s="72"/>
      <c r="I45" s="72"/>
      <c r="J45" s="72"/>
      <c r="K45" s="72"/>
      <c r="L45" s="72"/>
      <c r="M45" s="72"/>
      <c r="N45" s="72"/>
      <c r="O45" s="72"/>
      <c r="P45" s="72"/>
      <c r="Q45" s="72"/>
      <c r="R45" s="71"/>
      <c r="S45" s="71"/>
      <c r="T45" s="71"/>
      <c r="U45" s="71"/>
      <c r="V45" s="72"/>
      <c r="W45" s="72"/>
      <c r="X45" s="72"/>
      <c r="Y45" s="72"/>
      <c r="Z45" s="72"/>
      <c r="AA45" s="72"/>
      <c r="AB45" s="72"/>
      <c r="AC45" s="72"/>
      <c r="AD45" s="72"/>
      <c r="AE45" s="72"/>
      <c r="AF45" s="72"/>
      <c r="AG45" s="72"/>
      <c r="AH45" s="72"/>
      <c r="AI45" s="72"/>
      <c r="AJ45" s="71"/>
      <c r="AK45" s="72"/>
      <c r="AL45" s="72"/>
      <c r="AM45" s="71"/>
      <c r="AN45" s="71"/>
      <c r="AO45" s="72"/>
      <c r="AP45" s="71"/>
      <c r="AQ45" s="71"/>
      <c r="AR45" s="71"/>
      <c r="AS45" s="70"/>
      <c r="AT45" s="71"/>
      <c r="AU45" s="71"/>
      <c r="AV45" s="71"/>
      <c r="AW45" s="71"/>
      <c r="AX45" s="71"/>
      <c r="AY45" s="71"/>
      <c r="AZ45" s="71"/>
      <c r="BA45" s="71"/>
      <c r="BB45" s="71"/>
      <c r="BC45" s="71"/>
      <c r="BD45" s="71"/>
      <c r="BE45" s="71"/>
      <c r="BF45" s="71"/>
      <c r="BG45" s="71"/>
      <c r="BH45" s="71"/>
      <c r="BI45" s="71"/>
      <c r="BJ45" s="71"/>
      <c r="BK45" s="71"/>
      <c r="BL45" s="71"/>
      <c r="BM45" s="71"/>
      <c r="BN45" s="73">
        <f t="shared" si="0"/>
        <v>0</v>
      </c>
    </row>
    <row r="46" spans="1:66" x14ac:dyDescent="0.25">
      <c r="A46" s="122"/>
      <c r="B46" s="69" t="s">
        <v>1351</v>
      </c>
      <c r="C46" s="72"/>
      <c r="D46" s="71"/>
      <c r="E46" s="71"/>
      <c r="F46" s="71"/>
      <c r="G46" s="71"/>
      <c r="H46" s="72"/>
      <c r="I46" s="72"/>
      <c r="J46" s="72"/>
      <c r="K46" s="72"/>
      <c r="L46" s="72"/>
      <c r="M46" s="72"/>
      <c r="N46" s="72"/>
      <c r="O46" s="72"/>
      <c r="P46" s="72"/>
      <c r="Q46" s="72"/>
      <c r="R46" s="71"/>
      <c r="S46" s="71"/>
      <c r="T46" s="71"/>
      <c r="U46" s="71"/>
      <c r="V46" s="72"/>
      <c r="W46" s="72"/>
      <c r="X46" s="72"/>
      <c r="Y46" s="72"/>
      <c r="Z46" s="72"/>
      <c r="AA46" s="72"/>
      <c r="AB46" s="72"/>
      <c r="AC46" s="72"/>
      <c r="AD46" s="72"/>
      <c r="AE46" s="72"/>
      <c r="AF46" s="72"/>
      <c r="AG46" s="72"/>
      <c r="AH46" s="72"/>
      <c r="AI46" s="72"/>
      <c r="AJ46" s="72"/>
      <c r="AK46" s="72"/>
      <c r="AL46" s="72"/>
      <c r="AM46" s="72"/>
      <c r="AN46" s="71"/>
      <c r="AO46" s="72"/>
      <c r="AP46" s="71"/>
      <c r="AQ46" s="71"/>
      <c r="AR46" s="71"/>
      <c r="AS46" s="71"/>
      <c r="AT46" s="70"/>
      <c r="AU46" s="71"/>
      <c r="AV46" s="71"/>
      <c r="AW46" s="71"/>
      <c r="AX46" s="71"/>
      <c r="AY46" s="71"/>
      <c r="AZ46" s="71"/>
      <c r="BA46" s="71"/>
      <c r="BB46" s="71"/>
      <c r="BC46" s="71"/>
      <c r="BD46" s="71"/>
      <c r="BE46" s="71"/>
      <c r="BF46" s="71"/>
      <c r="BG46" s="71"/>
      <c r="BH46" s="71"/>
      <c r="BI46" s="71"/>
      <c r="BJ46" s="71"/>
      <c r="BK46" s="71"/>
      <c r="BL46" s="71"/>
      <c r="BM46" s="71"/>
      <c r="BN46" s="73">
        <f t="shared" si="0"/>
        <v>0</v>
      </c>
    </row>
    <row r="47" spans="1:66" x14ac:dyDescent="0.25">
      <c r="A47" s="122"/>
      <c r="B47" s="69" t="s">
        <v>1352</v>
      </c>
      <c r="C47" s="72"/>
      <c r="D47" s="71"/>
      <c r="E47" s="71"/>
      <c r="F47" s="71"/>
      <c r="G47" s="71"/>
      <c r="H47" s="72"/>
      <c r="I47" s="72"/>
      <c r="J47" s="72"/>
      <c r="K47" s="72"/>
      <c r="L47" s="72"/>
      <c r="M47" s="72"/>
      <c r="N47" s="72"/>
      <c r="O47" s="72"/>
      <c r="P47" s="72"/>
      <c r="Q47" s="72"/>
      <c r="R47" s="71"/>
      <c r="S47" s="71"/>
      <c r="T47" s="71"/>
      <c r="U47" s="71"/>
      <c r="V47" s="72"/>
      <c r="W47" s="72"/>
      <c r="X47" s="72"/>
      <c r="Y47" s="72"/>
      <c r="Z47" s="72"/>
      <c r="AA47" s="72"/>
      <c r="AB47" s="72"/>
      <c r="AC47" s="72"/>
      <c r="AD47" s="72"/>
      <c r="AE47" s="72"/>
      <c r="AF47" s="72"/>
      <c r="AG47" s="72"/>
      <c r="AH47" s="72"/>
      <c r="AI47" s="72"/>
      <c r="AJ47" s="72"/>
      <c r="AK47" s="72"/>
      <c r="AL47" s="72"/>
      <c r="AM47" s="72"/>
      <c r="AN47" s="71"/>
      <c r="AO47" s="72"/>
      <c r="AP47" s="71"/>
      <c r="AQ47" s="71"/>
      <c r="AR47" s="71"/>
      <c r="AS47" s="71"/>
      <c r="AT47" s="71"/>
      <c r="AU47" s="70"/>
      <c r="AV47" s="71"/>
      <c r="AW47" s="71"/>
      <c r="AX47" s="71"/>
      <c r="AY47" s="71"/>
      <c r="AZ47" s="71"/>
      <c r="BA47" s="71"/>
      <c r="BB47" s="71"/>
      <c r="BC47" s="71"/>
      <c r="BD47" s="71"/>
      <c r="BE47" s="71"/>
      <c r="BF47" s="71"/>
      <c r="BG47" s="71"/>
      <c r="BH47" s="71"/>
      <c r="BI47" s="71"/>
      <c r="BJ47" s="71"/>
      <c r="BK47" s="71"/>
      <c r="BL47" s="71"/>
      <c r="BM47" s="71"/>
      <c r="BN47" s="73">
        <f t="shared" si="0"/>
        <v>0</v>
      </c>
    </row>
    <row r="48" spans="1:66" x14ac:dyDescent="0.25">
      <c r="A48" s="122"/>
      <c r="B48" s="69" t="s">
        <v>1353</v>
      </c>
      <c r="C48" s="72"/>
      <c r="D48" s="71"/>
      <c r="E48" s="71"/>
      <c r="F48" s="71"/>
      <c r="G48" s="71"/>
      <c r="H48" s="72"/>
      <c r="I48" s="72"/>
      <c r="J48" s="72"/>
      <c r="K48" s="72"/>
      <c r="L48" s="72"/>
      <c r="M48" s="72"/>
      <c r="N48" s="72"/>
      <c r="O48" s="72"/>
      <c r="P48" s="72"/>
      <c r="Q48" s="72"/>
      <c r="R48" s="71"/>
      <c r="S48" s="71"/>
      <c r="T48" s="71"/>
      <c r="U48" s="71"/>
      <c r="V48" s="72"/>
      <c r="W48" s="72"/>
      <c r="X48" s="72"/>
      <c r="Y48" s="72"/>
      <c r="Z48" s="72"/>
      <c r="AA48" s="72"/>
      <c r="AB48" s="72"/>
      <c r="AC48" s="72"/>
      <c r="AD48" s="72"/>
      <c r="AE48" s="72"/>
      <c r="AF48" s="72"/>
      <c r="AG48" s="72"/>
      <c r="AH48" s="72"/>
      <c r="AI48" s="72"/>
      <c r="AJ48" s="72"/>
      <c r="AK48" s="72"/>
      <c r="AL48" s="72"/>
      <c r="AM48" s="72"/>
      <c r="AN48" s="71"/>
      <c r="AO48" s="72"/>
      <c r="AP48" s="71"/>
      <c r="AQ48" s="71"/>
      <c r="AR48" s="71"/>
      <c r="AS48" s="71"/>
      <c r="AT48" s="71"/>
      <c r="AU48" s="71"/>
      <c r="AV48" s="70"/>
      <c r="AW48" s="71"/>
      <c r="AX48" s="71"/>
      <c r="AY48" s="71"/>
      <c r="AZ48" s="71"/>
      <c r="BA48" s="71"/>
      <c r="BB48" s="71"/>
      <c r="BC48" s="71"/>
      <c r="BD48" s="71"/>
      <c r="BE48" s="71"/>
      <c r="BF48" s="71"/>
      <c r="BG48" s="71"/>
      <c r="BH48" s="71"/>
      <c r="BI48" s="71"/>
      <c r="BJ48" s="71"/>
      <c r="BK48" s="71"/>
      <c r="BL48" s="71"/>
      <c r="BM48" s="71"/>
      <c r="BN48" s="73">
        <f t="shared" si="0"/>
        <v>0</v>
      </c>
    </row>
    <row r="49" spans="1:66" x14ac:dyDescent="0.25">
      <c r="A49" s="122"/>
      <c r="B49" s="69" t="s">
        <v>1354</v>
      </c>
      <c r="C49" s="72"/>
      <c r="D49" s="71"/>
      <c r="E49" s="71"/>
      <c r="F49" s="71"/>
      <c r="G49" s="71"/>
      <c r="H49" s="72"/>
      <c r="I49" s="72"/>
      <c r="J49" s="72"/>
      <c r="K49" s="72"/>
      <c r="L49" s="72"/>
      <c r="M49" s="72"/>
      <c r="N49" s="72"/>
      <c r="O49" s="72"/>
      <c r="P49" s="72"/>
      <c r="Q49" s="72"/>
      <c r="R49" s="71"/>
      <c r="S49" s="71"/>
      <c r="T49" s="71"/>
      <c r="U49" s="71"/>
      <c r="V49" s="72"/>
      <c r="W49" s="72"/>
      <c r="X49" s="72"/>
      <c r="Y49" s="72"/>
      <c r="Z49" s="72"/>
      <c r="AA49" s="72"/>
      <c r="AB49" s="72"/>
      <c r="AC49" s="72"/>
      <c r="AD49" s="72"/>
      <c r="AE49" s="72"/>
      <c r="AF49" s="72"/>
      <c r="AG49" s="72"/>
      <c r="AH49" s="72"/>
      <c r="AI49" s="72"/>
      <c r="AJ49" s="72"/>
      <c r="AK49" s="72"/>
      <c r="AL49" s="72"/>
      <c r="AM49" s="72"/>
      <c r="AN49" s="71"/>
      <c r="AO49" s="72"/>
      <c r="AP49" s="71"/>
      <c r="AQ49" s="71"/>
      <c r="AR49" s="71"/>
      <c r="AS49" s="71"/>
      <c r="AT49" s="71"/>
      <c r="AU49" s="71"/>
      <c r="AV49" s="71"/>
      <c r="AW49" s="70"/>
      <c r="AX49" s="71"/>
      <c r="AY49" s="71"/>
      <c r="AZ49" s="71"/>
      <c r="BA49" s="71"/>
      <c r="BB49" s="71"/>
      <c r="BC49" s="71"/>
      <c r="BD49" s="71"/>
      <c r="BE49" s="71"/>
      <c r="BF49" s="71"/>
      <c r="BG49" s="71"/>
      <c r="BH49" s="71"/>
      <c r="BI49" s="71"/>
      <c r="BJ49" s="71"/>
      <c r="BK49" s="71"/>
      <c r="BL49" s="71"/>
      <c r="BM49" s="71"/>
      <c r="BN49" s="73">
        <f t="shared" si="0"/>
        <v>0</v>
      </c>
    </row>
    <row r="50" spans="1:66" x14ac:dyDescent="0.25">
      <c r="A50" s="122"/>
      <c r="B50" s="69" t="s">
        <v>1355</v>
      </c>
      <c r="C50" s="72"/>
      <c r="D50" s="71"/>
      <c r="E50" s="71"/>
      <c r="F50" s="71"/>
      <c r="G50" s="71"/>
      <c r="H50" s="72"/>
      <c r="I50" s="72"/>
      <c r="J50" s="72"/>
      <c r="K50" s="72"/>
      <c r="L50" s="72"/>
      <c r="M50" s="72"/>
      <c r="N50" s="72"/>
      <c r="O50" s="72"/>
      <c r="P50" s="72"/>
      <c r="Q50" s="72"/>
      <c r="R50" s="71"/>
      <c r="S50" s="71"/>
      <c r="T50" s="71"/>
      <c r="U50" s="71"/>
      <c r="V50" s="72"/>
      <c r="W50" s="72"/>
      <c r="X50" s="72"/>
      <c r="Y50" s="72"/>
      <c r="Z50" s="72"/>
      <c r="AA50" s="72"/>
      <c r="AB50" s="72"/>
      <c r="AC50" s="72"/>
      <c r="AD50" s="72"/>
      <c r="AE50" s="72"/>
      <c r="AF50" s="72"/>
      <c r="AG50" s="72"/>
      <c r="AH50" s="72"/>
      <c r="AI50" s="72"/>
      <c r="AJ50" s="72"/>
      <c r="AK50" s="72"/>
      <c r="AL50" s="72"/>
      <c r="AM50" s="72"/>
      <c r="AN50" s="71"/>
      <c r="AO50" s="72"/>
      <c r="AP50" s="71"/>
      <c r="AQ50" s="71"/>
      <c r="AR50" s="71"/>
      <c r="AS50" s="71"/>
      <c r="AT50" s="71"/>
      <c r="AU50" s="71"/>
      <c r="AV50" s="71"/>
      <c r="AW50" s="71"/>
      <c r="AX50" s="70"/>
      <c r="AY50" s="71"/>
      <c r="AZ50" s="71"/>
      <c r="BA50" s="71"/>
      <c r="BB50" s="71"/>
      <c r="BC50" s="71"/>
      <c r="BD50" s="71"/>
      <c r="BE50" s="71"/>
      <c r="BF50" s="71"/>
      <c r="BG50" s="71"/>
      <c r="BH50" s="71"/>
      <c r="BI50" s="71"/>
      <c r="BJ50" s="71"/>
      <c r="BK50" s="71"/>
      <c r="BL50" s="71"/>
      <c r="BM50" s="71"/>
      <c r="BN50" s="73">
        <f t="shared" si="0"/>
        <v>0</v>
      </c>
    </row>
    <row r="51" spans="1:66" x14ac:dyDescent="0.25">
      <c r="A51" s="122"/>
      <c r="B51" s="69" t="s">
        <v>766</v>
      </c>
      <c r="C51" s="72"/>
      <c r="D51" s="71"/>
      <c r="E51" s="71"/>
      <c r="F51" s="71"/>
      <c r="G51" s="71"/>
      <c r="H51" s="72"/>
      <c r="I51" s="75">
        <v>1</v>
      </c>
      <c r="J51" s="72"/>
      <c r="K51" s="72"/>
      <c r="L51" s="72"/>
      <c r="M51" s="72"/>
      <c r="N51" s="72"/>
      <c r="O51" s="72"/>
      <c r="P51" s="72"/>
      <c r="Q51" s="72"/>
      <c r="R51" s="71"/>
      <c r="S51" s="71"/>
      <c r="T51" s="71"/>
      <c r="U51" s="71"/>
      <c r="V51" s="72"/>
      <c r="W51" s="72"/>
      <c r="X51" s="72"/>
      <c r="Y51" s="72"/>
      <c r="Z51" s="72"/>
      <c r="AA51" s="72"/>
      <c r="AB51" s="72"/>
      <c r="AC51" s="72"/>
      <c r="AD51" s="72"/>
      <c r="AE51" s="72"/>
      <c r="AF51" s="72"/>
      <c r="AG51" s="72"/>
      <c r="AH51" s="72"/>
      <c r="AI51" s="72"/>
      <c r="AJ51" s="72"/>
      <c r="AK51" s="72"/>
      <c r="AL51" s="72"/>
      <c r="AM51" s="72"/>
      <c r="AN51" s="71"/>
      <c r="AO51" s="72"/>
      <c r="AP51" s="71"/>
      <c r="AQ51" s="71"/>
      <c r="AR51" s="71"/>
      <c r="AS51" s="71"/>
      <c r="AT51" s="71"/>
      <c r="AU51" s="71"/>
      <c r="AV51" s="71"/>
      <c r="AW51" s="71"/>
      <c r="AX51" s="71"/>
      <c r="AY51" s="70"/>
      <c r="AZ51" s="71"/>
      <c r="BA51" s="71"/>
      <c r="BB51" s="71"/>
      <c r="BC51" s="71"/>
      <c r="BD51" s="71"/>
      <c r="BE51" s="71"/>
      <c r="BF51" s="71"/>
      <c r="BG51" s="71"/>
      <c r="BH51" s="71"/>
      <c r="BI51" s="71"/>
      <c r="BJ51" s="71"/>
      <c r="BK51" s="71"/>
      <c r="BL51" s="71"/>
      <c r="BM51" s="71"/>
      <c r="BN51" s="73">
        <f t="shared" si="0"/>
        <v>1</v>
      </c>
    </row>
    <row r="52" spans="1:66" x14ac:dyDescent="0.25">
      <c r="A52" s="122"/>
      <c r="B52" s="69" t="s">
        <v>1356</v>
      </c>
      <c r="C52" s="72"/>
      <c r="D52" s="71"/>
      <c r="E52" s="71"/>
      <c r="F52" s="71"/>
      <c r="G52" s="71"/>
      <c r="H52" s="72"/>
      <c r="I52" s="72"/>
      <c r="J52" s="72"/>
      <c r="K52" s="72"/>
      <c r="L52" s="72"/>
      <c r="M52" s="72"/>
      <c r="N52" s="72"/>
      <c r="O52" s="72"/>
      <c r="P52" s="72"/>
      <c r="Q52" s="72"/>
      <c r="R52" s="71"/>
      <c r="S52" s="71"/>
      <c r="T52" s="71"/>
      <c r="U52" s="71"/>
      <c r="V52" s="72"/>
      <c r="W52" s="72"/>
      <c r="X52" s="72"/>
      <c r="Y52" s="72"/>
      <c r="Z52" s="72"/>
      <c r="AA52" s="72"/>
      <c r="AB52" s="72"/>
      <c r="AC52" s="72"/>
      <c r="AD52" s="72"/>
      <c r="AE52" s="72"/>
      <c r="AF52" s="72"/>
      <c r="AG52" s="72"/>
      <c r="AH52" s="72"/>
      <c r="AI52" s="72"/>
      <c r="AJ52" s="72"/>
      <c r="AK52" s="72"/>
      <c r="AL52" s="72"/>
      <c r="AM52" s="72"/>
      <c r="AN52" s="71"/>
      <c r="AO52" s="72"/>
      <c r="AP52" s="71"/>
      <c r="AQ52" s="71"/>
      <c r="AR52" s="71"/>
      <c r="AS52" s="71"/>
      <c r="AT52" s="71"/>
      <c r="AU52" s="71"/>
      <c r="AV52" s="71"/>
      <c r="AW52" s="71"/>
      <c r="AX52" s="71"/>
      <c r="AY52" s="71"/>
      <c r="AZ52" s="70"/>
      <c r="BA52" s="71"/>
      <c r="BB52" s="71"/>
      <c r="BC52" s="71"/>
      <c r="BD52" s="71"/>
      <c r="BE52" s="71"/>
      <c r="BF52" s="71"/>
      <c r="BG52" s="71"/>
      <c r="BH52" s="71"/>
      <c r="BI52" s="71"/>
      <c r="BJ52" s="71"/>
      <c r="BK52" s="71"/>
      <c r="BL52" s="71"/>
      <c r="BM52" s="71"/>
      <c r="BN52" s="73">
        <f t="shared" si="0"/>
        <v>0</v>
      </c>
    </row>
    <row r="53" spans="1:66" x14ac:dyDescent="0.25">
      <c r="A53" s="122"/>
      <c r="B53" s="69" t="s">
        <v>767</v>
      </c>
      <c r="C53" s="72"/>
      <c r="D53" s="71"/>
      <c r="E53" s="71"/>
      <c r="F53" s="71"/>
      <c r="G53" s="71"/>
      <c r="H53" s="72"/>
      <c r="I53" s="72"/>
      <c r="J53" s="72"/>
      <c r="K53" s="72"/>
      <c r="L53" s="72"/>
      <c r="M53" s="72"/>
      <c r="N53" s="72"/>
      <c r="O53" s="72"/>
      <c r="P53" s="72"/>
      <c r="Q53" s="72"/>
      <c r="R53" s="71"/>
      <c r="S53" s="71"/>
      <c r="T53" s="71"/>
      <c r="U53" s="71"/>
      <c r="V53" s="72"/>
      <c r="W53" s="72"/>
      <c r="X53" s="72"/>
      <c r="Y53" s="72"/>
      <c r="Z53" s="72"/>
      <c r="AA53" s="72"/>
      <c r="AB53" s="72"/>
      <c r="AC53" s="72"/>
      <c r="AD53" s="72"/>
      <c r="AE53" s="72"/>
      <c r="AF53" s="72"/>
      <c r="AG53" s="72"/>
      <c r="AH53" s="72"/>
      <c r="AI53" s="72"/>
      <c r="AJ53" s="72"/>
      <c r="AK53" s="72"/>
      <c r="AL53" s="72"/>
      <c r="AM53" s="72"/>
      <c r="AN53" s="71"/>
      <c r="AO53" s="72"/>
      <c r="AP53" s="71"/>
      <c r="AQ53" s="71"/>
      <c r="AR53" s="71"/>
      <c r="AS53" s="71"/>
      <c r="AT53" s="71"/>
      <c r="AU53" s="71"/>
      <c r="AV53" s="71"/>
      <c r="AW53" s="71"/>
      <c r="AX53" s="71"/>
      <c r="AY53" s="71"/>
      <c r="AZ53" s="71"/>
      <c r="BA53" s="70"/>
      <c r="BB53" s="71"/>
      <c r="BC53" s="71"/>
      <c r="BD53" s="71"/>
      <c r="BE53" s="71"/>
      <c r="BF53" s="71"/>
      <c r="BG53" s="71"/>
      <c r="BH53" s="71"/>
      <c r="BI53" s="71"/>
      <c r="BJ53" s="71"/>
      <c r="BK53" s="71"/>
      <c r="BL53" s="71"/>
      <c r="BM53" s="71"/>
      <c r="BN53" s="73">
        <f t="shared" si="0"/>
        <v>0</v>
      </c>
    </row>
    <row r="54" spans="1:66" x14ac:dyDescent="0.25">
      <c r="A54" s="122"/>
      <c r="B54" s="69" t="s">
        <v>1357</v>
      </c>
      <c r="C54" s="72"/>
      <c r="D54" s="71"/>
      <c r="E54" s="71"/>
      <c r="F54" s="71"/>
      <c r="G54" s="71"/>
      <c r="H54" s="72"/>
      <c r="I54" s="72"/>
      <c r="J54" s="72"/>
      <c r="K54" s="72"/>
      <c r="L54" s="72"/>
      <c r="M54" s="72"/>
      <c r="N54" s="72"/>
      <c r="O54" s="72"/>
      <c r="P54" s="72"/>
      <c r="Q54" s="72"/>
      <c r="R54" s="71"/>
      <c r="S54" s="71"/>
      <c r="T54" s="71"/>
      <c r="U54" s="71"/>
      <c r="V54" s="72"/>
      <c r="W54" s="72"/>
      <c r="X54" s="72"/>
      <c r="Y54" s="72"/>
      <c r="Z54" s="72"/>
      <c r="AA54" s="72"/>
      <c r="AB54" s="72"/>
      <c r="AC54" s="72"/>
      <c r="AD54" s="72"/>
      <c r="AE54" s="72"/>
      <c r="AF54" s="72"/>
      <c r="AG54" s="72"/>
      <c r="AH54" s="72"/>
      <c r="AI54" s="72"/>
      <c r="AJ54" s="72"/>
      <c r="AK54" s="72"/>
      <c r="AL54" s="72"/>
      <c r="AM54" s="72"/>
      <c r="AN54" s="71"/>
      <c r="AO54" s="72"/>
      <c r="AP54" s="71"/>
      <c r="AQ54" s="71"/>
      <c r="AR54" s="71"/>
      <c r="AS54" s="71"/>
      <c r="AT54" s="71"/>
      <c r="AU54" s="71"/>
      <c r="AV54" s="71"/>
      <c r="AW54" s="71"/>
      <c r="AX54" s="71"/>
      <c r="AY54" s="71"/>
      <c r="AZ54" s="71"/>
      <c r="BA54" s="71"/>
      <c r="BB54" s="70"/>
      <c r="BC54" s="71"/>
      <c r="BD54" s="71"/>
      <c r="BE54" s="71"/>
      <c r="BF54" s="71"/>
      <c r="BG54" s="71"/>
      <c r="BH54" s="71"/>
      <c r="BI54" s="71"/>
      <c r="BJ54" s="71"/>
      <c r="BK54" s="71"/>
      <c r="BL54" s="71"/>
      <c r="BM54" s="71"/>
      <c r="BN54" s="73">
        <f t="shared" si="0"/>
        <v>0</v>
      </c>
    </row>
    <row r="55" spans="1:66" x14ac:dyDescent="0.25">
      <c r="A55" s="122"/>
      <c r="B55" s="69" t="s">
        <v>1358</v>
      </c>
      <c r="C55" s="72"/>
      <c r="D55" s="71"/>
      <c r="E55" s="71"/>
      <c r="F55" s="71"/>
      <c r="G55" s="71"/>
      <c r="H55" s="71"/>
      <c r="I55" s="71"/>
      <c r="J55" s="71"/>
      <c r="K55" s="71"/>
      <c r="L55" s="71"/>
      <c r="M55" s="71"/>
      <c r="N55" s="71"/>
      <c r="O55" s="75">
        <v>1</v>
      </c>
      <c r="P55" s="71"/>
      <c r="Q55" s="71"/>
      <c r="R55" s="71"/>
      <c r="S55" s="71"/>
      <c r="T55" s="71"/>
      <c r="U55" s="71"/>
      <c r="V55" s="72"/>
      <c r="W55" s="72"/>
      <c r="X55" s="72"/>
      <c r="Y55" s="72"/>
      <c r="Z55" s="72"/>
      <c r="AA55" s="72"/>
      <c r="AB55" s="72"/>
      <c r="AC55" s="72"/>
      <c r="AD55" s="72"/>
      <c r="AE55" s="72"/>
      <c r="AF55" s="72"/>
      <c r="AG55" s="72"/>
      <c r="AH55" s="72"/>
      <c r="AI55" s="72"/>
      <c r="AJ55" s="72"/>
      <c r="AK55" s="72"/>
      <c r="AL55" s="72"/>
      <c r="AM55" s="72"/>
      <c r="AN55" s="71"/>
      <c r="AO55" s="72"/>
      <c r="AP55" s="71"/>
      <c r="AQ55" s="71"/>
      <c r="AR55" s="71"/>
      <c r="AS55" s="71"/>
      <c r="AT55" s="71"/>
      <c r="AU55" s="71"/>
      <c r="AV55" s="71"/>
      <c r="AW55" s="71"/>
      <c r="AX55" s="71"/>
      <c r="AY55" s="71"/>
      <c r="AZ55" s="71"/>
      <c r="BA55" s="71"/>
      <c r="BB55" s="71"/>
      <c r="BC55" s="70"/>
      <c r="BD55" s="71"/>
      <c r="BE55" s="72"/>
      <c r="BF55" s="71"/>
      <c r="BG55" s="71"/>
      <c r="BH55" s="71"/>
      <c r="BI55" s="71"/>
      <c r="BJ55" s="71"/>
      <c r="BK55" s="71"/>
      <c r="BL55" s="71"/>
      <c r="BM55" s="71"/>
      <c r="BN55" s="73">
        <f t="shared" si="0"/>
        <v>1</v>
      </c>
    </row>
    <row r="56" spans="1:66" x14ac:dyDescent="0.25">
      <c r="A56" s="122"/>
      <c r="B56" s="69" t="s">
        <v>1359</v>
      </c>
      <c r="C56" s="72"/>
      <c r="D56" s="71"/>
      <c r="E56" s="71"/>
      <c r="F56" s="71"/>
      <c r="G56" s="71"/>
      <c r="H56" s="71"/>
      <c r="I56" s="71"/>
      <c r="J56" s="71"/>
      <c r="K56" s="71"/>
      <c r="L56" s="71"/>
      <c r="M56" s="71"/>
      <c r="N56" s="71"/>
      <c r="O56" s="75">
        <v>1</v>
      </c>
      <c r="P56" s="71"/>
      <c r="Q56" s="71"/>
      <c r="R56" s="71"/>
      <c r="S56" s="71"/>
      <c r="T56" s="71"/>
      <c r="U56" s="71"/>
      <c r="V56" s="72"/>
      <c r="W56" s="72"/>
      <c r="X56" s="72"/>
      <c r="Y56" s="72"/>
      <c r="Z56" s="72"/>
      <c r="AA56" s="72"/>
      <c r="AB56" s="72"/>
      <c r="AC56" s="72"/>
      <c r="AD56" s="72"/>
      <c r="AE56" s="72"/>
      <c r="AF56" s="72"/>
      <c r="AG56" s="72"/>
      <c r="AH56" s="72"/>
      <c r="AI56" s="72"/>
      <c r="AJ56" s="72"/>
      <c r="AK56" s="72"/>
      <c r="AL56" s="72"/>
      <c r="AM56" s="72"/>
      <c r="AN56" s="71"/>
      <c r="AO56" s="72"/>
      <c r="AP56" s="71"/>
      <c r="AQ56" s="71"/>
      <c r="AR56" s="71"/>
      <c r="AS56" s="71"/>
      <c r="AT56" s="71"/>
      <c r="AU56" s="71"/>
      <c r="AV56" s="71"/>
      <c r="AW56" s="71"/>
      <c r="AX56" s="71"/>
      <c r="AY56" s="71"/>
      <c r="AZ56" s="71"/>
      <c r="BA56" s="71"/>
      <c r="BB56" s="71"/>
      <c r="BC56" s="71"/>
      <c r="BD56" s="70"/>
      <c r="BE56" s="72"/>
      <c r="BF56" s="71"/>
      <c r="BG56" s="71"/>
      <c r="BH56" s="71"/>
      <c r="BI56" s="71"/>
      <c r="BJ56" s="71"/>
      <c r="BK56" s="71"/>
      <c r="BL56" s="71"/>
      <c r="BM56" s="71"/>
      <c r="BN56" s="73">
        <f t="shared" si="0"/>
        <v>1</v>
      </c>
    </row>
    <row r="57" spans="1:66" x14ac:dyDescent="0.25">
      <c r="A57" s="122"/>
      <c r="B57" s="69" t="s">
        <v>1360</v>
      </c>
      <c r="C57" s="72"/>
      <c r="D57" s="71"/>
      <c r="E57" s="71"/>
      <c r="F57" s="71"/>
      <c r="G57" s="71"/>
      <c r="H57" s="71"/>
      <c r="I57" s="71"/>
      <c r="J57" s="71"/>
      <c r="K57" s="71"/>
      <c r="L57" s="71"/>
      <c r="M57" s="71"/>
      <c r="N57" s="71"/>
      <c r="O57" s="75">
        <v>1</v>
      </c>
      <c r="P57" s="71"/>
      <c r="Q57" s="71"/>
      <c r="R57" s="71"/>
      <c r="S57" s="71"/>
      <c r="T57" s="71"/>
      <c r="U57" s="71"/>
      <c r="V57" s="72"/>
      <c r="W57" s="72"/>
      <c r="X57" s="72"/>
      <c r="Y57" s="72"/>
      <c r="Z57" s="72"/>
      <c r="AA57" s="72"/>
      <c r="AB57" s="72"/>
      <c r="AC57" s="72"/>
      <c r="AD57" s="72"/>
      <c r="AE57" s="72"/>
      <c r="AF57" s="72"/>
      <c r="AG57" s="72"/>
      <c r="AH57" s="72"/>
      <c r="AI57" s="72"/>
      <c r="AJ57" s="72"/>
      <c r="AK57" s="72"/>
      <c r="AL57" s="72"/>
      <c r="AM57" s="72"/>
      <c r="AN57" s="71"/>
      <c r="AO57" s="72"/>
      <c r="AP57" s="71"/>
      <c r="AQ57" s="71"/>
      <c r="AR57" s="71"/>
      <c r="AS57" s="71"/>
      <c r="AT57" s="71"/>
      <c r="AU57" s="71"/>
      <c r="AV57" s="71"/>
      <c r="AW57" s="71"/>
      <c r="AX57" s="71"/>
      <c r="AY57" s="71"/>
      <c r="AZ57" s="71"/>
      <c r="BA57" s="71"/>
      <c r="BB57" s="71"/>
      <c r="BC57" s="71"/>
      <c r="BD57" s="71"/>
      <c r="BE57" s="70"/>
      <c r="BF57" s="71"/>
      <c r="BG57" s="71"/>
      <c r="BH57" s="71"/>
      <c r="BI57" s="71"/>
      <c r="BJ57" s="71"/>
      <c r="BK57" s="71"/>
      <c r="BL57" s="71"/>
      <c r="BM57" s="71"/>
      <c r="BN57" s="73">
        <f t="shared" si="0"/>
        <v>1</v>
      </c>
    </row>
    <row r="58" spans="1:66" x14ac:dyDescent="0.25">
      <c r="A58" s="122"/>
      <c r="B58" s="69" t="s">
        <v>789</v>
      </c>
      <c r="C58" s="72"/>
      <c r="D58" s="71"/>
      <c r="E58" s="71"/>
      <c r="F58" s="71"/>
      <c r="G58" s="71"/>
      <c r="H58" s="71"/>
      <c r="I58" s="71"/>
      <c r="J58" s="71"/>
      <c r="K58" s="71"/>
      <c r="L58" s="71"/>
      <c r="M58" s="71"/>
      <c r="N58" s="71"/>
      <c r="O58" s="72"/>
      <c r="P58" s="75">
        <v>5</v>
      </c>
      <c r="Q58" s="72"/>
      <c r="R58" s="71"/>
      <c r="S58" s="71"/>
      <c r="T58" s="71"/>
      <c r="U58" s="71"/>
      <c r="V58" s="72"/>
      <c r="W58" s="72"/>
      <c r="X58" s="72"/>
      <c r="Y58" s="72"/>
      <c r="Z58" s="72"/>
      <c r="AA58" s="72"/>
      <c r="AB58" s="72"/>
      <c r="AC58" s="72"/>
      <c r="AD58" s="72"/>
      <c r="AE58" s="72"/>
      <c r="AF58" s="72"/>
      <c r="AG58" s="72"/>
      <c r="AH58" s="72"/>
      <c r="AI58" s="72"/>
      <c r="AJ58" s="72"/>
      <c r="AK58" s="72"/>
      <c r="AL58" s="72"/>
      <c r="AM58" s="72"/>
      <c r="AN58" s="71"/>
      <c r="AO58" s="72"/>
      <c r="AP58" s="71"/>
      <c r="AQ58" s="71"/>
      <c r="AR58" s="71"/>
      <c r="AS58" s="71"/>
      <c r="AT58" s="71"/>
      <c r="AU58" s="71"/>
      <c r="AV58" s="71"/>
      <c r="AW58" s="71"/>
      <c r="AX58" s="71"/>
      <c r="AY58" s="71"/>
      <c r="AZ58" s="71"/>
      <c r="BA58" s="71"/>
      <c r="BB58" s="71"/>
      <c r="BC58" s="71"/>
      <c r="BD58" s="71"/>
      <c r="BE58" s="72"/>
      <c r="BF58" s="70"/>
      <c r="BG58" s="71"/>
      <c r="BH58" s="71"/>
      <c r="BI58" s="71"/>
      <c r="BJ58" s="71"/>
      <c r="BK58" s="71"/>
      <c r="BL58" s="71"/>
      <c r="BM58" s="71"/>
      <c r="BN58" s="73">
        <f t="shared" si="0"/>
        <v>5</v>
      </c>
    </row>
    <row r="59" spans="1:66" x14ac:dyDescent="0.25">
      <c r="A59" s="122"/>
      <c r="B59" s="69" t="s">
        <v>806</v>
      </c>
      <c r="C59" s="72"/>
      <c r="D59" s="71"/>
      <c r="E59" s="71"/>
      <c r="F59" s="71"/>
      <c r="G59" s="71"/>
      <c r="H59" s="71"/>
      <c r="I59" s="71"/>
      <c r="J59" s="71"/>
      <c r="K59" s="71"/>
      <c r="L59" s="71"/>
      <c r="M59" s="71"/>
      <c r="N59" s="71"/>
      <c r="O59" s="72"/>
      <c r="P59" s="72"/>
      <c r="Q59" s="72"/>
      <c r="R59" s="72"/>
      <c r="S59" s="71"/>
      <c r="T59" s="71"/>
      <c r="U59" s="71"/>
      <c r="V59" s="72"/>
      <c r="W59" s="72"/>
      <c r="X59" s="72"/>
      <c r="Y59" s="72"/>
      <c r="Z59" s="72"/>
      <c r="AA59" s="72"/>
      <c r="AB59" s="72"/>
      <c r="AC59" s="72"/>
      <c r="AD59" s="72"/>
      <c r="AE59" s="72"/>
      <c r="AF59" s="72"/>
      <c r="AG59" s="72"/>
      <c r="AH59" s="72"/>
      <c r="AI59" s="72"/>
      <c r="AJ59" s="72"/>
      <c r="AK59" s="72"/>
      <c r="AL59" s="72"/>
      <c r="AM59" s="72"/>
      <c r="AN59" s="71"/>
      <c r="AO59" s="72"/>
      <c r="AP59" s="71"/>
      <c r="AQ59" s="71"/>
      <c r="AR59" s="71"/>
      <c r="AS59" s="71"/>
      <c r="AT59" s="71"/>
      <c r="AU59" s="71"/>
      <c r="AV59" s="71"/>
      <c r="AW59" s="71"/>
      <c r="AX59" s="71"/>
      <c r="AY59" s="71"/>
      <c r="AZ59" s="71"/>
      <c r="BA59" s="71"/>
      <c r="BB59" s="71"/>
      <c r="BC59" s="71"/>
      <c r="BD59" s="71"/>
      <c r="BE59" s="71"/>
      <c r="BF59" s="75">
        <v>1</v>
      </c>
      <c r="BG59" s="70"/>
      <c r="BH59" s="71"/>
      <c r="BI59" s="72"/>
      <c r="BJ59" s="71"/>
      <c r="BK59" s="71"/>
      <c r="BL59" s="71"/>
      <c r="BM59" s="71"/>
      <c r="BN59" s="73">
        <f t="shared" si="0"/>
        <v>1</v>
      </c>
    </row>
    <row r="60" spans="1:66" x14ac:dyDescent="0.25">
      <c r="A60" s="122"/>
      <c r="B60" s="69" t="s">
        <v>807</v>
      </c>
      <c r="C60" s="72"/>
      <c r="D60" s="71"/>
      <c r="E60" s="71"/>
      <c r="F60" s="71"/>
      <c r="G60" s="71"/>
      <c r="H60" s="71"/>
      <c r="I60" s="71"/>
      <c r="J60" s="71"/>
      <c r="K60" s="71"/>
      <c r="L60" s="71"/>
      <c r="M60" s="71"/>
      <c r="N60" s="71"/>
      <c r="O60" s="71"/>
      <c r="P60" s="72"/>
      <c r="Q60" s="75">
        <v>1</v>
      </c>
      <c r="R60" s="71"/>
      <c r="S60" s="71"/>
      <c r="T60" s="71"/>
      <c r="U60" s="71"/>
      <c r="V60" s="72"/>
      <c r="W60" s="72"/>
      <c r="X60" s="72"/>
      <c r="Y60" s="72"/>
      <c r="Z60" s="72"/>
      <c r="AA60" s="72"/>
      <c r="AB60" s="72"/>
      <c r="AC60" s="72"/>
      <c r="AD60" s="72"/>
      <c r="AE60" s="72"/>
      <c r="AF60" s="72"/>
      <c r="AG60" s="72"/>
      <c r="AH60" s="72"/>
      <c r="AI60" s="72"/>
      <c r="AJ60" s="72"/>
      <c r="AK60" s="72"/>
      <c r="AL60" s="72"/>
      <c r="AM60" s="72"/>
      <c r="AN60" s="71"/>
      <c r="AO60" s="71"/>
      <c r="AP60" s="71"/>
      <c r="AQ60" s="71"/>
      <c r="AR60" s="71"/>
      <c r="AS60" s="71"/>
      <c r="AT60" s="71"/>
      <c r="AU60" s="71"/>
      <c r="AV60" s="71"/>
      <c r="AW60" s="71"/>
      <c r="AX60" s="71"/>
      <c r="AY60" s="71"/>
      <c r="AZ60" s="71"/>
      <c r="BA60" s="71"/>
      <c r="BB60" s="71"/>
      <c r="BC60" s="71"/>
      <c r="BD60" s="71"/>
      <c r="BE60" s="71"/>
      <c r="BF60" s="71"/>
      <c r="BG60" s="71"/>
      <c r="BH60" s="70"/>
      <c r="BI60" s="72"/>
      <c r="BJ60" s="71"/>
      <c r="BK60" s="71"/>
      <c r="BL60" s="71"/>
      <c r="BM60" s="71"/>
      <c r="BN60" s="73">
        <f t="shared" si="0"/>
        <v>1</v>
      </c>
    </row>
    <row r="61" spans="1:66" x14ac:dyDescent="0.25">
      <c r="A61" s="122"/>
      <c r="B61" s="69" t="s">
        <v>808</v>
      </c>
      <c r="C61" s="72"/>
      <c r="D61" s="71"/>
      <c r="E61" s="71"/>
      <c r="F61" s="71"/>
      <c r="G61" s="71"/>
      <c r="H61" s="71"/>
      <c r="I61" s="71"/>
      <c r="J61" s="71"/>
      <c r="K61" s="71"/>
      <c r="L61" s="71"/>
      <c r="M61" s="71"/>
      <c r="N61" s="71"/>
      <c r="O61" s="71"/>
      <c r="P61" s="75">
        <v>3</v>
      </c>
      <c r="Q61" s="75">
        <v>3</v>
      </c>
      <c r="R61" s="71"/>
      <c r="S61" s="71"/>
      <c r="T61" s="71"/>
      <c r="U61" s="71"/>
      <c r="V61" s="72"/>
      <c r="W61" s="72"/>
      <c r="X61" s="72"/>
      <c r="Y61" s="72"/>
      <c r="Z61" s="72"/>
      <c r="AA61" s="72"/>
      <c r="AB61" s="72"/>
      <c r="AC61" s="72"/>
      <c r="AD61" s="72"/>
      <c r="AE61" s="72"/>
      <c r="AF61" s="72"/>
      <c r="AG61" s="72"/>
      <c r="AH61" s="72"/>
      <c r="AI61" s="72"/>
      <c r="AJ61" s="72"/>
      <c r="AK61" s="72"/>
      <c r="AL61" s="72"/>
      <c r="AM61" s="72"/>
      <c r="AN61" s="71"/>
      <c r="AO61" s="71"/>
      <c r="AP61" s="71"/>
      <c r="AQ61" s="71"/>
      <c r="AR61" s="71"/>
      <c r="AS61" s="71"/>
      <c r="AT61" s="71"/>
      <c r="AU61" s="71"/>
      <c r="AV61" s="71"/>
      <c r="AW61" s="71"/>
      <c r="AX61" s="71"/>
      <c r="AY61" s="71"/>
      <c r="AZ61" s="71"/>
      <c r="BA61" s="71"/>
      <c r="BB61" s="71"/>
      <c r="BC61" s="71"/>
      <c r="BD61" s="71"/>
      <c r="BE61" s="71"/>
      <c r="BF61" s="71"/>
      <c r="BG61" s="71"/>
      <c r="BH61" s="71"/>
      <c r="BI61" s="70"/>
      <c r="BJ61" s="71"/>
      <c r="BK61" s="71"/>
      <c r="BL61" s="71"/>
      <c r="BM61" s="71"/>
      <c r="BN61" s="73">
        <f t="shared" si="0"/>
        <v>6</v>
      </c>
    </row>
    <row r="62" spans="1:66" x14ac:dyDescent="0.25">
      <c r="A62" s="122"/>
      <c r="B62" s="69" t="s">
        <v>832</v>
      </c>
      <c r="C62" s="72"/>
      <c r="D62" s="71"/>
      <c r="E62" s="71"/>
      <c r="F62" s="71"/>
      <c r="G62" s="71"/>
      <c r="H62" s="71"/>
      <c r="I62" s="71"/>
      <c r="J62" s="71"/>
      <c r="K62" s="71"/>
      <c r="L62" s="71"/>
      <c r="M62" s="71"/>
      <c r="N62" s="71"/>
      <c r="O62" s="72"/>
      <c r="P62" s="72"/>
      <c r="Q62" s="72"/>
      <c r="R62" s="71"/>
      <c r="S62" s="71"/>
      <c r="T62" s="71"/>
      <c r="U62" s="71"/>
      <c r="V62" s="72"/>
      <c r="W62" s="72"/>
      <c r="X62" s="72"/>
      <c r="Y62" s="72"/>
      <c r="Z62" s="72"/>
      <c r="AA62" s="72"/>
      <c r="AB62" s="72"/>
      <c r="AC62" s="72"/>
      <c r="AD62" s="72"/>
      <c r="AE62" s="72"/>
      <c r="AF62" s="72"/>
      <c r="AG62" s="72"/>
      <c r="AH62" s="72"/>
      <c r="AI62" s="72"/>
      <c r="AJ62" s="72"/>
      <c r="AK62" s="72"/>
      <c r="AL62" s="72"/>
      <c r="AM62" s="72"/>
      <c r="AN62" s="71"/>
      <c r="AO62" s="71"/>
      <c r="AP62" s="71"/>
      <c r="AQ62" s="71"/>
      <c r="AR62" s="71"/>
      <c r="AS62" s="71"/>
      <c r="AT62" s="71"/>
      <c r="AU62" s="71"/>
      <c r="AV62" s="71"/>
      <c r="AW62" s="71"/>
      <c r="AX62" s="71"/>
      <c r="AY62" s="71"/>
      <c r="AZ62" s="72"/>
      <c r="BA62" s="72"/>
      <c r="BB62" s="72"/>
      <c r="BC62" s="72"/>
      <c r="BD62" s="72"/>
      <c r="BE62" s="72"/>
      <c r="BF62" s="72"/>
      <c r="BG62" s="72"/>
      <c r="BH62" s="71"/>
      <c r="BI62" s="75">
        <v>1</v>
      </c>
      <c r="BJ62" s="70"/>
      <c r="BK62" s="71"/>
      <c r="BL62" s="71"/>
      <c r="BM62" s="71"/>
      <c r="BN62" s="73">
        <f t="shared" si="0"/>
        <v>1</v>
      </c>
    </row>
    <row r="63" spans="1:66" x14ac:dyDescent="0.25">
      <c r="A63" s="122"/>
      <c r="B63" s="69" t="s">
        <v>1361</v>
      </c>
      <c r="C63" s="72"/>
      <c r="D63" s="71"/>
      <c r="E63" s="71"/>
      <c r="F63" s="71"/>
      <c r="G63" s="71"/>
      <c r="H63" s="71"/>
      <c r="I63" s="72"/>
      <c r="J63" s="71"/>
      <c r="K63" s="71"/>
      <c r="L63" s="71"/>
      <c r="M63" s="71"/>
      <c r="N63" s="71"/>
      <c r="O63" s="72"/>
      <c r="P63" s="72"/>
      <c r="Q63" s="72"/>
      <c r="R63" s="71"/>
      <c r="S63" s="71"/>
      <c r="T63" s="71"/>
      <c r="U63" s="71"/>
      <c r="V63" s="72"/>
      <c r="W63" s="72"/>
      <c r="X63" s="72"/>
      <c r="Y63" s="72"/>
      <c r="Z63" s="72"/>
      <c r="AA63" s="72"/>
      <c r="AB63" s="72"/>
      <c r="AC63" s="72"/>
      <c r="AD63" s="72"/>
      <c r="AE63" s="72"/>
      <c r="AF63" s="72"/>
      <c r="AG63" s="72"/>
      <c r="AH63" s="72"/>
      <c r="AI63" s="72"/>
      <c r="AJ63" s="72"/>
      <c r="AK63" s="72"/>
      <c r="AL63" s="72"/>
      <c r="AM63" s="72"/>
      <c r="AN63" s="71"/>
      <c r="AO63" s="71"/>
      <c r="AP63" s="71"/>
      <c r="AQ63" s="71"/>
      <c r="AR63" s="71"/>
      <c r="AS63" s="71"/>
      <c r="AT63" s="71"/>
      <c r="AU63" s="71"/>
      <c r="AV63" s="71"/>
      <c r="AW63" s="71"/>
      <c r="AX63" s="71"/>
      <c r="AY63" s="71"/>
      <c r="AZ63" s="72"/>
      <c r="BA63" s="72"/>
      <c r="BB63" s="72"/>
      <c r="BC63" s="72"/>
      <c r="BD63" s="72"/>
      <c r="BE63" s="72"/>
      <c r="BF63" s="72"/>
      <c r="BG63" s="72"/>
      <c r="BH63" s="71"/>
      <c r="BI63" s="71"/>
      <c r="BJ63" s="71"/>
      <c r="BK63" s="70"/>
      <c r="BL63" s="71"/>
      <c r="BM63" s="71"/>
      <c r="BN63" s="73">
        <f t="shared" si="0"/>
        <v>0</v>
      </c>
    </row>
    <row r="64" spans="1:66" ht="14.1" customHeight="1" x14ac:dyDescent="0.25">
      <c r="A64" s="122"/>
      <c r="B64" s="69" t="s">
        <v>1362</v>
      </c>
      <c r="C64" s="72"/>
      <c r="D64" s="71"/>
      <c r="E64" s="71"/>
      <c r="F64" s="71"/>
      <c r="G64" s="71"/>
      <c r="H64" s="71"/>
      <c r="I64" s="71"/>
      <c r="J64" s="71"/>
      <c r="K64" s="71"/>
      <c r="L64" s="71"/>
      <c r="M64" s="71"/>
      <c r="N64" s="71"/>
      <c r="O64" s="72"/>
      <c r="P64" s="72"/>
      <c r="Q64" s="72"/>
      <c r="R64" s="71"/>
      <c r="S64" s="71"/>
      <c r="T64" s="71"/>
      <c r="U64" s="71"/>
      <c r="V64" s="72"/>
      <c r="W64" s="72"/>
      <c r="X64" s="72"/>
      <c r="Y64" s="72"/>
      <c r="Z64" s="72"/>
      <c r="AA64" s="72"/>
      <c r="AB64" s="72"/>
      <c r="AC64" s="72"/>
      <c r="AD64" s="72"/>
      <c r="AE64" s="72"/>
      <c r="AF64" s="72"/>
      <c r="AG64" s="72"/>
      <c r="AH64" s="72"/>
      <c r="AI64" s="72"/>
      <c r="AJ64" s="72"/>
      <c r="AK64" s="72"/>
      <c r="AL64" s="72"/>
      <c r="AM64" s="72"/>
      <c r="AN64" s="71"/>
      <c r="AO64" s="71"/>
      <c r="AP64" s="71"/>
      <c r="AQ64" s="71"/>
      <c r="AR64" s="71"/>
      <c r="AS64" s="71"/>
      <c r="AT64" s="71"/>
      <c r="AU64" s="71"/>
      <c r="AV64" s="71"/>
      <c r="AW64" s="71"/>
      <c r="AX64" s="71"/>
      <c r="AY64" s="71"/>
      <c r="AZ64" s="72"/>
      <c r="BA64" s="72"/>
      <c r="BB64" s="72"/>
      <c r="BC64" s="72"/>
      <c r="BD64" s="72"/>
      <c r="BE64" s="72"/>
      <c r="BF64" s="72"/>
      <c r="BG64" s="72"/>
      <c r="BH64" s="71"/>
      <c r="BI64" s="71"/>
      <c r="BJ64" s="71"/>
      <c r="BK64" s="71"/>
      <c r="BL64" s="70"/>
      <c r="BM64" s="71"/>
      <c r="BN64" s="73">
        <f t="shared" si="0"/>
        <v>0</v>
      </c>
    </row>
    <row r="65" spans="1:66" ht="14.1" customHeight="1" x14ac:dyDescent="0.25">
      <c r="A65" s="122"/>
      <c r="B65" s="69" t="s">
        <v>1363</v>
      </c>
      <c r="C65" s="74">
        <v>5</v>
      </c>
      <c r="D65" s="71"/>
      <c r="E65" s="71"/>
      <c r="F65" s="71"/>
      <c r="G65" s="71"/>
      <c r="H65" s="71"/>
      <c r="I65" s="71"/>
      <c r="J65" s="74">
        <v>1</v>
      </c>
      <c r="K65" s="71"/>
      <c r="L65" s="71"/>
      <c r="M65" s="71"/>
      <c r="N65" s="71"/>
      <c r="O65" s="74">
        <v>7</v>
      </c>
      <c r="P65" s="74">
        <v>7</v>
      </c>
      <c r="Q65" s="74">
        <v>4</v>
      </c>
      <c r="R65" s="71"/>
      <c r="S65" s="71"/>
      <c r="T65" s="71"/>
      <c r="U65" s="71"/>
      <c r="V65" s="71"/>
      <c r="W65" s="71"/>
      <c r="X65" s="71"/>
      <c r="Y65" s="74">
        <v>1</v>
      </c>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4">
        <v>2</v>
      </c>
      <c r="BG65" s="71"/>
      <c r="BH65" s="71"/>
      <c r="BI65" s="71"/>
      <c r="BJ65" s="71"/>
      <c r="BK65" s="71"/>
      <c r="BL65" s="72"/>
      <c r="BM65" s="70"/>
      <c r="BN65" s="73" t="s">
        <v>116</v>
      </c>
    </row>
    <row r="67" spans="1:66" x14ac:dyDescent="0.25">
      <c r="D67" s="75"/>
      <c r="E67" s="76" t="s">
        <v>1502</v>
      </c>
    </row>
    <row r="69" spans="1:66" x14ac:dyDescent="0.25">
      <c r="D69" s="74"/>
      <c r="E69" t="s">
        <v>1365</v>
      </c>
    </row>
  </sheetData>
  <mergeCells count="2">
    <mergeCell ref="C1:BM1"/>
    <mergeCell ref="A3:A6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DE4A2-E349-40A5-909D-B553A80BE385}">
  <sheetPr>
    <tabColor theme="5" tint="0.39997558519241921"/>
  </sheetPr>
  <dimension ref="B1:K67"/>
  <sheetViews>
    <sheetView showGridLines="0" zoomScaleNormal="100" workbookViewId="0">
      <pane xSplit="6" ySplit="2" topLeftCell="J51" activePane="bottomRight" state="frozen"/>
      <selection pane="topRight" activeCell="G1" sqref="G1"/>
      <selection pane="bottomLeft" activeCell="A3" sqref="A3"/>
      <selection pane="bottomRight" activeCell="J53" sqref="J53"/>
    </sheetView>
  </sheetViews>
  <sheetFormatPr baseColWidth="10" defaultColWidth="11.42578125" defaultRowHeight="15" x14ac:dyDescent="0.25"/>
  <cols>
    <col min="1" max="1" width="1.42578125" style="3" customWidth="1"/>
    <col min="2" max="2" width="13.140625" style="3" bestFit="1" customWidth="1"/>
    <col min="3" max="3" width="24.42578125" style="3" bestFit="1" customWidth="1"/>
    <col min="4" max="5" width="21.42578125" style="3" customWidth="1"/>
    <col min="6" max="6" width="50" style="63" customWidth="1"/>
    <col min="7" max="7" width="28.42578125" style="3" customWidth="1"/>
    <col min="8" max="8" width="18.42578125" style="3" bestFit="1" customWidth="1"/>
    <col min="9" max="9" width="23.42578125" style="3" bestFit="1" customWidth="1"/>
    <col min="10" max="10" width="42.5703125" style="3" bestFit="1" customWidth="1"/>
    <col min="11" max="11" width="57.42578125" style="54" customWidth="1"/>
    <col min="12" max="16384" width="11.42578125" style="3"/>
  </cols>
  <sheetData>
    <row r="1" spans="2:11" ht="7.5" customHeight="1" x14ac:dyDescent="0.25"/>
    <row r="2" spans="2:11" ht="45" x14ac:dyDescent="0.25">
      <c r="B2" s="77" t="s">
        <v>1366</v>
      </c>
      <c r="C2" s="77" t="s">
        <v>1488</v>
      </c>
      <c r="D2" s="77" t="s">
        <v>1489</v>
      </c>
      <c r="E2" s="77" t="s">
        <v>1490</v>
      </c>
      <c r="F2" s="77" t="s">
        <v>1491</v>
      </c>
      <c r="G2" s="77" t="s">
        <v>1367</v>
      </c>
      <c r="H2" s="77" t="s">
        <v>1368</v>
      </c>
      <c r="I2" s="77" t="s">
        <v>1492</v>
      </c>
      <c r="J2" s="77" t="s">
        <v>1493</v>
      </c>
      <c r="K2" s="77" t="s">
        <v>1369</v>
      </c>
    </row>
    <row r="3" spans="2:11" ht="60" x14ac:dyDescent="0.25">
      <c r="B3" s="95">
        <v>3</v>
      </c>
      <c r="C3" s="96" t="s">
        <v>4</v>
      </c>
      <c r="D3" s="2" t="s">
        <v>1370</v>
      </c>
      <c r="E3" s="2" t="s">
        <v>1371</v>
      </c>
      <c r="F3" s="2" t="s">
        <v>966</v>
      </c>
      <c r="G3" s="2" t="s">
        <v>1372</v>
      </c>
      <c r="H3" s="36" t="s">
        <v>1373</v>
      </c>
      <c r="I3" s="36" t="s">
        <v>1374</v>
      </c>
      <c r="J3" s="78" t="s">
        <v>1375</v>
      </c>
      <c r="K3" s="78" t="s">
        <v>1376</v>
      </c>
    </row>
    <row r="4" spans="2:11" ht="60" x14ac:dyDescent="0.25">
      <c r="B4" s="95">
        <v>3</v>
      </c>
      <c r="C4" s="96" t="s">
        <v>4</v>
      </c>
      <c r="D4" s="2" t="s">
        <v>1370</v>
      </c>
      <c r="E4" s="2" t="s">
        <v>1371</v>
      </c>
      <c r="F4" s="2" t="s">
        <v>969</v>
      </c>
      <c r="G4" s="2" t="s">
        <v>1372</v>
      </c>
      <c r="H4" s="36" t="s">
        <v>1373</v>
      </c>
      <c r="I4" s="36" t="s">
        <v>1374</v>
      </c>
      <c r="J4" s="78" t="s">
        <v>1375</v>
      </c>
      <c r="K4" s="78" t="s">
        <v>1376</v>
      </c>
    </row>
    <row r="5" spans="2:11" ht="30" x14ac:dyDescent="0.25">
      <c r="B5" s="95">
        <v>3</v>
      </c>
      <c r="C5" s="96" t="s">
        <v>4</v>
      </c>
      <c r="D5" s="2" t="s">
        <v>1370</v>
      </c>
      <c r="E5" s="2" t="s">
        <v>1377</v>
      </c>
      <c r="F5" s="2" t="s">
        <v>970</v>
      </c>
      <c r="G5" s="2" t="s">
        <v>1378</v>
      </c>
      <c r="H5" s="2" t="s">
        <v>1379</v>
      </c>
      <c r="I5" s="2" t="s">
        <v>116</v>
      </c>
      <c r="J5" s="2" t="s">
        <v>116</v>
      </c>
      <c r="K5" s="35" t="s">
        <v>963</v>
      </c>
    </row>
    <row r="6" spans="2:11" ht="30" x14ac:dyDescent="0.25">
      <c r="B6" s="95">
        <v>3</v>
      </c>
      <c r="C6" s="96" t="s">
        <v>4</v>
      </c>
      <c r="D6" s="2" t="s">
        <v>1370</v>
      </c>
      <c r="E6" s="2" t="s">
        <v>1377</v>
      </c>
      <c r="F6" s="2" t="s">
        <v>972</v>
      </c>
      <c r="G6" s="2" t="s">
        <v>1378</v>
      </c>
      <c r="H6" s="2" t="s">
        <v>1379</v>
      </c>
      <c r="I6" s="2" t="s">
        <v>116</v>
      </c>
      <c r="J6" s="2" t="s">
        <v>116</v>
      </c>
      <c r="K6" s="35" t="s">
        <v>963</v>
      </c>
    </row>
    <row r="7" spans="2:11" ht="15.75" thickBot="1" x14ac:dyDescent="0.3">
      <c r="B7" s="97">
        <v>3</v>
      </c>
      <c r="C7" s="98" t="s">
        <v>4</v>
      </c>
      <c r="D7" s="10" t="s">
        <v>1370</v>
      </c>
      <c r="E7" s="10" t="s">
        <v>1377</v>
      </c>
      <c r="F7" s="10" t="s">
        <v>973</v>
      </c>
      <c r="G7" s="10" t="s">
        <v>11</v>
      </c>
      <c r="H7" s="10" t="s">
        <v>1379</v>
      </c>
      <c r="I7" s="10" t="s">
        <v>116</v>
      </c>
      <c r="J7" s="10" t="s">
        <v>116</v>
      </c>
      <c r="K7" s="20" t="s">
        <v>963</v>
      </c>
    </row>
    <row r="8" spans="2:11" ht="30.75" thickTop="1" x14ac:dyDescent="0.25">
      <c r="B8" s="99">
        <v>22</v>
      </c>
      <c r="C8" s="100" t="s">
        <v>250</v>
      </c>
      <c r="D8" s="7" t="s">
        <v>1380</v>
      </c>
      <c r="E8" s="7" t="s">
        <v>1370</v>
      </c>
      <c r="F8" s="7" t="s">
        <v>1381</v>
      </c>
      <c r="G8" s="7" t="s">
        <v>263</v>
      </c>
      <c r="H8" s="79" t="s">
        <v>1373</v>
      </c>
      <c r="I8" s="79" t="s">
        <v>1374</v>
      </c>
      <c r="J8" s="81" t="s">
        <v>1382</v>
      </c>
      <c r="K8" s="81" t="s">
        <v>1383</v>
      </c>
    </row>
    <row r="9" spans="2:11" ht="30" x14ac:dyDescent="0.25">
      <c r="B9" s="95">
        <v>22</v>
      </c>
      <c r="C9" s="96" t="s">
        <v>250</v>
      </c>
      <c r="D9" s="2" t="s">
        <v>1380</v>
      </c>
      <c r="E9" s="2" t="s">
        <v>1370</v>
      </c>
      <c r="F9" s="2" t="s">
        <v>1384</v>
      </c>
      <c r="G9" s="2" t="s">
        <v>263</v>
      </c>
      <c r="H9" s="36" t="s">
        <v>1373</v>
      </c>
      <c r="I9" s="36" t="s">
        <v>1374</v>
      </c>
      <c r="J9" s="78" t="s">
        <v>1382</v>
      </c>
      <c r="K9" s="78" t="s">
        <v>1383</v>
      </c>
    </row>
    <row r="10" spans="2:11" ht="30" x14ac:dyDescent="0.25">
      <c r="B10" s="95">
        <v>22</v>
      </c>
      <c r="C10" s="96" t="s">
        <v>250</v>
      </c>
      <c r="D10" s="2" t="s">
        <v>337</v>
      </c>
      <c r="E10" s="2" t="s">
        <v>1370</v>
      </c>
      <c r="F10" s="2" t="s">
        <v>1385</v>
      </c>
      <c r="G10" s="2" t="s">
        <v>251</v>
      </c>
      <c r="H10" s="36" t="s">
        <v>1373</v>
      </c>
      <c r="I10" s="36" t="s">
        <v>1374</v>
      </c>
      <c r="J10" s="78" t="s">
        <v>1386</v>
      </c>
      <c r="K10" s="78" t="s">
        <v>1387</v>
      </c>
    </row>
    <row r="11" spans="2:11" ht="15.75" thickBot="1" x14ac:dyDescent="0.3">
      <c r="B11" s="97">
        <v>22</v>
      </c>
      <c r="C11" s="98" t="s">
        <v>250</v>
      </c>
      <c r="D11" s="10" t="s">
        <v>651</v>
      </c>
      <c r="E11" s="10" t="s">
        <v>1370</v>
      </c>
      <c r="F11" s="10" t="s">
        <v>1187</v>
      </c>
      <c r="G11" s="10" t="s">
        <v>278</v>
      </c>
      <c r="H11" s="10" t="s">
        <v>1379</v>
      </c>
      <c r="I11" s="10" t="s">
        <v>116</v>
      </c>
      <c r="J11" s="10" t="s">
        <v>116</v>
      </c>
      <c r="K11" s="80" t="s">
        <v>1388</v>
      </c>
    </row>
    <row r="12" spans="2:11" ht="31.5" thickTop="1" thickBot="1" x14ac:dyDescent="0.3">
      <c r="B12" s="101">
        <v>23</v>
      </c>
      <c r="C12" s="102" t="s">
        <v>281</v>
      </c>
      <c r="D12" s="13" t="s">
        <v>1370</v>
      </c>
      <c r="E12" s="13" t="s">
        <v>1389</v>
      </c>
      <c r="F12" s="13" t="s">
        <v>1056</v>
      </c>
      <c r="G12" s="13" t="s">
        <v>1390</v>
      </c>
      <c r="H12" s="13" t="s">
        <v>1379</v>
      </c>
      <c r="I12" s="13" t="s">
        <v>116</v>
      </c>
      <c r="J12" s="13" t="s">
        <v>116</v>
      </c>
      <c r="K12" s="49" t="s">
        <v>963</v>
      </c>
    </row>
    <row r="13" spans="2:11" ht="31.5" thickTop="1" thickBot="1" x14ac:dyDescent="0.3">
      <c r="B13" s="101">
        <v>24</v>
      </c>
      <c r="C13" s="102" t="s">
        <v>306</v>
      </c>
      <c r="D13" s="13" t="s">
        <v>1391</v>
      </c>
      <c r="E13" s="13" t="s">
        <v>1392</v>
      </c>
      <c r="F13" s="13" t="s">
        <v>1069</v>
      </c>
      <c r="G13" s="13" t="s">
        <v>319</v>
      </c>
      <c r="H13" s="13" t="s">
        <v>1379</v>
      </c>
      <c r="I13" s="13" t="s">
        <v>116</v>
      </c>
      <c r="J13" s="13" t="s">
        <v>116</v>
      </c>
      <c r="K13" s="82" t="s">
        <v>1393</v>
      </c>
    </row>
    <row r="14" spans="2:11" ht="30.75" thickTop="1" x14ac:dyDescent="0.25">
      <c r="B14" s="103">
        <v>26</v>
      </c>
      <c r="C14" s="104" t="s">
        <v>337</v>
      </c>
      <c r="D14" s="19" t="s">
        <v>1394</v>
      </c>
      <c r="E14" s="19" t="s">
        <v>1370</v>
      </c>
      <c r="F14" s="19" t="s">
        <v>1057</v>
      </c>
      <c r="G14" s="19" t="s">
        <v>275</v>
      </c>
      <c r="H14" s="19" t="s">
        <v>1379</v>
      </c>
      <c r="I14" s="19" t="s">
        <v>116</v>
      </c>
      <c r="J14" s="19" t="s">
        <v>116</v>
      </c>
      <c r="K14" s="83" t="s">
        <v>1395</v>
      </c>
    </row>
    <row r="15" spans="2:11" ht="30.75" thickBot="1" x14ac:dyDescent="0.3">
      <c r="B15" s="97">
        <v>26</v>
      </c>
      <c r="C15" s="98" t="s">
        <v>337</v>
      </c>
      <c r="D15" s="10" t="s">
        <v>281</v>
      </c>
      <c r="E15" s="10" t="s">
        <v>1370</v>
      </c>
      <c r="F15" s="10" t="s">
        <v>1058</v>
      </c>
      <c r="G15" s="10" t="s">
        <v>285</v>
      </c>
      <c r="H15" s="10" t="s">
        <v>1379</v>
      </c>
      <c r="I15" s="10" t="s">
        <v>116</v>
      </c>
      <c r="J15" s="10" t="s">
        <v>116</v>
      </c>
      <c r="K15" s="80" t="s">
        <v>1396</v>
      </c>
    </row>
    <row r="16" spans="2:11" ht="30.75" thickTop="1" x14ac:dyDescent="0.25">
      <c r="B16" s="99">
        <v>28</v>
      </c>
      <c r="C16" s="100" t="s">
        <v>480</v>
      </c>
      <c r="D16" s="7" t="s">
        <v>421</v>
      </c>
      <c r="E16" s="7" t="s">
        <v>1397</v>
      </c>
      <c r="F16" s="7" t="s">
        <v>1128</v>
      </c>
      <c r="G16" s="7" t="s">
        <v>466</v>
      </c>
      <c r="H16" s="7" t="s">
        <v>1379</v>
      </c>
      <c r="I16" s="7" t="s">
        <v>116</v>
      </c>
      <c r="J16" s="7" t="s">
        <v>116</v>
      </c>
      <c r="K16" s="41" t="s">
        <v>963</v>
      </c>
    </row>
    <row r="17" spans="2:11" ht="30" x14ac:dyDescent="0.25">
      <c r="B17" s="95">
        <v>28</v>
      </c>
      <c r="C17" s="96" t="s">
        <v>480</v>
      </c>
      <c r="D17" s="2" t="s">
        <v>421</v>
      </c>
      <c r="E17" s="2" t="s">
        <v>1398</v>
      </c>
      <c r="F17" s="2" t="s">
        <v>1119</v>
      </c>
      <c r="G17" s="2" t="s">
        <v>469</v>
      </c>
      <c r="H17" s="2" t="s">
        <v>1379</v>
      </c>
      <c r="I17" s="2" t="s">
        <v>116</v>
      </c>
      <c r="J17" s="2" t="s">
        <v>116</v>
      </c>
      <c r="K17" s="35" t="s">
        <v>963</v>
      </c>
    </row>
    <row r="18" spans="2:11" ht="30" x14ac:dyDescent="0.25">
      <c r="B18" s="95">
        <v>28</v>
      </c>
      <c r="C18" s="96" t="s">
        <v>480</v>
      </c>
      <c r="D18" s="2" t="s">
        <v>1370</v>
      </c>
      <c r="E18" s="2" t="s">
        <v>1399</v>
      </c>
      <c r="F18" s="2" t="s">
        <v>1120</v>
      </c>
      <c r="G18" s="2" t="s">
        <v>469</v>
      </c>
      <c r="H18" s="2" t="s">
        <v>1379</v>
      </c>
      <c r="I18" s="2" t="s">
        <v>116</v>
      </c>
      <c r="J18" s="2" t="s">
        <v>116</v>
      </c>
      <c r="K18" s="35" t="s">
        <v>963</v>
      </c>
    </row>
    <row r="19" spans="2:11" ht="30" x14ac:dyDescent="0.25">
      <c r="B19" s="95">
        <v>28</v>
      </c>
      <c r="C19" s="96" t="s">
        <v>480</v>
      </c>
      <c r="D19" s="2" t="s">
        <v>1370</v>
      </c>
      <c r="E19" s="2" t="s">
        <v>1399</v>
      </c>
      <c r="F19" s="2" t="s">
        <v>1121</v>
      </c>
      <c r="G19" s="2" t="s">
        <v>469</v>
      </c>
      <c r="H19" s="2" t="s">
        <v>1379</v>
      </c>
      <c r="I19" s="2" t="s">
        <v>116</v>
      </c>
      <c r="J19" s="2" t="s">
        <v>116</v>
      </c>
      <c r="K19" s="35" t="s">
        <v>963</v>
      </c>
    </row>
    <row r="20" spans="2:11" ht="30" x14ac:dyDescent="0.25">
      <c r="B20" s="95">
        <v>28</v>
      </c>
      <c r="C20" s="96" t="s">
        <v>480</v>
      </c>
      <c r="D20" s="2" t="s">
        <v>1370</v>
      </c>
      <c r="E20" s="2" t="s">
        <v>1399</v>
      </c>
      <c r="F20" s="2" t="s">
        <v>1122</v>
      </c>
      <c r="G20" s="2" t="s">
        <v>469</v>
      </c>
      <c r="H20" s="2" t="s">
        <v>1379</v>
      </c>
      <c r="I20" s="2" t="s">
        <v>116</v>
      </c>
      <c r="J20" s="2" t="s">
        <v>116</v>
      </c>
      <c r="K20" s="35" t="s">
        <v>963</v>
      </c>
    </row>
    <row r="21" spans="2:11" ht="75" x14ac:dyDescent="0.25">
      <c r="B21" s="95">
        <v>28</v>
      </c>
      <c r="C21" s="96" t="s">
        <v>480</v>
      </c>
      <c r="D21" s="2" t="s">
        <v>1400</v>
      </c>
      <c r="E21" s="2" t="s">
        <v>1370</v>
      </c>
      <c r="F21" s="2" t="s">
        <v>1117</v>
      </c>
      <c r="G21" s="2" t="s">
        <v>472</v>
      </c>
      <c r="H21" s="36" t="s">
        <v>1373</v>
      </c>
      <c r="I21" s="36" t="s">
        <v>1374</v>
      </c>
      <c r="J21" s="78" t="s">
        <v>1401</v>
      </c>
      <c r="K21" s="78" t="s">
        <v>1402</v>
      </c>
    </row>
    <row r="22" spans="2:11" ht="75" x14ac:dyDescent="0.25">
      <c r="B22" s="95">
        <v>28</v>
      </c>
      <c r="C22" s="96" t="s">
        <v>480</v>
      </c>
      <c r="D22" s="2" t="s">
        <v>1400</v>
      </c>
      <c r="E22" s="2" t="s">
        <v>1370</v>
      </c>
      <c r="F22" s="2" t="s">
        <v>1118</v>
      </c>
      <c r="G22" s="2" t="s">
        <v>472</v>
      </c>
      <c r="H22" s="36" t="s">
        <v>1373</v>
      </c>
      <c r="I22" s="36" t="s">
        <v>1374</v>
      </c>
      <c r="J22" s="78" t="s">
        <v>1401</v>
      </c>
      <c r="K22" s="78" t="s">
        <v>1403</v>
      </c>
    </row>
    <row r="23" spans="2:11" ht="30" x14ac:dyDescent="0.25">
      <c r="B23" s="95">
        <v>28</v>
      </c>
      <c r="C23" s="96" t="s">
        <v>480</v>
      </c>
      <c r="D23" s="2" t="s">
        <v>1370</v>
      </c>
      <c r="E23" s="2" t="s">
        <v>1404</v>
      </c>
      <c r="F23" s="2" t="s">
        <v>1127</v>
      </c>
      <c r="G23" s="2" t="s">
        <v>233</v>
      </c>
      <c r="H23" s="2" t="s">
        <v>1379</v>
      </c>
      <c r="I23" s="2" t="s">
        <v>116</v>
      </c>
      <c r="J23" s="2" t="s">
        <v>116</v>
      </c>
      <c r="K23" s="35" t="s">
        <v>963</v>
      </c>
    </row>
    <row r="24" spans="2:11" ht="60" x14ac:dyDescent="0.25">
      <c r="B24" s="95">
        <v>28</v>
      </c>
      <c r="C24" s="96" t="s">
        <v>480</v>
      </c>
      <c r="D24" s="2" t="s">
        <v>1405</v>
      </c>
      <c r="E24" s="2" t="s">
        <v>1406</v>
      </c>
      <c r="F24" s="2" t="s">
        <v>1125</v>
      </c>
      <c r="G24" s="2" t="s">
        <v>475</v>
      </c>
      <c r="H24" s="2" t="s">
        <v>1379</v>
      </c>
      <c r="I24" s="2" t="s">
        <v>116</v>
      </c>
      <c r="J24" s="2" t="s">
        <v>116</v>
      </c>
      <c r="K24" s="78" t="s">
        <v>1407</v>
      </c>
    </row>
    <row r="25" spans="2:11" ht="30.75" thickBot="1" x14ac:dyDescent="0.3">
      <c r="B25" s="97">
        <v>28</v>
      </c>
      <c r="C25" s="98" t="s">
        <v>480</v>
      </c>
      <c r="D25" s="10" t="s">
        <v>1400</v>
      </c>
      <c r="E25" s="10" t="s">
        <v>1370</v>
      </c>
      <c r="F25" s="10" t="s">
        <v>1408</v>
      </c>
      <c r="G25" s="10" t="s">
        <v>442</v>
      </c>
      <c r="H25" s="50" t="s">
        <v>1373</v>
      </c>
      <c r="I25" s="50" t="s">
        <v>1374</v>
      </c>
      <c r="J25" s="10" t="s">
        <v>1409</v>
      </c>
      <c r="K25" s="80" t="s">
        <v>1410</v>
      </c>
    </row>
    <row r="26" spans="2:11" ht="60.75" thickTop="1" x14ac:dyDescent="0.25">
      <c r="B26" s="99">
        <v>29</v>
      </c>
      <c r="C26" s="100" t="s">
        <v>518</v>
      </c>
      <c r="D26" s="7" t="s">
        <v>1411</v>
      </c>
      <c r="E26" s="7" t="s">
        <v>1412</v>
      </c>
      <c r="F26" s="7" t="s">
        <v>1142</v>
      </c>
      <c r="G26" s="7" t="s">
        <v>418</v>
      </c>
      <c r="H26" s="79" t="s">
        <v>1373</v>
      </c>
      <c r="I26" s="79" t="s">
        <v>1413</v>
      </c>
      <c r="J26" s="81" t="s">
        <v>1414</v>
      </c>
      <c r="K26" s="81" t="s">
        <v>1415</v>
      </c>
    </row>
    <row r="27" spans="2:11" ht="30" x14ac:dyDescent="0.25">
      <c r="B27" s="95">
        <v>29</v>
      </c>
      <c r="C27" s="96" t="s">
        <v>518</v>
      </c>
      <c r="D27" s="2" t="s">
        <v>1370</v>
      </c>
      <c r="E27" s="2" t="s">
        <v>1416</v>
      </c>
      <c r="F27" s="2" t="s">
        <v>1143</v>
      </c>
      <c r="G27" s="2" t="s">
        <v>528</v>
      </c>
      <c r="H27" s="36" t="s">
        <v>1373</v>
      </c>
      <c r="I27" s="36" t="s">
        <v>1413</v>
      </c>
      <c r="J27" s="78" t="s">
        <v>1417</v>
      </c>
      <c r="K27" s="78" t="s">
        <v>1418</v>
      </c>
    </row>
    <row r="28" spans="2:11" ht="60" x14ac:dyDescent="0.25">
      <c r="B28" s="95">
        <v>29</v>
      </c>
      <c r="C28" s="96" t="s">
        <v>518</v>
      </c>
      <c r="D28" s="2" t="s">
        <v>1419</v>
      </c>
      <c r="E28" s="2" t="s">
        <v>1420</v>
      </c>
      <c r="F28" s="2" t="s">
        <v>1145</v>
      </c>
      <c r="G28" s="2" t="s">
        <v>509</v>
      </c>
      <c r="H28" s="36" t="s">
        <v>1373</v>
      </c>
      <c r="I28" s="36" t="s">
        <v>1413</v>
      </c>
      <c r="J28" s="78" t="s">
        <v>1421</v>
      </c>
      <c r="K28" s="78" t="s">
        <v>1422</v>
      </c>
    </row>
    <row r="29" spans="2:11" ht="30" x14ac:dyDescent="0.25">
      <c r="B29" s="95">
        <v>29</v>
      </c>
      <c r="C29" s="96" t="s">
        <v>518</v>
      </c>
      <c r="D29" s="2" t="s">
        <v>1423</v>
      </c>
      <c r="E29" s="2" t="s">
        <v>1370</v>
      </c>
      <c r="F29" s="2" t="s">
        <v>1147</v>
      </c>
      <c r="G29" s="2" t="s">
        <v>1424</v>
      </c>
      <c r="H29" s="2" t="s">
        <v>1379</v>
      </c>
      <c r="I29" s="2" t="s">
        <v>116</v>
      </c>
      <c r="J29" s="2" t="s">
        <v>116</v>
      </c>
      <c r="K29" s="78" t="s">
        <v>1425</v>
      </c>
    </row>
    <row r="30" spans="2:11" ht="30" x14ac:dyDescent="0.25">
      <c r="B30" s="95">
        <v>29</v>
      </c>
      <c r="C30" s="96" t="s">
        <v>518</v>
      </c>
      <c r="D30" s="2" t="s">
        <v>808</v>
      </c>
      <c r="E30" s="2" t="s">
        <v>1426</v>
      </c>
      <c r="F30" s="2" t="s">
        <v>1494</v>
      </c>
      <c r="G30" s="2" t="s">
        <v>537</v>
      </c>
      <c r="H30" s="2" t="s">
        <v>1379</v>
      </c>
      <c r="I30" s="2" t="s">
        <v>116</v>
      </c>
      <c r="J30" s="2" t="s">
        <v>116</v>
      </c>
      <c r="K30" s="78" t="s">
        <v>1495</v>
      </c>
    </row>
    <row r="31" spans="2:11" x14ac:dyDescent="0.25">
      <c r="B31" s="95">
        <v>29</v>
      </c>
      <c r="C31" s="96" t="s">
        <v>518</v>
      </c>
      <c r="D31" s="2" t="s">
        <v>1427</v>
      </c>
      <c r="E31" s="2" t="s">
        <v>1370</v>
      </c>
      <c r="F31" s="2" t="s">
        <v>1151</v>
      </c>
      <c r="G31" s="2" t="s">
        <v>208</v>
      </c>
      <c r="H31" s="2" t="s">
        <v>1379</v>
      </c>
      <c r="I31" s="2" t="s">
        <v>116</v>
      </c>
      <c r="J31" s="2" t="s">
        <v>116</v>
      </c>
      <c r="K31" s="2" t="s">
        <v>963</v>
      </c>
    </row>
    <row r="32" spans="2:11" x14ac:dyDescent="0.25">
      <c r="B32" s="95">
        <v>29</v>
      </c>
      <c r="C32" s="96" t="s">
        <v>518</v>
      </c>
      <c r="D32" s="2" t="s">
        <v>1427</v>
      </c>
      <c r="E32" s="2" t="s">
        <v>1370</v>
      </c>
      <c r="F32" s="2" t="s">
        <v>1152</v>
      </c>
      <c r="G32" s="2" t="s">
        <v>208</v>
      </c>
      <c r="H32" s="2" t="s">
        <v>1379</v>
      </c>
      <c r="I32" s="2" t="s">
        <v>116</v>
      </c>
      <c r="J32" s="2" t="s">
        <v>116</v>
      </c>
      <c r="K32" s="2" t="s">
        <v>963</v>
      </c>
    </row>
    <row r="33" spans="2:11" x14ac:dyDescent="0.25">
      <c r="B33" s="95">
        <v>29</v>
      </c>
      <c r="C33" s="96" t="s">
        <v>518</v>
      </c>
      <c r="D33" s="2" t="s">
        <v>1428</v>
      </c>
      <c r="E33" s="2" t="s">
        <v>1370</v>
      </c>
      <c r="F33" s="2" t="s">
        <v>1153</v>
      </c>
      <c r="G33" s="2" t="s">
        <v>208</v>
      </c>
      <c r="H33" s="2" t="s">
        <v>1379</v>
      </c>
      <c r="I33" s="2" t="s">
        <v>116</v>
      </c>
      <c r="J33" s="2" t="s">
        <v>116</v>
      </c>
      <c r="K33" s="2" t="s">
        <v>963</v>
      </c>
    </row>
    <row r="34" spans="2:11" x14ac:dyDescent="0.25">
      <c r="B34" s="95">
        <v>29</v>
      </c>
      <c r="C34" s="96" t="s">
        <v>518</v>
      </c>
      <c r="D34" s="2" t="s">
        <v>1429</v>
      </c>
      <c r="E34" s="2" t="s">
        <v>1370</v>
      </c>
      <c r="F34" s="2" t="s">
        <v>1157</v>
      </c>
      <c r="G34" s="2" t="s">
        <v>211</v>
      </c>
      <c r="H34" s="2" t="s">
        <v>1379</v>
      </c>
      <c r="I34" s="2" t="s">
        <v>116</v>
      </c>
      <c r="J34" s="2" t="s">
        <v>116</v>
      </c>
      <c r="K34" s="2" t="s">
        <v>963</v>
      </c>
    </row>
    <row r="35" spans="2:11" ht="60" x14ac:dyDescent="0.25">
      <c r="B35" s="95">
        <v>29</v>
      </c>
      <c r="C35" s="96" t="s">
        <v>518</v>
      </c>
      <c r="D35" s="2" t="s">
        <v>674</v>
      </c>
      <c r="E35" s="2" t="s">
        <v>1430</v>
      </c>
      <c r="F35" s="2" t="s">
        <v>1149</v>
      </c>
      <c r="G35" s="2" t="s">
        <v>546</v>
      </c>
      <c r="H35" s="36" t="s">
        <v>1373</v>
      </c>
      <c r="I35" s="36" t="s">
        <v>1413</v>
      </c>
      <c r="J35" s="78" t="s">
        <v>1431</v>
      </c>
      <c r="K35" s="78" t="s">
        <v>1432</v>
      </c>
    </row>
    <row r="36" spans="2:11" ht="30" x14ac:dyDescent="0.25">
      <c r="B36" s="95">
        <v>29</v>
      </c>
      <c r="C36" s="96" t="s">
        <v>518</v>
      </c>
      <c r="D36" s="2" t="s">
        <v>1433</v>
      </c>
      <c r="E36" s="2" t="s">
        <v>1392</v>
      </c>
      <c r="F36" s="2" t="s">
        <v>1154</v>
      </c>
      <c r="G36" s="2" t="s">
        <v>512</v>
      </c>
      <c r="H36" s="2" t="s">
        <v>1379</v>
      </c>
      <c r="I36" s="2" t="s">
        <v>116</v>
      </c>
      <c r="J36" s="2" t="s">
        <v>116</v>
      </c>
      <c r="K36" s="78" t="s">
        <v>1434</v>
      </c>
    </row>
    <row r="37" spans="2:11" ht="30" x14ac:dyDescent="0.25">
      <c r="B37" s="95">
        <v>29</v>
      </c>
      <c r="C37" s="96" t="s">
        <v>518</v>
      </c>
      <c r="D37" s="2" t="s">
        <v>1435</v>
      </c>
      <c r="E37" s="2" t="s">
        <v>1370</v>
      </c>
      <c r="F37" s="2" t="s">
        <v>1164</v>
      </c>
      <c r="G37" s="2" t="s">
        <v>610</v>
      </c>
      <c r="H37" s="36" t="s">
        <v>1373</v>
      </c>
      <c r="I37" s="36" t="s">
        <v>1413</v>
      </c>
      <c r="J37" s="2" t="s">
        <v>1409</v>
      </c>
      <c r="K37" s="23" t="s">
        <v>1410</v>
      </c>
    </row>
    <row r="38" spans="2:11" ht="60" x14ac:dyDescent="0.25">
      <c r="B38" s="95">
        <v>29</v>
      </c>
      <c r="C38" s="96" t="s">
        <v>518</v>
      </c>
      <c r="D38" s="2" t="s">
        <v>480</v>
      </c>
      <c r="E38" s="2" t="s">
        <v>1436</v>
      </c>
      <c r="F38" s="2" t="s">
        <v>1158</v>
      </c>
      <c r="G38" s="2" t="s">
        <v>515</v>
      </c>
      <c r="H38" s="36" t="s">
        <v>1373</v>
      </c>
      <c r="I38" s="36" t="s">
        <v>1374</v>
      </c>
      <c r="J38" s="78" t="s">
        <v>1437</v>
      </c>
      <c r="K38" s="78" t="s">
        <v>1438</v>
      </c>
    </row>
    <row r="39" spans="2:11" ht="45" x14ac:dyDescent="0.25">
      <c r="B39" s="95">
        <v>29</v>
      </c>
      <c r="C39" s="96" t="s">
        <v>518</v>
      </c>
      <c r="D39" s="2" t="s">
        <v>421</v>
      </c>
      <c r="E39" s="2" t="s">
        <v>1370</v>
      </c>
      <c r="F39" s="2" t="s">
        <v>1439</v>
      </c>
      <c r="G39" s="2" t="s">
        <v>428</v>
      </c>
      <c r="H39" s="36" t="s">
        <v>1373</v>
      </c>
      <c r="I39" s="36" t="s">
        <v>1440</v>
      </c>
      <c r="J39" s="78" t="s">
        <v>1441</v>
      </c>
      <c r="K39" s="78" t="s">
        <v>1442</v>
      </c>
    </row>
    <row r="40" spans="2:11" ht="30" x14ac:dyDescent="0.25">
      <c r="B40" s="95">
        <v>29</v>
      </c>
      <c r="C40" s="96" t="s">
        <v>518</v>
      </c>
      <c r="D40" s="2" t="s">
        <v>1443</v>
      </c>
      <c r="E40" s="2" t="s">
        <v>1370</v>
      </c>
      <c r="F40" s="2" t="s">
        <v>1243</v>
      </c>
      <c r="G40" s="2" t="s">
        <v>1424</v>
      </c>
      <c r="H40" s="2" t="s">
        <v>1379</v>
      </c>
      <c r="I40" s="2" t="s">
        <v>116</v>
      </c>
      <c r="J40" s="2" t="s">
        <v>116</v>
      </c>
      <c r="K40" s="78" t="s">
        <v>1444</v>
      </c>
    </row>
    <row r="41" spans="2:11" ht="30" x14ac:dyDescent="0.25">
      <c r="B41" s="95">
        <v>29</v>
      </c>
      <c r="C41" s="96" t="s">
        <v>518</v>
      </c>
      <c r="D41" s="2" t="s">
        <v>674</v>
      </c>
      <c r="E41" s="2" t="s">
        <v>1370</v>
      </c>
      <c r="F41" s="2" t="s">
        <v>1164</v>
      </c>
      <c r="G41" s="2" t="s">
        <v>469</v>
      </c>
      <c r="H41" s="36" t="s">
        <v>1373</v>
      </c>
      <c r="I41" s="36" t="s">
        <v>1374</v>
      </c>
      <c r="J41" s="78" t="s">
        <v>1445</v>
      </c>
      <c r="K41" s="78" t="s">
        <v>1418</v>
      </c>
    </row>
    <row r="42" spans="2:11" ht="30.75" thickBot="1" x14ac:dyDescent="0.3">
      <c r="B42" s="97">
        <v>29</v>
      </c>
      <c r="C42" s="98" t="s">
        <v>518</v>
      </c>
      <c r="D42" s="10" t="s">
        <v>648</v>
      </c>
      <c r="E42" s="10" t="s">
        <v>1370</v>
      </c>
      <c r="F42" s="10" t="s">
        <v>1446</v>
      </c>
      <c r="G42" s="10" t="s">
        <v>51</v>
      </c>
      <c r="H42" s="50" t="s">
        <v>1373</v>
      </c>
      <c r="I42" s="50" t="s">
        <v>1413</v>
      </c>
      <c r="J42" s="80" t="s">
        <v>1447</v>
      </c>
      <c r="K42" s="80" t="s">
        <v>1418</v>
      </c>
    </row>
    <row r="43" spans="2:11" ht="60.75" thickTop="1" x14ac:dyDescent="0.25">
      <c r="B43" s="99">
        <v>30</v>
      </c>
      <c r="C43" s="100" t="s">
        <v>619</v>
      </c>
      <c r="D43" s="7" t="s">
        <v>1448</v>
      </c>
      <c r="E43" s="7" t="s">
        <v>1449</v>
      </c>
      <c r="F43" s="7" t="s">
        <v>1171</v>
      </c>
      <c r="G43" s="7" t="s">
        <v>334</v>
      </c>
      <c r="H43" s="79" t="s">
        <v>1373</v>
      </c>
      <c r="I43" s="79" t="s">
        <v>1374</v>
      </c>
      <c r="J43" s="7" t="s">
        <v>1409</v>
      </c>
      <c r="K43" s="81" t="s">
        <v>1450</v>
      </c>
    </row>
    <row r="44" spans="2:11" ht="30" x14ac:dyDescent="0.25">
      <c r="B44" s="95">
        <v>30</v>
      </c>
      <c r="C44" s="96" t="s">
        <v>619</v>
      </c>
      <c r="D44" s="2" t="s">
        <v>1370</v>
      </c>
      <c r="E44" s="2" t="s">
        <v>1426</v>
      </c>
      <c r="F44" s="2" t="s">
        <v>1172</v>
      </c>
      <c r="G44" s="2" t="s">
        <v>622</v>
      </c>
      <c r="H44" s="36" t="s">
        <v>1373</v>
      </c>
      <c r="I44" s="36" t="s">
        <v>1374</v>
      </c>
      <c r="J44" s="2" t="s">
        <v>1409</v>
      </c>
      <c r="K44" s="78" t="s">
        <v>1410</v>
      </c>
    </row>
    <row r="45" spans="2:11" ht="30" x14ac:dyDescent="0.25">
      <c r="B45" s="95">
        <v>30</v>
      </c>
      <c r="C45" s="96" t="s">
        <v>619</v>
      </c>
      <c r="D45" s="2" t="s">
        <v>1451</v>
      </c>
      <c r="E45" s="2" t="s">
        <v>1426</v>
      </c>
      <c r="F45" s="2" t="s">
        <v>1173</v>
      </c>
      <c r="G45" s="2" t="s">
        <v>625</v>
      </c>
      <c r="H45" s="2" t="s">
        <v>1379</v>
      </c>
      <c r="I45" s="2" t="s">
        <v>116</v>
      </c>
      <c r="J45" s="2" t="s">
        <v>116</v>
      </c>
      <c r="K45" s="78" t="s">
        <v>1452</v>
      </c>
    </row>
    <row r="46" spans="2:11" ht="30" x14ac:dyDescent="0.25">
      <c r="B46" s="95">
        <v>30</v>
      </c>
      <c r="C46" s="96" t="s">
        <v>619</v>
      </c>
      <c r="D46" s="2" t="s">
        <v>808</v>
      </c>
      <c r="E46" s="2" t="s">
        <v>1453</v>
      </c>
      <c r="F46" s="2" t="s">
        <v>1174</v>
      </c>
      <c r="G46" s="2" t="s">
        <v>628</v>
      </c>
      <c r="H46" s="2" t="s">
        <v>1379</v>
      </c>
      <c r="I46" s="2" t="s">
        <v>116</v>
      </c>
      <c r="J46" s="2" t="s">
        <v>116</v>
      </c>
      <c r="K46" s="78" t="s">
        <v>1454</v>
      </c>
    </row>
    <row r="47" spans="2:11" ht="30" x14ac:dyDescent="0.25">
      <c r="B47" s="95">
        <v>30</v>
      </c>
      <c r="C47" s="96" t="s">
        <v>619</v>
      </c>
      <c r="D47" s="2" t="s">
        <v>808</v>
      </c>
      <c r="E47" s="2" t="s">
        <v>1370</v>
      </c>
      <c r="F47" s="2" t="s">
        <v>1175</v>
      </c>
      <c r="G47" s="2" t="s">
        <v>631</v>
      </c>
      <c r="H47" s="2" t="s">
        <v>1379</v>
      </c>
      <c r="I47" s="2" t="s">
        <v>116</v>
      </c>
      <c r="J47" s="2" t="s">
        <v>116</v>
      </c>
      <c r="K47" s="78" t="s">
        <v>1455</v>
      </c>
    </row>
    <row r="48" spans="2:11" ht="30" x14ac:dyDescent="0.25">
      <c r="B48" s="95">
        <v>30</v>
      </c>
      <c r="C48" s="96" t="s">
        <v>619</v>
      </c>
      <c r="D48" s="2" t="s">
        <v>1451</v>
      </c>
      <c r="E48" s="2" t="s">
        <v>1370</v>
      </c>
      <c r="F48" s="2" t="s">
        <v>1176</v>
      </c>
      <c r="G48" s="2" t="s">
        <v>639</v>
      </c>
      <c r="H48" s="36" t="s">
        <v>1373</v>
      </c>
      <c r="I48" s="36" t="s">
        <v>1413</v>
      </c>
      <c r="J48" s="2" t="s">
        <v>1409</v>
      </c>
      <c r="K48" s="23" t="s">
        <v>1410</v>
      </c>
    </row>
    <row r="49" spans="2:11" ht="30" x14ac:dyDescent="0.25">
      <c r="B49" s="95">
        <v>30</v>
      </c>
      <c r="C49" s="96" t="s">
        <v>619</v>
      </c>
      <c r="D49" s="2" t="s">
        <v>1456</v>
      </c>
      <c r="E49" s="2" t="s">
        <v>1370</v>
      </c>
      <c r="F49" s="2" t="s">
        <v>1457</v>
      </c>
      <c r="G49" s="2" t="s">
        <v>51</v>
      </c>
      <c r="H49" s="36" t="s">
        <v>1373</v>
      </c>
      <c r="I49" s="36" t="s">
        <v>1413</v>
      </c>
      <c r="J49" s="2" t="s">
        <v>1409</v>
      </c>
      <c r="K49" s="78" t="s">
        <v>1410</v>
      </c>
    </row>
    <row r="50" spans="2:11" ht="30.75" thickBot="1" x14ac:dyDescent="0.3">
      <c r="B50" s="97">
        <v>30</v>
      </c>
      <c r="C50" s="98" t="s">
        <v>1458</v>
      </c>
      <c r="D50" s="10" t="s">
        <v>1459</v>
      </c>
      <c r="E50" s="10" t="s">
        <v>1370</v>
      </c>
      <c r="F50" s="10" t="s">
        <v>1177</v>
      </c>
      <c r="G50" s="10" t="s">
        <v>616</v>
      </c>
      <c r="H50" s="10" t="s">
        <v>1379</v>
      </c>
      <c r="I50" s="10" t="s">
        <v>116</v>
      </c>
      <c r="J50" s="10" t="s">
        <v>116</v>
      </c>
      <c r="K50" s="20" t="s">
        <v>963</v>
      </c>
    </row>
    <row r="51" spans="2:11" ht="60.75" thickTop="1" x14ac:dyDescent="0.25">
      <c r="B51" s="99">
        <v>41</v>
      </c>
      <c r="C51" s="100" t="s">
        <v>652</v>
      </c>
      <c r="D51" s="7" t="s">
        <v>1460</v>
      </c>
      <c r="E51" s="7" t="s">
        <v>1370</v>
      </c>
      <c r="F51" s="7" t="s">
        <v>1189</v>
      </c>
      <c r="G51" s="7" t="s">
        <v>653</v>
      </c>
      <c r="H51" s="105" t="s">
        <v>1373</v>
      </c>
      <c r="I51" s="105" t="s">
        <v>1413</v>
      </c>
      <c r="J51" s="106" t="s">
        <v>1524</v>
      </c>
      <c r="K51" s="107" t="s">
        <v>1461</v>
      </c>
    </row>
    <row r="52" spans="2:11" ht="60" x14ac:dyDescent="0.25">
      <c r="B52" s="95">
        <v>41</v>
      </c>
      <c r="C52" s="96" t="s">
        <v>652</v>
      </c>
      <c r="D52" s="2" t="s">
        <v>1460</v>
      </c>
      <c r="E52" s="2" t="s">
        <v>1370</v>
      </c>
      <c r="F52" s="2" t="s">
        <v>1191</v>
      </c>
      <c r="G52" s="2" t="s">
        <v>653</v>
      </c>
      <c r="H52" s="105" t="s">
        <v>1373</v>
      </c>
      <c r="I52" s="108" t="s">
        <v>1413</v>
      </c>
      <c r="J52" s="106" t="s">
        <v>1524</v>
      </c>
      <c r="K52" s="106" t="s">
        <v>1461</v>
      </c>
    </row>
    <row r="53" spans="2:11" ht="60" x14ac:dyDescent="0.25">
      <c r="B53" s="95">
        <v>41</v>
      </c>
      <c r="C53" s="96" t="s">
        <v>652</v>
      </c>
      <c r="D53" s="2" t="s">
        <v>1460</v>
      </c>
      <c r="E53" s="2" t="s">
        <v>1370</v>
      </c>
      <c r="F53" s="2" t="s">
        <v>1189</v>
      </c>
      <c r="G53" s="2" t="s">
        <v>385</v>
      </c>
      <c r="H53" s="108" t="s">
        <v>1373</v>
      </c>
      <c r="I53" s="108" t="s">
        <v>1413</v>
      </c>
      <c r="J53" s="106" t="s">
        <v>1525</v>
      </c>
      <c r="K53" s="106" t="s">
        <v>1461</v>
      </c>
    </row>
    <row r="54" spans="2:11" ht="30.75" thickBot="1" x14ac:dyDescent="0.3">
      <c r="B54" s="97">
        <v>41</v>
      </c>
      <c r="C54" s="98" t="s">
        <v>652</v>
      </c>
      <c r="D54" s="10" t="s">
        <v>1462</v>
      </c>
      <c r="E54" s="10" t="s">
        <v>1463</v>
      </c>
      <c r="F54" s="10" t="s">
        <v>1189</v>
      </c>
      <c r="G54" s="10" t="s">
        <v>659</v>
      </c>
      <c r="H54" s="10" t="s">
        <v>1379</v>
      </c>
      <c r="I54" s="10" t="s">
        <v>116</v>
      </c>
      <c r="J54" s="10" t="s">
        <v>116</v>
      </c>
      <c r="K54" s="80" t="s">
        <v>1464</v>
      </c>
    </row>
    <row r="55" spans="2:11" ht="31.5" thickTop="1" thickBot="1" x14ac:dyDescent="0.3">
      <c r="B55" s="101">
        <v>74</v>
      </c>
      <c r="C55" s="102" t="s">
        <v>767</v>
      </c>
      <c r="D55" s="13" t="s">
        <v>421</v>
      </c>
      <c r="E55" s="13" t="s">
        <v>1370</v>
      </c>
      <c r="F55" s="13" t="s">
        <v>1228</v>
      </c>
      <c r="G55" s="13" t="s">
        <v>477</v>
      </c>
      <c r="H55" s="13" t="s">
        <v>1379</v>
      </c>
      <c r="I55" s="13" t="s">
        <v>116</v>
      </c>
      <c r="J55" s="13" t="s">
        <v>116</v>
      </c>
      <c r="K55" s="82" t="s">
        <v>1465</v>
      </c>
    </row>
    <row r="56" spans="2:11" ht="30.75" thickTop="1" x14ac:dyDescent="0.25">
      <c r="B56" s="99">
        <v>79</v>
      </c>
      <c r="C56" s="100" t="s">
        <v>789</v>
      </c>
      <c r="D56" s="7" t="s">
        <v>695</v>
      </c>
      <c r="E56" s="7" t="s">
        <v>1370</v>
      </c>
      <c r="F56" s="7" t="s">
        <v>1496</v>
      </c>
      <c r="G56" s="7" t="s">
        <v>412</v>
      </c>
      <c r="H56" s="7" t="s">
        <v>1379</v>
      </c>
      <c r="I56" s="7" t="s">
        <v>116</v>
      </c>
      <c r="J56" s="7" t="s">
        <v>116</v>
      </c>
      <c r="K56" s="41" t="s">
        <v>963</v>
      </c>
    </row>
    <row r="57" spans="2:11" ht="30" x14ac:dyDescent="0.25">
      <c r="B57" s="95">
        <v>79</v>
      </c>
      <c r="C57" s="96" t="s">
        <v>789</v>
      </c>
      <c r="D57" s="2" t="s">
        <v>337</v>
      </c>
      <c r="E57" s="2" t="s">
        <v>1370</v>
      </c>
      <c r="F57" s="2" t="s">
        <v>1233</v>
      </c>
      <c r="G57" s="2" t="s">
        <v>412</v>
      </c>
      <c r="H57" s="2" t="s">
        <v>1379</v>
      </c>
      <c r="I57" s="2" t="s">
        <v>116</v>
      </c>
      <c r="J57" s="2" t="s">
        <v>116</v>
      </c>
      <c r="K57" s="78" t="s">
        <v>1466</v>
      </c>
    </row>
    <row r="58" spans="2:11" x14ac:dyDescent="0.25">
      <c r="B58" s="95">
        <v>79</v>
      </c>
      <c r="C58" s="96" t="s">
        <v>789</v>
      </c>
      <c r="D58" s="2" t="s">
        <v>1467</v>
      </c>
      <c r="E58" s="2" t="s">
        <v>1370</v>
      </c>
      <c r="F58" s="2" t="s">
        <v>1240</v>
      </c>
      <c r="G58" s="2" t="s">
        <v>697</v>
      </c>
      <c r="H58" s="2" t="s">
        <v>1379</v>
      </c>
      <c r="I58" s="2" t="s">
        <v>116</v>
      </c>
      <c r="J58" s="2" t="s">
        <v>116</v>
      </c>
      <c r="K58" s="2" t="s">
        <v>963</v>
      </c>
    </row>
    <row r="59" spans="2:11" ht="30" x14ac:dyDescent="0.25">
      <c r="B59" s="95">
        <v>79</v>
      </c>
      <c r="C59" s="96" t="s">
        <v>789</v>
      </c>
      <c r="D59" s="2" t="s">
        <v>1468</v>
      </c>
      <c r="E59" s="2" t="s">
        <v>1426</v>
      </c>
      <c r="F59" s="2" t="s">
        <v>1497</v>
      </c>
      <c r="G59" s="2" t="s">
        <v>616</v>
      </c>
      <c r="H59" s="2" t="s">
        <v>1379</v>
      </c>
      <c r="I59" s="2" t="s">
        <v>116</v>
      </c>
      <c r="J59" s="2" t="s">
        <v>116</v>
      </c>
      <c r="K59" s="78" t="s">
        <v>1469</v>
      </c>
    </row>
    <row r="60" spans="2:11" ht="30.75" thickBot="1" x14ac:dyDescent="0.3">
      <c r="B60" s="97">
        <v>79</v>
      </c>
      <c r="C60" s="98" t="s">
        <v>789</v>
      </c>
      <c r="D60" s="10" t="s">
        <v>1468</v>
      </c>
      <c r="E60" s="10" t="s">
        <v>1426</v>
      </c>
      <c r="F60" s="10" t="s">
        <v>1498</v>
      </c>
      <c r="G60" s="10" t="s">
        <v>616</v>
      </c>
      <c r="H60" s="10" t="s">
        <v>1379</v>
      </c>
      <c r="I60" s="10" t="s">
        <v>116</v>
      </c>
      <c r="J60" s="10" t="s">
        <v>116</v>
      </c>
      <c r="K60" s="80" t="s">
        <v>1469</v>
      </c>
    </row>
    <row r="61" spans="2:11" ht="45.75" thickTop="1" x14ac:dyDescent="0.25">
      <c r="B61" s="99" t="s">
        <v>836</v>
      </c>
      <c r="C61" s="100" t="s">
        <v>837</v>
      </c>
      <c r="D61" s="7" t="s">
        <v>1470</v>
      </c>
      <c r="E61" s="7" t="s">
        <v>1370</v>
      </c>
      <c r="F61" s="7" t="s">
        <v>1258</v>
      </c>
      <c r="G61" s="7" t="s">
        <v>862</v>
      </c>
      <c r="H61" s="79" t="s">
        <v>1373</v>
      </c>
      <c r="I61" s="79" t="s">
        <v>1413</v>
      </c>
      <c r="J61" s="7" t="s">
        <v>1409</v>
      </c>
      <c r="K61" s="81" t="s">
        <v>1410</v>
      </c>
    </row>
    <row r="62" spans="2:11" ht="45.75" thickBot="1" x14ac:dyDescent="0.3">
      <c r="B62" s="97" t="s">
        <v>836</v>
      </c>
      <c r="C62" s="98" t="s">
        <v>837</v>
      </c>
      <c r="D62" s="10" t="s">
        <v>1471</v>
      </c>
      <c r="E62" s="10" t="s">
        <v>1370</v>
      </c>
      <c r="F62" s="10" t="s">
        <v>1472</v>
      </c>
      <c r="G62" s="10" t="s">
        <v>862</v>
      </c>
      <c r="H62" s="50" t="s">
        <v>1373</v>
      </c>
      <c r="I62" s="50" t="s">
        <v>1413</v>
      </c>
      <c r="J62" s="10" t="s">
        <v>1409</v>
      </c>
      <c r="K62" s="80" t="s">
        <v>1410</v>
      </c>
    </row>
    <row r="63" spans="2:11" ht="30.75" thickTop="1" x14ac:dyDescent="0.25">
      <c r="B63" s="103" t="s">
        <v>871</v>
      </c>
      <c r="C63" s="104" t="s">
        <v>872</v>
      </c>
      <c r="D63" s="19" t="s">
        <v>1473</v>
      </c>
      <c r="E63" s="19" t="s">
        <v>1474</v>
      </c>
      <c r="F63" s="19" t="s">
        <v>1264</v>
      </c>
      <c r="G63" s="19" t="s">
        <v>415</v>
      </c>
      <c r="H63" s="19" t="s">
        <v>1379</v>
      </c>
      <c r="I63" s="19" t="s">
        <v>116</v>
      </c>
      <c r="J63" s="19" t="s">
        <v>116</v>
      </c>
      <c r="K63" s="83" t="s">
        <v>1523</v>
      </c>
    </row>
    <row r="64" spans="2:11" ht="30" x14ac:dyDescent="0.25">
      <c r="B64" s="95" t="s">
        <v>871</v>
      </c>
      <c r="C64" s="96" t="s">
        <v>872</v>
      </c>
      <c r="D64" s="2" t="s">
        <v>1475</v>
      </c>
      <c r="E64" s="2" t="s">
        <v>1370</v>
      </c>
      <c r="F64" s="2" t="s">
        <v>1262</v>
      </c>
      <c r="G64" s="2" t="s">
        <v>415</v>
      </c>
      <c r="H64" s="2" t="s">
        <v>1379</v>
      </c>
      <c r="I64" s="2" t="s">
        <v>116</v>
      </c>
      <c r="J64" s="2" t="s">
        <v>116</v>
      </c>
      <c r="K64" s="35" t="s">
        <v>963</v>
      </c>
    </row>
    <row r="65" spans="2:11" ht="30" x14ac:dyDescent="0.25">
      <c r="B65" s="95" t="s">
        <v>871</v>
      </c>
      <c r="C65" s="96" t="s">
        <v>872</v>
      </c>
      <c r="D65" s="2" t="s">
        <v>1475</v>
      </c>
      <c r="E65" s="2" t="s">
        <v>1370</v>
      </c>
      <c r="F65" s="2" t="s">
        <v>1263</v>
      </c>
      <c r="G65" s="2" t="s">
        <v>415</v>
      </c>
      <c r="H65" s="2" t="s">
        <v>1379</v>
      </c>
      <c r="I65" s="2" t="s">
        <v>116</v>
      </c>
      <c r="J65" s="2" t="s">
        <v>116</v>
      </c>
      <c r="K65" s="35" t="s">
        <v>963</v>
      </c>
    </row>
    <row r="66" spans="2:11" ht="30" x14ac:dyDescent="0.25">
      <c r="B66" s="95" t="s">
        <v>871</v>
      </c>
      <c r="C66" s="96" t="s">
        <v>872</v>
      </c>
      <c r="D66" s="2" t="s">
        <v>1499</v>
      </c>
      <c r="E66" s="2" t="s">
        <v>1370</v>
      </c>
      <c r="F66" s="2" t="s">
        <v>1266</v>
      </c>
      <c r="G66" s="2" t="s">
        <v>900</v>
      </c>
      <c r="H66" s="2" t="s">
        <v>1379</v>
      </c>
      <c r="I66" s="2" t="s">
        <v>116</v>
      </c>
      <c r="J66" s="2" t="s">
        <v>116</v>
      </c>
      <c r="K66" s="35" t="s">
        <v>963</v>
      </c>
    </row>
    <row r="67" spans="2:11" ht="30.75" thickBot="1" x14ac:dyDescent="0.3">
      <c r="B67" s="97" t="s">
        <v>871</v>
      </c>
      <c r="C67" s="98" t="s">
        <v>872</v>
      </c>
      <c r="D67" s="10" t="s">
        <v>1500</v>
      </c>
      <c r="E67" s="10" t="s">
        <v>1370</v>
      </c>
      <c r="F67" s="10" t="s">
        <v>1268</v>
      </c>
      <c r="G67" s="10" t="s">
        <v>903</v>
      </c>
      <c r="H67" s="50" t="s">
        <v>1373</v>
      </c>
      <c r="I67" s="50" t="s">
        <v>1413</v>
      </c>
      <c r="J67" s="80" t="s">
        <v>1501</v>
      </c>
      <c r="K67" s="20" t="s">
        <v>963</v>
      </c>
    </row>
  </sheetData>
  <autoFilter ref="B2:K2" xr:uid="{467DE4A2-E349-40A5-909D-B553A80BE38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dc0c41a-12c1-4165-8422-5f5ca88e9f6a"/>
    <lcf76f155ced4ddcb4097134ff3c332f xmlns="d78c010b-218d-4be4-b2d9-423b1f51aae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741122952C13D46BBBC92EEAE11CF32" ma:contentTypeVersion="13" ma:contentTypeDescription="Crée un document." ma:contentTypeScope="" ma:versionID="d96b5fa62e5213e7d24e66b2bac0c378">
  <xsd:schema xmlns:xsd="http://www.w3.org/2001/XMLSchema" xmlns:xs="http://www.w3.org/2001/XMLSchema" xmlns:p="http://schemas.microsoft.com/office/2006/metadata/properties" xmlns:ns2="d78c010b-218d-4be4-b2d9-423b1f51aae5" xmlns:ns3="adc0c41a-12c1-4165-8422-5f5ca88e9f6a" targetNamespace="http://schemas.microsoft.com/office/2006/metadata/properties" ma:root="true" ma:fieldsID="c2e8fc9a9c70fab2c0f7259df75af726" ns2:_="" ns3:_="">
    <xsd:import namespace="d78c010b-218d-4be4-b2d9-423b1f51aae5"/>
    <xsd:import namespace="adc0c41a-12c1-4165-8422-5f5ca88e9f6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8c010b-218d-4be4-b2d9-423b1f51aa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dd53d8bb-88b5-477e-9788-ab5cb1008ff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c0c41a-12c1-4165-8422-5f5ca88e9f6a"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5" nillable="true" ma:displayName="Taxonomy Catch All Column" ma:hidden="true" ma:list="{9f8ce134-c725-4f6f-a6f6-5df0359a5c7e}" ma:internalName="TaxCatchAll" ma:showField="CatchAllData" ma:web="adc0c41a-12c1-4165-8422-5f5ca88e9f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103A44-3975-4943-AB28-65011B7E4D07}">
  <ds:schemaRefs>
    <ds:schemaRef ds:uri="http://schemas.microsoft.com/office/2006/metadata/properties"/>
    <ds:schemaRef ds:uri="http://schemas.microsoft.com/office/infopath/2007/PartnerControls"/>
    <ds:schemaRef ds:uri="adc0c41a-12c1-4165-8422-5f5ca88e9f6a"/>
    <ds:schemaRef ds:uri="d78c010b-218d-4be4-b2d9-423b1f51aae5"/>
  </ds:schemaRefs>
</ds:datastoreItem>
</file>

<file path=customXml/itemProps2.xml><?xml version="1.0" encoding="utf-8"?>
<ds:datastoreItem xmlns:ds="http://schemas.openxmlformats.org/officeDocument/2006/customXml" ds:itemID="{BFF52A7D-629D-43DA-A27A-26245A010B40}">
  <ds:schemaRefs>
    <ds:schemaRef ds:uri="http://schemas.microsoft.com/sharepoint/v3/contenttype/forms"/>
  </ds:schemaRefs>
</ds:datastoreItem>
</file>

<file path=customXml/itemProps3.xml><?xml version="1.0" encoding="utf-8"?>
<ds:datastoreItem xmlns:ds="http://schemas.openxmlformats.org/officeDocument/2006/customXml" ds:itemID="{E87AE39D-0990-44CA-A7B1-29F47F7A9F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8c010b-218d-4be4-b2d9-423b1f51aae5"/>
    <ds:schemaRef ds:uri="adc0c41a-12c1-4165-8422-5f5ca88e9f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Note</vt:lpstr>
      <vt:lpstr>References_FullList</vt:lpstr>
      <vt:lpstr>LCI_Review&amp;Analysis_Overview</vt:lpstr>
      <vt:lpstr>LCI_Review&amp;Analysis_Details</vt:lpstr>
      <vt:lpstr>LCI&amp;Companionality_Overview</vt:lpstr>
      <vt:lpstr>LCI&amp;Companionality_Details</vt:lpstr>
    </vt:vector>
  </TitlesOfParts>
  <Manager/>
  <Company>BRGM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Beylot Antoine</dc:creator>
  <cp:keywords/>
  <dc:description/>
  <cp:lastModifiedBy>Marin Pellan</cp:lastModifiedBy>
  <cp:revision/>
  <dcterms:created xsi:type="dcterms:W3CDTF">2022-09-29T12:53:56Z</dcterms:created>
  <dcterms:modified xsi:type="dcterms:W3CDTF">2026-01-15T13:34:29Z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0x0101004741122952C13D46BBBC92EEAE11CF32</vt:lpwstr>
  </property>
  <property fmtid="{D5CDD505-2E9C-101B-9397-08002B2CF9AE}" pid="3" name="MediaServiceImageTags">
    <vt:lpwstr/>
  </property>
</Properties>
</file>