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data/LCIs/Lai_2025/"/>
    </mc:Choice>
  </mc:AlternateContent>
  <xr:revisionPtr revIDLastSave="178" documentId="8_{4E3DD59C-3AFA-4D66-BAD6-4D8B482B0214}" xr6:coauthVersionLast="47" xr6:coauthVersionMax="47" xr10:uidLastSave="{0FE8171B-4DE3-4F15-97E4-E0BCC54C54EB}"/>
  <bookViews>
    <workbookView xWindow="-120" yWindow="-120" windowWidth="29040" windowHeight="15720" xr2:uid="{00000000-000D-0000-FFFF-FFFF00000000}"/>
  </bookViews>
  <sheets>
    <sheet name="Note" sheetId="1" r:id="rId1"/>
    <sheet name="Graphite_Market_GLO" sheetId="4" r:id="rId2"/>
    <sheet name="PR1_NaturalGraphite_CN" sheetId="2" r:id="rId3"/>
    <sheet name="PR2_SyntheticGraphite_C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C13" i="4"/>
  <c r="E13" i="4"/>
  <c r="F13" i="4"/>
  <c r="A13" i="4"/>
  <c r="B12" i="4"/>
  <c r="C12" i="4"/>
  <c r="E12" i="4"/>
  <c r="F12" i="4"/>
  <c r="A12" i="4"/>
  <c r="D40" i="3"/>
  <c r="E40" i="3"/>
  <c r="C39" i="3"/>
  <c r="B39" i="3"/>
  <c r="A39" i="3"/>
  <c r="F9" i="3"/>
  <c r="F40" i="3" s="1"/>
  <c r="C9" i="3"/>
  <c r="C40" i="3" s="1"/>
  <c r="B9" i="3"/>
  <c r="B40" i="3" s="1"/>
  <c r="A9" i="3"/>
  <c r="A40" i="3" s="1"/>
  <c r="E115" i="2"/>
  <c r="E114" i="2"/>
  <c r="E113" i="2"/>
  <c r="E112" i="2"/>
  <c r="E111" i="2"/>
  <c r="C110" i="2"/>
  <c r="B110" i="2"/>
  <c r="A110" i="2"/>
  <c r="C91" i="2"/>
  <c r="C111" i="2" s="1"/>
  <c r="B91" i="2"/>
  <c r="B111" i="2" s="1"/>
  <c r="A91" i="2"/>
  <c r="A111" i="2" s="1"/>
  <c r="C66" i="2"/>
  <c r="C112" i="2" s="1"/>
  <c r="B66" i="2"/>
  <c r="B112" i="2" s="1"/>
  <c r="A66" i="2"/>
  <c r="A112" i="2" s="1"/>
  <c r="C53" i="2"/>
  <c r="C113" i="2" s="1"/>
  <c r="B53" i="2"/>
  <c r="B113" i="2" s="1"/>
  <c r="A53" i="2"/>
  <c r="A113" i="2" s="1"/>
  <c r="C29" i="2"/>
  <c r="C114" i="2" s="1"/>
  <c r="B29" i="2"/>
  <c r="B114" i="2" s="1"/>
  <c r="A29" i="2"/>
  <c r="A114" i="2" s="1"/>
  <c r="F9" i="2"/>
  <c r="F29" i="2" s="1"/>
  <c r="C9" i="2"/>
  <c r="C115" i="2" s="1"/>
  <c r="B9" i="2"/>
  <c r="B115" i="2" s="1"/>
  <c r="A9" i="2"/>
  <c r="A115" i="2" s="1"/>
  <c r="F11" i="4"/>
  <c r="E11" i="4"/>
  <c r="C11" i="4"/>
  <c r="B11" i="4"/>
  <c r="A11" i="4"/>
  <c r="F39" i="3" l="1"/>
  <c r="F53" i="2"/>
  <c r="F114" i="2"/>
  <c r="F115" i="2"/>
  <c r="F66" i="2" l="1"/>
  <c r="F113" i="2"/>
  <c r="F91" i="2" l="1"/>
  <c r="F112" i="2"/>
  <c r="F111" i="2" l="1"/>
  <c r="F110" i="2"/>
</calcChain>
</file>

<file path=xl/sharedStrings.xml><?xml version="1.0" encoding="utf-8"?>
<sst xmlns="http://schemas.openxmlformats.org/spreadsheetml/2006/main" count="753" uniqueCount="126">
  <si>
    <t>Activity</t>
  </si>
  <si>
    <t>reference product</t>
  </si>
  <si>
    <t>Graphite ore</t>
  </si>
  <si>
    <t>location</t>
  </si>
  <si>
    <t>CN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</si>
  <si>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</si>
  <si>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</si>
  <si>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</si>
  <si>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</si>
  <si>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</si>
  <si>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</si>
  <si>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</si>
  <si>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</si>
  <si>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</si>
  <si>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</si>
  <si>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</si>
  <si>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</si>
  <si>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</si>
  <si>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</si>
  <si>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</si>
  <si>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</si>
  <si>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</si>
  <si>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market group for electricity, medium voltage</t>
  </si>
  <si>
    <t>electricity, medium voltage</t>
  </si>
  <si>
    <t>kilowatt hour</t>
  </si>
  <si>
    <t>ecoinvent 3.10 cutoff</t>
  </si>
  <si>
    <t>technosphere</t>
  </si>
  <si>
    <t>(1,1,2,1,1)</t>
  </si>
  <si>
    <t>market for diesel</t>
  </si>
  <si>
    <t>diesel</t>
  </si>
  <si>
    <t>RoW</t>
  </si>
  <si>
    <t>ammonium nitrate production</t>
  </si>
  <si>
    <t>ammonium nitrate</t>
  </si>
  <si>
    <t>market for transport, freight, lorry 16-32 metric ton, EURO5</t>
  </si>
  <si>
    <t>transport, freight, lorry 16-32 metric ton, EURO5</t>
  </si>
  <si>
    <t>ton kilometer</t>
  </si>
  <si>
    <t>market for inert waste, for final disposal</t>
  </si>
  <si>
    <t>inert waste, for final disposal</t>
  </si>
  <si>
    <t>Nitrogen oxides</t>
  </si>
  <si>
    <t>biosphere3</t>
  </si>
  <si>
    <t>biosphere</t>
  </si>
  <si>
    <t>air</t>
  </si>
  <si>
    <t>Water</t>
  </si>
  <si>
    <t>cubic meter</t>
  </si>
  <si>
    <t>Carbon dioxide, fossil</t>
  </si>
  <si>
    <t>(2,1,2,1,1)</t>
  </si>
  <si>
    <t>Particulate Matter, &gt; 2.5 um and &lt; 10um</t>
  </si>
  <si>
    <t>[C] Flotation</t>
  </si>
  <si>
    <t>Graphite concentrate</t>
  </si>
  <si>
    <t>market for diesel, burned in building machine</t>
  </si>
  <si>
    <t>diesel, burned in building machine</t>
  </si>
  <si>
    <t>GLO</t>
  </si>
  <si>
    <t>megajoule</t>
  </si>
  <si>
    <t>market for hard coal</t>
  </si>
  <si>
    <t>hard coal</t>
  </si>
  <si>
    <t>market for vegetable oil, refined</t>
  </si>
  <si>
    <t>vegetable oil, refined</t>
  </si>
  <si>
    <t>market for steel, low-alloyed</t>
  </si>
  <si>
    <t>steel, low-alloyed</t>
  </si>
  <si>
    <t>market for non-sulfidic tailing, off-site</t>
  </si>
  <si>
    <t>non-sulfidic tailing, off-site</t>
  </si>
  <si>
    <t>market for wastewater, average</t>
  </si>
  <si>
    <t>wastewater, average</t>
  </si>
  <si>
    <t>Water, unspecified natural origin</t>
  </si>
  <si>
    <t>natural resource::in ground</t>
  </si>
  <si>
    <t>Oils, unspecified</t>
  </si>
  <si>
    <t>water</t>
  </si>
  <si>
    <t>[P+R] Spheronisation</t>
  </si>
  <si>
    <t>Spherical graphite</t>
  </si>
  <si>
    <t>[P+R] Purification</t>
  </si>
  <si>
    <t>Purified spherical graphite</t>
  </si>
  <si>
    <t>market for natural gas, high pressure</t>
  </si>
  <si>
    <t>natural gas, high pressure</t>
  </si>
  <si>
    <t>hydrogen fluoride production</t>
  </si>
  <si>
    <t>hydrogen fluoride</t>
  </si>
  <si>
    <t>market for hydrochloric acid, without water, in 30% solution state</t>
  </si>
  <si>
    <t>hydrochloric acid, without water, in 30% solution state</t>
  </si>
  <si>
    <t>nitric acid production, product in 50% solution state</t>
  </si>
  <si>
    <t>nitric acid, without water, in 50% solution state</t>
  </si>
  <si>
    <t>lime production, milled, packed</t>
  </si>
  <si>
    <t>lime, packed</t>
  </si>
  <si>
    <t>market for transport, freight, lorry &gt;32 metric ton, EURO5</t>
  </si>
  <si>
    <t>transport, freight, lorry &gt;32 metric ton, EURO5</t>
  </si>
  <si>
    <t>treatment of refinery sludge, sanitary landfill</t>
  </si>
  <si>
    <t>refinery sludge</t>
  </si>
  <si>
    <t>[P+R] Coating</t>
  </si>
  <si>
    <t>Coated spherical graphite</t>
  </si>
  <si>
    <t>pitch production, petroleum refinery operation</t>
  </si>
  <si>
    <t>pitch</t>
  </si>
  <si>
    <t>market for nitrogen, liquid</t>
  </si>
  <si>
    <t>nitrogen, liquid</t>
  </si>
  <si>
    <t>Nitrogen</t>
  </si>
  <si>
    <t>Graphite ore mining in China/Heilongjiang and natural graphite production in China/Shandong</t>
  </si>
  <si>
    <t>Battery-grade graphite</t>
  </si>
  <si>
    <t>[P+R] Synthetic graphite production</t>
  </si>
  <si>
    <t>market for petroleum coke</t>
  </si>
  <si>
    <t>petroleum coke</t>
  </si>
  <si>
    <t>market for heat, district or industrial, natural gas</t>
  </si>
  <si>
    <t>heat, district or industrial, natural gas</t>
  </si>
  <si>
    <t>(4,5,5,5,1)</t>
  </si>
  <si>
    <t>market for anode, graphite, for Li-ion battery</t>
  </si>
  <si>
    <t>anode, graphite, for Li-ion battery</t>
  </si>
  <si>
    <t>market for coke</t>
  </si>
  <si>
    <t>coke</t>
  </si>
  <si>
    <t>(3,5,2,5,1)</t>
  </si>
  <si>
    <t>market for coal tar</t>
  </si>
  <si>
    <t>coal tar</t>
  </si>
  <si>
    <t>market for polypropylene, granulate</t>
  </si>
  <si>
    <t>polypropylene, granulate</t>
  </si>
  <si>
    <t>market for corrugated board box</t>
  </si>
  <si>
    <t>corrugated board box</t>
  </si>
  <si>
    <t>market for packaging film, low density polyethylene</t>
  </si>
  <si>
    <t>packaging film, low density polyethylene</t>
  </si>
  <si>
    <t>(4,1,1,1,1)</t>
  </si>
  <si>
    <t>Synthetic graphite production in China</t>
  </si>
  <si>
    <t>Graphite</t>
  </si>
  <si>
    <t>Graphite (C) global market</t>
  </si>
  <si>
    <t>[M] Graphite ore mining</t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</si>
  <si>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</si>
  <si>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</si>
  <si>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</si>
  <si>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Graphite (C)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</si>
  <si>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Graphite global market</t>
  </si>
  <si>
    <t>Graphite_Market_GLO</t>
  </si>
  <si>
    <t>PR1_NaturalGraphite_CN</t>
  </si>
  <si>
    <t>PR2_SyntheticGraphite_CN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</si>
</sst>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left"/>
    </xf>
    <xf numFmtId="0" fontId="0" fillId="2" borderId="0" xfId="0" applyFill="1"/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5" fillId="0" borderId="6" xfId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6"/>
  <sheetViews>
    <sheetView showGridLines="0" tabSelected="1" topLeftCell="A9" workbookViewId="0">
      <selection activeCell="B36" sqref="B36"/>
    </sheetView>
  </sheetViews>
  <sheetFormatPr baseColWidth="10" defaultRowHeight="15" x14ac:dyDescent="0.25"/>
  <cols>
    <col min="1" max="1" width="1.85546875" customWidth="1"/>
    <col min="2" max="2" width="31.85546875" bestFit="1" customWidth="1"/>
  </cols>
  <sheetData>
    <row r="1" spans="1:17" ht="15.75" thickBot="1" x14ac:dyDescent="0.3">
      <c r="A1" t="s">
        <v>118</v>
      </c>
    </row>
    <row r="2" spans="1:17" ht="15" customHeight="1" x14ac:dyDescent="0.25">
      <c r="B2" s="24" t="s">
        <v>121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6"/>
    </row>
    <row r="3" spans="1:17" x14ac:dyDescent="0.25">
      <c r="B3" s="27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9"/>
    </row>
    <row r="4" spans="1:17" x14ac:dyDescent="0.25">
      <c r="B4" s="27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</row>
    <row r="5" spans="1:17" x14ac:dyDescent="0.25">
      <c r="B5" s="27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9"/>
    </row>
    <row r="6" spans="1:17" x14ac:dyDescent="0.25"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9"/>
    </row>
    <row r="7" spans="1:17" x14ac:dyDescent="0.25"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9"/>
    </row>
    <row r="8" spans="1:17" x14ac:dyDescent="0.25"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9"/>
    </row>
    <row r="9" spans="1:17" x14ac:dyDescent="0.25">
      <c r="B9" s="27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9"/>
    </row>
    <row r="10" spans="1:17" x14ac:dyDescent="0.25"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9"/>
    </row>
    <row r="11" spans="1:17" x14ac:dyDescent="0.25"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9"/>
    </row>
    <row r="12" spans="1:17" x14ac:dyDescent="0.25"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</row>
    <row r="13" spans="1:17" x14ac:dyDescent="0.25"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9"/>
    </row>
    <row r="14" spans="1:17" x14ac:dyDescent="0.25"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/>
    </row>
    <row r="15" spans="1:17" x14ac:dyDescent="0.25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9"/>
    </row>
    <row r="16" spans="1:17" x14ac:dyDescent="0.25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9"/>
    </row>
    <row r="17" spans="2:17" x14ac:dyDescent="0.25"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9"/>
    </row>
    <row r="18" spans="2:17" x14ac:dyDescent="0.25"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9"/>
    </row>
    <row r="19" spans="2:17" x14ac:dyDescent="0.25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9"/>
    </row>
    <row r="20" spans="2:17" x14ac:dyDescent="0.25"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9"/>
    </row>
    <row r="21" spans="2:17" x14ac:dyDescent="0.25"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9"/>
    </row>
    <row r="22" spans="2:17" x14ac:dyDescent="0.25"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9"/>
    </row>
    <row r="23" spans="2:17" x14ac:dyDescent="0.25"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9"/>
    </row>
    <row r="24" spans="2:17" ht="15" customHeight="1" x14ac:dyDescent="0.25"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9"/>
    </row>
    <row r="25" spans="2:17" x14ac:dyDescent="0.25"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9"/>
    </row>
    <row r="26" spans="2:17" x14ac:dyDescent="0.25"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9"/>
    </row>
    <row r="27" spans="2:17" x14ac:dyDescent="0.25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9"/>
    </row>
    <row r="28" spans="2:17" x14ac:dyDescent="0.25"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9"/>
    </row>
    <row r="29" spans="2:17" x14ac:dyDescent="0.25"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9"/>
    </row>
    <row r="30" spans="2:17" x14ac:dyDescent="0.25"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9"/>
    </row>
    <row r="31" spans="2:17" ht="15.75" thickBot="1" x14ac:dyDescent="0.3"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2"/>
    </row>
    <row r="32" spans="2:17" ht="15.75" thickBot="1" x14ac:dyDescent="0.3"/>
    <row r="33" spans="2:10" x14ac:dyDescent="0.25">
      <c r="B33" s="13" t="s">
        <v>119</v>
      </c>
      <c r="C33" s="14" t="s">
        <v>120</v>
      </c>
      <c r="D33" s="15"/>
      <c r="E33" s="15"/>
      <c r="F33" s="15"/>
      <c r="G33" s="15"/>
      <c r="H33" s="15"/>
      <c r="I33" s="15"/>
      <c r="J33" s="16"/>
    </row>
    <row r="34" spans="2:10" x14ac:dyDescent="0.25">
      <c r="B34" s="17" t="s">
        <v>123</v>
      </c>
      <c r="C34" s="6" t="s">
        <v>122</v>
      </c>
      <c r="D34" s="22"/>
      <c r="E34" s="22"/>
      <c r="F34" s="22"/>
      <c r="G34" s="22"/>
      <c r="H34" s="22"/>
      <c r="I34" s="22"/>
      <c r="J34" s="18"/>
    </row>
    <row r="35" spans="2:10" x14ac:dyDescent="0.25">
      <c r="B35" s="17" t="s">
        <v>124</v>
      </c>
      <c r="C35" s="4" t="s">
        <v>92</v>
      </c>
      <c r="D35" s="22"/>
      <c r="E35" s="22"/>
      <c r="F35" s="22"/>
      <c r="G35" s="22"/>
      <c r="H35" s="22"/>
      <c r="I35" s="22"/>
      <c r="J35" s="18"/>
    </row>
    <row r="36" spans="2:10" ht="15.75" thickBot="1" x14ac:dyDescent="0.3">
      <c r="B36" s="19" t="s">
        <v>125</v>
      </c>
      <c r="C36" s="23" t="s">
        <v>114</v>
      </c>
      <c r="D36" s="20"/>
      <c r="E36" s="20"/>
      <c r="F36" s="20"/>
      <c r="G36" s="20"/>
      <c r="H36" s="20"/>
      <c r="I36" s="20"/>
      <c r="J36" s="21"/>
    </row>
  </sheetData>
  <mergeCells count="1">
    <mergeCell ref="B2:Q31"/>
  </mergeCells>
  <hyperlinks>
    <hyperlink ref="B34" location="Graphite_Market_GLO!A1" display="Graphite_Market_GLO" xr:uid="{85BCFE58-6680-4E02-BE21-11F5068039FA}"/>
    <hyperlink ref="B35" location="PR1_NaturalGraphite_CN!A1" display="PR1_NaturalGraphite_CN" xr:uid="{B9C7E8D3-81BD-4192-9442-C37900C4F1BC}"/>
    <hyperlink ref="B36" location="PR2_SyntheticGraphite_CN!A1" display="PR2_SyntheticGraphite_CN" xr:uid="{CE90C63A-5F00-4A80-AA28-CEB750207B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F9582-4746-46F5-8CFA-456170CC2852}">
  <sheetPr>
    <tabColor theme="8" tint="0.39997558519241921"/>
  </sheetPr>
  <dimension ref="A1:N22"/>
  <sheetViews>
    <sheetView workbookViewId="0">
      <selection activeCell="A18" sqref="A18"/>
    </sheetView>
  </sheetViews>
  <sheetFormatPr baseColWidth="10" defaultRowHeight="15" x14ac:dyDescent="0.25"/>
  <cols>
    <col min="1" max="1" width="88.140625" bestFit="1" customWidth="1"/>
    <col min="2" max="2" width="25.85546875" bestFit="1" customWidth="1"/>
    <col min="3" max="3" width="8.140625" bestFit="1" customWidth="1"/>
    <col min="4" max="4" width="12" bestFit="1" customWidth="1"/>
    <col min="5" max="5" width="8.7109375" bestFit="1" customWidth="1"/>
    <col min="6" max="6" width="9.14062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9" bestFit="1" customWidth="1"/>
    <col min="11" max="11" width="3.5703125" bestFit="1" customWidth="1"/>
    <col min="12" max="12" width="5.42578125" bestFit="1" customWidth="1"/>
    <col min="13" max="13" width="9.5703125" bestFit="1" customWidth="1"/>
    <col min="14" max="14" width="9.85546875" bestFit="1" customWidth="1"/>
  </cols>
  <sheetData>
    <row r="1" spans="1:14" x14ac:dyDescent="0.25">
      <c r="A1" t="s">
        <v>12</v>
      </c>
      <c r="B1" s="1" t="s">
        <v>115</v>
      </c>
    </row>
    <row r="2" spans="1:14" s="2" customFormat="1" x14ac:dyDescent="0.25"/>
    <row r="3" spans="1:14" x14ac:dyDescent="0.25">
      <c r="A3" s="3" t="s">
        <v>0</v>
      </c>
      <c r="B3" s="3" t="s">
        <v>116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5" t="s">
        <v>1</v>
      </c>
      <c r="B4" s="4" t="s">
        <v>93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5" t="s">
        <v>3</v>
      </c>
      <c r="B5" s="4" t="s">
        <v>51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5" t="s">
        <v>5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5" t="s">
        <v>6</v>
      </c>
      <c r="B7" s="4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5" t="s">
        <v>8</v>
      </c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5" t="s">
        <v>10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3" t="s">
        <v>11</v>
      </c>
      <c r="B10" s="3" t="s">
        <v>1</v>
      </c>
      <c r="C10" s="3" t="s">
        <v>3</v>
      </c>
      <c r="D10" s="3" t="s">
        <v>5</v>
      </c>
      <c r="E10" s="3" t="s">
        <v>6</v>
      </c>
      <c r="F10" s="3" t="s">
        <v>12</v>
      </c>
      <c r="G10" s="3" t="s">
        <v>13</v>
      </c>
      <c r="H10" s="3" t="s">
        <v>14</v>
      </c>
      <c r="I10" s="3" t="s">
        <v>15</v>
      </c>
      <c r="J10" s="3" t="s">
        <v>16</v>
      </c>
      <c r="K10" s="3" t="s">
        <v>17</v>
      </c>
      <c r="L10" s="3" t="s">
        <v>18</v>
      </c>
      <c r="M10" s="3" t="s">
        <v>19</v>
      </c>
      <c r="N10" s="3" t="s">
        <v>20</v>
      </c>
    </row>
    <row r="11" spans="1:14" x14ac:dyDescent="0.25">
      <c r="A11" t="str">
        <f>B3</f>
        <v>Graphite (C) global market</v>
      </c>
      <c r="B11" t="str">
        <f>B4</f>
        <v>Battery-grade graphite</v>
      </c>
      <c r="C11" t="str">
        <f>B5</f>
        <v>GLO</v>
      </c>
      <c r="D11" s="4">
        <v>1</v>
      </c>
      <c r="E11" s="4" t="str">
        <f>B7</f>
        <v>kilogram</v>
      </c>
      <c r="F11" s="1" t="str">
        <f>B1</f>
        <v>Graphite</v>
      </c>
      <c r="G11" s="4" t="s">
        <v>21</v>
      </c>
    </row>
    <row r="12" spans="1:14" s="4" customFormat="1" x14ac:dyDescent="0.25">
      <c r="A12" s="4" t="str">
        <f>PR1_NaturalGraphite_CN!A110</f>
        <v>Graphite ore mining in China/Heilongjiang and natural graphite production in China/Shandong</v>
      </c>
      <c r="B12" s="4" t="str">
        <f>PR1_NaturalGraphite_CN!B110</f>
        <v>Battery-grade graphite</v>
      </c>
      <c r="C12" s="4" t="str">
        <f>PR1_NaturalGraphite_CN!C110</f>
        <v>CN</v>
      </c>
      <c r="D12" s="4">
        <v>0.42057679102769507</v>
      </c>
      <c r="E12" s="4" t="str">
        <f>PR1_NaturalGraphite_CN!E110</f>
        <v>kilogram</v>
      </c>
      <c r="F12" s="1" t="str">
        <f>PR1_NaturalGraphite_CN!F110</f>
        <v>Graphite</v>
      </c>
      <c r="G12" s="6" t="s">
        <v>26</v>
      </c>
    </row>
    <row r="13" spans="1:14" s="4" customFormat="1" x14ac:dyDescent="0.25">
      <c r="A13" s="4" t="str">
        <f>PR2_SyntheticGraphite_CN!A39</f>
        <v>Synthetic graphite production in China</v>
      </c>
      <c r="B13" s="4" t="str">
        <f>PR2_SyntheticGraphite_CN!B39</f>
        <v>Battery-grade graphite</v>
      </c>
      <c r="C13" s="4" t="str">
        <f>PR2_SyntheticGraphite_CN!C39</f>
        <v>CN</v>
      </c>
      <c r="D13" s="4">
        <v>0.57942320897230493</v>
      </c>
      <c r="E13" s="4" t="str">
        <f>PR2_SyntheticGraphite_CN!E39</f>
        <v>kilogram</v>
      </c>
      <c r="F13" s="1" t="str">
        <f>PR2_SyntheticGraphite_CN!F39</f>
        <v>Graphite</v>
      </c>
      <c r="G13" s="6" t="s">
        <v>26</v>
      </c>
    </row>
    <row r="14" spans="1:14" s="4" customFormat="1" x14ac:dyDescent="0.25">
      <c r="F14" s="1"/>
    </row>
    <row r="15" spans="1:14" s="4" customFormat="1" x14ac:dyDescent="0.25">
      <c r="F15" s="1"/>
    </row>
    <row r="16" spans="1:14" s="4" customFormat="1" x14ac:dyDescent="0.25">
      <c r="F16" s="1"/>
    </row>
    <row r="17" spans="6:6" s="4" customFormat="1" x14ac:dyDescent="0.25">
      <c r="F17" s="1"/>
    </row>
    <row r="18" spans="6:6" s="4" customFormat="1" x14ac:dyDescent="0.25">
      <c r="F18" s="1"/>
    </row>
    <row r="19" spans="6:6" s="4" customFormat="1" x14ac:dyDescent="0.25">
      <c r="F19" s="1"/>
    </row>
    <row r="20" spans="6:6" s="4" customFormat="1" x14ac:dyDescent="0.25">
      <c r="F20" s="1"/>
    </row>
    <row r="21" spans="6:6" s="4" customFormat="1" x14ac:dyDescent="0.25">
      <c r="F21" s="1"/>
    </row>
    <row r="22" spans="6:6" s="4" customFormat="1" x14ac:dyDescent="0.25">
      <c r="F2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N115"/>
  <sheetViews>
    <sheetView topLeftCell="A89" workbookViewId="0">
      <selection activeCell="C113" sqref="C113"/>
    </sheetView>
  </sheetViews>
  <sheetFormatPr baseColWidth="10" defaultColWidth="9.140625" defaultRowHeight="15" x14ac:dyDescent="0.25"/>
  <cols>
    <col min="1" max="1" width="85.85546875" style="6" bestFit="1" customWidth="1"/>
    <col min="2" max="2" width="86" style="6" bestFit="1" customWidth="1"/>
    <col min="3" max="3" width="8.140625" style="6" bestFit="1" customWidth="1"/>
    <col min="4" max="4" width="12" style="6" bestFit="1" customWidth="1"/>
    <col min="5" max="5" width="13.140625" style="6" bestFit="1" customWidth="1"/>
    <col min="6" max="6" width="19.7109375" style="6" bestFit="1" customWidth="1"/>
    <col min="7" max="7" width="13.28515625" style="6" bestFit="1" customWidth="1"/>
    <col min="8" max="8" width="25.28515625" style="6" bestFit="1" customWidth="1"/>
    <col min="9" max="9" width="15.5703125" style="6" bestFit="1" customWidth="1"/>
    <col min="10" max="10" width="9.7109375" style="6" bestFit="1" customWidth="1"/>
    <col min="11" max="11" width="3.5703125" style="6" bestFit="1" customWidth="1"/>
    <col min="12" max="12" width="5.42578125" style="6" bestFit="1" customWidth="1"/>
    <col min="13" max="13" width="9.5703125" style="6" bestFit="1" customWidth="1"/>
    <col min="14" max="14" width="9.85546875" style="6" bestFit="1" customWidth="1"/>
    <col min="15" max="16384" width="9.140625" style="6"/>
  </cols>
  <sheetData>
    <row r="1" spans="1:14" x14ac:dyDescent="0.25">
      <c r="A1" s="7" t="s">
        <v>0</v>
      </c>
      <c r="B1" s="9" t="s">
        <v>117</v>
      </c>
    </row>
    <row r="2" spans="1:14" x14ac:dyDescent="0.25">
      <c r="A2" s="8" t="s">
        <v>1</v>
      </c>
      <c r="B2" s="6" t="s">
        <v>2</v>
      </c>
    </row>
    <row r="3" spans="1:14" x14ac:dyDescent="0.25">
      <c r="A3" s="8" t="s">
        <v>3</v>
      </c>
      <c r="B3" s="6" t="s">
        <v>4</v>
      </c>
    </row>
    <row r="4" spans="1:14" x14ac:dyDescent="0.25">
      <c r="A4" s="8" t="s">
        <v>5</v>
      </c>
      <c r="B4" s="6">
        <v>1</v>
      </c>
    </row>
    <row r="5" spans="1:14" x14ac:dyDescent="0.25">
      <c r="A5" s="8" t="s">
        <v>6</v>
      </c>
      <c r="B5" s="6" t="s">
        <v>7</v>
      </c>
    </row>
    <row r="6" spans="1:14" x14ac:dyDescent="0.25">
      <c r="A6" s="8" t="s">
        <v>8</v>
      </c>
      <c r="B6" s="6" t="s">
        <v>9</v>
      </c>
    </row>
    <row r="7" spans="1:14" x14ac:dyDescent="0.25">
      <c r="A7" s="8" t="s">
        <v>10</v>
      </c>
    </row>
    <row r="8" spans="1:14" x14ac:dyDescent="0.25">
      <c r="A8" s="7" t="s">
        <v>11</v>
      </c>
      <c r="B8" s="7" t="s">
        <v>1</v>
      </c>
      <c r="C8" s="7" t="s">
        <v>3</v>
      </c>
      <c r="D8" s="7" t="s">
        <v>5</v>
      </c>
      <c r="E8" s="7" t="s">
        <v>6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</row>
    <row r="9" spans="1:14" x14ac:dyDescent="0.25">
      <c r="A9" s="6" t="str">
        <f>B1</f>
        <v>[M] Graphite ore mining</v>
      </c>
      <c r="B9" s="6" t="str">
        <f>B2</f>
        <v>Graphite ore</v>
      </c>
      <c r="C9" s="6" t="str">
        <f>B3</f>
        <v>CN</v>
      </c>
      <c r="D9" s="6">
        <v>1</v>
      </c>
      <c r="E9" s="6" t="s">
        <v>7</v>
      </c>
      <c r="F9" s="10" t="str">
        <f>Graphite_Market_GLO!B1</f>
        <v>Graphite</v>
      </c>
      <c r="G9" s="6" t="s">
        <v>21</v>
      </c>
    </row>
    <row r="10" spans="1:14" x14ac:dyDescent="0.25">
      <c r="A10" s="6" t="s">
        <v>22</v>
      </c>
      <c r="B10" s="6" t="s">
        <v>23</v>
      </c>
      <c r="C10" s="6" t="s">
        <v>4</v>
      </c>
      <c r="D10" s="6">
        <v>8.6999999999999994E-3</v>
      </c>
      <c r="E10" s="6" t="s">
        <v>24</v>
      </c>
      <c r="F10" s="6" t="s">
        <v>25</v>
      </c>
      <c r="G10" s="6" t="s">
        <v>26</v>
      </c>
      <c r="J10" s="6" t="s">
        <v>27</v>
      </c>
    </row>
    <row r="11" spans="1:14" x14ac:dyDescent="0.25">
      <c r="A11" s="6" t="s">
        <v>28</v>
      </c>
      <c r="B11" s="6" t="s">
        <v>29</v>
      </c>
      <c r="C11" s="6" t="s">
        <v>30</v>
      </c>
      <c r="D11" s="6">
        <v>2.2409999999999999E-3</v>
      </c>
      <c r="E11" s="6" t="s">
        <v>7</v>
      </c>
      <c r="F11" s="6" t="s">
        <v>25</v>
      </c>
      <c r="G11" s="6" t="s">
        <v>26</v>
      </c>
      <c r="J11" s="6" t="s">
        <v>27</v>
      </c>
    </row>
    <row r="12" spans="1:14" x14ac:dyDescent="0.25">
      <c r="A12" s="6" t="s">
        <v>31</v>
      </c>
      <c r="B12" s="6" t="s">
        <v>32</v>
      </c>
      <c r="C12" s="6" t="s">
        <v>4</v>
      </c>
      <c r="D12" s="6">
        <v>2.4800000000000001E-4</v>
      </c>
      <c r="E12" s="6" t="s">
        <v>7</v>
      </c>
      <c r="F12" s="6" t="s">
        <v>25</v>
      </c>
      <c r="G12" s="6" t="s">
        <v>26</v>
      </c>
      <c r="J12" s="6" t="s">
        <v>27</v>
      </c>
    </row>
    <row r="13" spans="1:14" x14ac:dyDescent="0.25">
      <c r="A13" s="6" t="s">
        <v>28</v>
      </c>
      <c r="B13" s="6" t="s">
        <v>29</v>
      </c>
      <c r="C13" s="6" t="s">
        <v>30</v>
      </c>
      <c r="D13" s="6">
        <v>1.2E-5</v>
      </c>
      <c r="E13" s="6" t="s">
        <v>7</v>
      </c>
      <c r="F13" s="6" t="s">
        <v>25</v>
      </c>
      <c r="G13" s="6" t="s">
        <v>26</v>
      </c>
      <c r="J13" s="6" t="s">
        <v>27</v>
      </c>
    </row>
    <row r="14" spans="1:14" x14ac:dyDescent="0.25">
      <c r="A14" s="6" t="s">
        <v>33</v>
      </c>
      <c r="B14" s="6" t="s">
        <v>34</v>
      </c>
      <c r="C14" s="6" t="s">
        <v>30</v>
      </c>
      <c r="D14" s="6">
        <v>1.2219999999999999E-4</v>
      </c>
      <c r="E14" s="6" t="s">
        <v>35</v>
      </c>
      <c r="F14" s="6" t="s">
        <v>25</v>
      </c>
      <c r="G14" s="6" t="s">
        <v>26</v>
      </c>
      <c r="J14" s="6" t="s">
        <v>27</v>
      </c>
    </row>
    <row r="15" spans="1:14" x14ac:dyDescent="0.25">
      <c r="A15" s="6" t="s">
        <v>36</v>
      </c>
      <c r="B15" s="6" t="s">
        <v>37</v>
      </c>
      <c r="C15" s="6" t="s">
        <v>30</v>
      </c>
      <c r="D15" s="6">
        <v>-2.5000000000000001E-5</v>
      </c>
      <c r="E15" s="6" t="s">
        <v>7</v>
      </c>
      <c r="F15" s="6" t="s">
        <v>25</v>
      </c>
      <c r="G15" s="6" t="s">
        <v>26</v>
      </c>
      <c r="J15" s="6" t="s">
        <v>27</v>
      </c>
    </row>
    <row r="16" spans="1:14" x14ac:dyDescent="0.25">
      <c r="A16" s="6" t="s">
        <v>38</v>
      </c>
      <c r="D16" s="6">
        <v>1.3799999999999999E-4</v>
      </c>
      <c r="E16" s="6" t="s">
        <v>7</v>
      </c>
      <c r="F16" s="6" t="s">
        <v>39</v>
      </c>
      <c r="G16" s="6" t="s">
        <v>40</v>
      </c>
      <c r="H16" s="6" t="s">
        <v>41</v>
      </c>
      <c r="J16" s="6" t="s">
        <v>27</v>
      </c>
    </row>
    <row r="17" spans="1:14" x14ac:dyDescent="0.25">
      <c r="A17" s="6" t="s">
        <v>42</v>
      </c>
      <c r="D17" s="6">
        <v>1.1300000000000001E-7</v>
      </c>
      <c r="E17" s="6" t="s">
        <v>43</v>
      </c>
      <c r="F17" s="6" t="s">
        <v>39</v>
      </c>
      <c r="G17" s="6" t="s">
        <v>40</v>
      </c>
      <c r="H17" s="6" t="s">
        <v>41</v>
      </c>
      <c r="J17" s="6" t="s">
        <v>27</v>
      </c>
    </row>
    <row r="18" spans="1:14" x14ac:dyDescent="0.25">
      <c r="A18" s="6" t="s">
        <v>44</v>
      </c>
      <c r="D18" s="6">
        <v>4.0000000000000003E-5</v>
      </c>
      <c r="E18" s="6" t="s">
        <v>7</v>
      </c>
      <c r="F18" s="6" t="s">
        <v>39</v>
      </c>
      <c r="G18" s="6" t="s">
        <v>40</v>
      </c>
      <c r="H18" s="6" t="s">
        <v>41</v>
      </c>
      <c r="J18" s="6" t="s">
        <v>45</v>
      </c>
    </row>
    <row r="19" spans="1:14" x14ac:dyDescent="0.25">
      <c r="A19" s="6" t="s">
        <v>46</v>
      </c>
      <c r="D19" s="6">
        <v>5.0000000000000001E-3</v>
      </c>
      <c r="E19" s="6" t="s">
        <v>7</v>
      </c>
      <c r="F19" s="6" t="s">
        <v>39</v>
      </c>
      <c r="G19" s="6" t="s">
        <v>40</v>
      </c>
      <c r="H19" s="6" t="s">
        <v>41</v>
      </c>
      <c r="J19" s="6" t="s">
        <v>27</v>
      </c>
    </row>
    <row r="20" spans="1:14" s="11" customFormat="1" x14ac:dyDescent="0.25"/>
    <row r="21" spans="1:14" x14ac:dyDescent="0.25">
      <c r="A21" s="7" t="s">
        <v>0</v>
      </c>
      <c r="B21" s="7" t="s">
        <v>47</v>
      </c>
    </row>
    <row r="22" spans="1:14" x14ac:dyDescent="0.25">
      <c r="A22" s="8" t="s">
        <v>1</v>
      </c>
      <c r="B22" s="6" t="s">
        <v>48</v>
      </c>
    </row>
    <row r="23" spans="1:14" x14ac:dyDescent="0.25">
      <c r="A23" s="8" t="s">
        <v>3</v>
      </c>
      <c r="B23" s="6" t="s">
        <v>4</v>
      </c>
    </row>
    <row r="24" spans="1:14" x14ac:dyDescent="0.25">
      <c r="A24" s="8" t="s">
        <v>5</v>
      </c>
      <c r="B24" s="6">
        <v>1</v>
      </c>
    </row>
    <row r="25" spans="1:14" x14ac:dyDescent="0.25">
      <c r="A25" s="8" t="s">
        <v>6</v>
      </c>
      <c r="B25" s="6" t="s">
        <v>7</v>
      </c>
    </row>
    <row r="26" spans="1:14" x14ac:dyDescent="0.25">
      <c r="A26" s="8" t="s">
        <v>8</v>
      </c>
      <c r="B26" s="6" t="s">
        <v>9</v>
      </c>
    </row>
    <row r="27" spans="1:14" x14ac:dyDescent="0.25">
      <c r="A27" s="8" t="s">
        <v>10</v>
      </c>
    </row>
    <row r="28" spans="1:14" x14ac:dyDescent="0.25">
      <c r="A28" s="7" t="s">
        <v>11</v>
      </c>
      <c r="B28" s="7" t="s">
        <v>1</v>
      </c>
      <c r="C28" s="7" t="s">
        <v>3</v>
      </c>
      <c r="D28" s="7" t="s">
        <v>5</v>
      </c>
      <c r="E28" s="7" t="s">
        <v>6</v>
      </c>
      <c r="F28" s="7" t="s">
        <v>12</v>
      </c>
      <c r="G28" s="7" t="s">
        <v>13</v>
      </c>
      <c r="H28" s="7" t="s">
        <v>14</v>
      </c>
      <c r="I28" s="7" t="s">
        <v>15</v>
      </c>
      <c r="J28" s="7" t="s">
        <v>16</v>
      </c>
      <c r="K28" s="7" t="s">
        <v>17</v>
      </c>
      <c r="L28" s="7" t="s">
        <v>18</v>
      </c>
      <c r="M28" s="7" t="s">
        <v>19</v>
      </c>
      <c r="N28" s="7" t="s">
        <v>20</v>
      </c>
    </row>
    <row r="29" spans="1:14" x14ac:dyDescent="0.25">
      <c r="A29" s="6" t="str">
        <f>B21</f>
        <v>[C] Flotation</v>
      </c>
      <c r="B29" s="6" t="str">
        <f>B22</f>
        <v>Graphite concentrate</v>
      </c>
      <c r="C29" s="6" t="str">
        <f>B23</f>
        <v>CN</v>
      </c>
      <c r="D29" s="6">
        <v>1</v>
      </c>
      <c r="E29" s="6" t="s">
        <v>7</v>
      </c>
      <c r="F29" s="10" t="str">
        <f>F9</f>
        <v>Graphite</v>
      </c>
      <c r="G29" s="6" t="s">
        <v>21</v>
      </c>
    </row>
    <row r="30" spans="1:14" x14ac:dyDescent="0.25">
      <c r="A30" s="6" t="s">
        <v>22</v>
      </c>
      <c r="B30" s="6" t="s">
        <v>23</v>
      </c>
      <c r="C30" s="6" t="s">
        <v>4</v>
      </c>
      <c r="D30" s="6">
        <v>0.50600000000000001</v>
      </c>
      <c r="E30" s="6" t="s">
        <v>24</v>
      </c>
      <c r="F30" s="6" t="s">
        <v>25</v>
      </c>
      <c r="G30" s="6" t="s">
        <v>26</v>
      </c>
      <c r="J30" s="6" t="s">
        <v>27</v>
      </c>
    </row>
    <row r="31" spans="1:14" x14ac:dyDescent="0.25">
      <c r="A31" s="6" t="s">
        <v>49</v>
      </c>
      <c r="B31" s="6" t="s">
        <v>50</v>
      </c>
      <c r="C31" s="6" t="s">
        <v>51</v>
      </c>
      <c r="D31" s="6">
        <v>4.4819999999999999E-2</v>
      </c>
      <c r="E31" s="6" t="s">
        <v>52</v>
      </c>
      <c r="F31" s="6" t="s">
        <v>25</v>
      </c>
      <c r="G31" s="6" t="s">
        <v>26</v>
      </c>
      <c r="J31" s="6" t="s">
        <v>27</v>
      </c>
    </row>
    <row r="32" spans="1:14" x14ac:dyDescent="0.25">
      <c r="A32" s="6" t="s">
        <v>53</v>
      </c>
      <c r="B32" s="6" t="s">
        <v>54</v>
      </c>
      <c r="C32" s="6" t="s">
        <v>4</v>
      </c>
      <c r="D32" s="6">
        <v>0.05</v>
      </c>
      <c r="E32" s="6" t="s">
        <v>7</v>
      </c>
      <c r="F32" s="6" t="s">
        <v>25</v>
      </c>
      <c r="G32" s="6" t="s">
        <v>26</v>
      </c>
      <c r="J32" s="6" t="s">
        <v>27</v>
      </c>
    </row>
    <row r="33" spans="1:10" x14ac:dyDescent="0.25">
      <c r="A33" s="6" t="s">
        <v>55</v>
      </c>
      <c r="B33" s="6" t="s">
        <v>56</v>
      </c>
      <c r="C33" s="6" t="s">
        <v>51</v>
      </c>
      <c r="D33" s="6">
        <v>1.163E-3</v>
      </c>
      <c r="E33" s="6" t="s">
        <v>7</v>
      </c>
      <c r="F33" s="6" t="s">
        <v>25</v>
      </c>
      <c r="G33" s="6" t="s">
        <v>26</v>
      </c>
      <c r="J33" s="6" t="s">
        <v>27</v>
      </c>
    </row>
    <row r="34" spans="1:10" x14ac:dyDescent="0.25">
      <c r="A34" s="6" t="s">
        <v>28</v>
      </c>
      <c r="B34" s="6" t="s">
        <v>29</v>
      </c>
      <c r="C34" s="6" t="s">
        <v>30</v>
      </c>
      <c r="D34" s="6">
        <v>1.5510000000000001E-3</v>
      </c>
      <c r="E34" s="6" t="s">
        <v>7</v>
      </c>
      <c r="F34" s="6" t="s">
        <v>25</v>
      </c>
      <c r="G34" s="6" t="s">
        <v>26</v>
      </c>
      <c r="J34" s="6" t="s">
        <v>27</v>
      </c>
    </row>
    <row r="35" spans="1:10" x14ac:dyDescent="0.25">
      <c r="A35" s="6" t="s">
        <v>57</v>
      </c>
      <c r="B35" s="6" t="s">
        <v>58</v>
      </c>
      <c r="C35" s="6" t="s">
        <v>51</v>
      </c>
      <c r="D35" s="6">
        <v>8.9999999999999993E-3</v>
      </c>
      <c r="E35" s="6" t="s">
        <v>7</v>
      </c>
      <c r="F35" s="6" t="s">
        <v>25</v>
      </c>
      <c r="G35" s="6" t="s">
        <v>26</v>
      </c>
      <c r="J35" s="6" t="s">
        <v>27</v>
      </c>
    </row>
    <row r="36" spans="1:10" x14ac:dyDescent="0.25">
      <c r="A36" s="6" t="s">
        <v>33</v>
      </c>
      <c r="B36" s="6" t="s">
        <v>34</v>
      </c>
      <c r="C36" s="6" t="s">
        <v>30</v>
      </c>
      <c r="D36" s="6">
        <v>1.9179999999999999E-2</v>
      </c>
      <c r="E36" s="6" t="s">
        <v>35</v>
      </c>
      <c r="F36" s="6" t="s">
        <v>25</v>
      </c>
      <c r="G36" s="6" t="s">
        <v>26</v>
      </c>
      <c r="J36" s="6" t="s">
        <v>27</v>
      </c>
    </row>
    <row r="37" spans="1:10" x14ac:dyDescent="0.25">
      <c r="A37" s="6" t="s">
        <v>59</v>
      </c>
      <c r="B37" s="6" t="s">
        <v>60</v>
      </c>
      <c r="C37" s="6" t="s">
        <v>51</v>
      </c>
      <c r="D37" s="6">
        <v>-1.3960000000000001E-3</v>
      </c>
      <c r="E37" s="6" t="s">
        <v>7</v>
      </c>
      <c r="F37" s="6" t="s">
        <v>25</v>
      </c>
      <c r="G37" s="6" t="s">
        <v>26</v>
      </c>
      <c r="J37" s="6" t="s">
        <v>27</v>
      </c>
    </row>
    <row r="38" spans="1:10" x14ac:dyDescent="0.25">
      <c r="A38" s="6" t="s">
        <v>61</v>
      </c>
      <c r="B38" s="6" t="s">
        <v>62</v>
      </c>
      <c r="C38" s="6" t="s">
        <v>30</v>
      </c>
      <c r="D38" s="6">
        <v>-2.1707000000000001E-2</v>
      </c>
      <c r="E38" s="6" t="s">
        <v>43</v>
      </c>
      <c r="F38" s="6" t="s">
        <v>25</v>
      </c>
      <c r="G38" s="6" t="s">
        <v>26</v>
      </c>
      <c r="J38" s="6" t="s">
        <v>27</v>
      </c>
    </row>
    <row r="39" spans="1:10" x14ac:dyDescent="0.25">
      <c r="A39" s="6" t="s">
        <v>59</v>
      </c>
      <c r="B39" s="6" t="s">
        <v>60</v>
      </c>
      <c r="C39" s="6" t="s">
        <v>51</v>
      </c>
      <c r="D39" s="6">
        <v>-8.5960000000000001</v>
      </c>
      <c r="E39" s="6" t="s">
        <v>7</v>
      </c>
      <c r="F39" s="6" t="s">
        <v>25</v>
      </c>
      <c r="G39" s="6" t="s">
        <v>26</v>
      </c>
      <c r="J39" s="6" t="s">
        <v>27</v>
      </c>
    </row>
    <row r="40" spans="1:10" x14ac:dyDescent="0.25">
      <c r="A40" s="6" t="s">
        <v>63</v>
      </c>
      <c r="D40" s="6">
        <v>2.2027000000000001E-2</v>
      </c>
      <c r="E40" s="6" t="s">
        <v>43</v>
      </c>
      <c r="F40" s="6" t="s">
        <v>39</v>
      </c>
      <c r="G40" s="6" t="s">
        <v>40</v>
      </c>
      <c r="H40" s="6" t="s">
        <v>64</v>
      </c>
      <c r="J40" s="6" t="s">
        <v>27</v>
      </c>
    </row>
    <row r="41" spans="1:10" x14ac:dyDescent="0.25">
      <c r="A41" s="6" t="s">
        <v>44</v>
      </c>
      <c r="D41" s="6">
        <v>0.183333</v>
      </c>
      <c r="E41" s="6" t="s">
        <v>7</v>
      </c>
      <c r="F41" s="6" t="s">
        <v>39</v>
      </c>
      <c r="G41" s="6" t="s">
        <v>40</v>
      </c>
      <c r="H41" s="6" t="s">
        <v>41</v>
      </c>
      <c r="J41" s="6" t="s">
        <v>27</v>
      </c>
    </row>
    <row r="42" spans="1:10" x14ac:dyDescent="0.25">
      <c r="A42" s="6" t="s">
        <v>42</v>
      </c>
      <c r="D42" s="6">
        <v>3.2014499999999998E-4</v>
      </c>
      <c r="E42" s="6" t="s">
        <v>43</v>
      </c>
      <c r="F42" s="6" t="s">
        <v>39</v>
      </c>
      <c r="G42" s="6" t="s">
        <v>40</v>
      </c>
      <c r="H42" s="6" t="s">
        <v>41</v>
      </c>
      <c r="J42" s="6" t="s">
        <v>27</v>
      </c>
    </row>
    <row r="43" spans="1:10" x14ac:dyDescent="0.25">
      <c r="A43" s="6" t="s">
        <v>65</v>
      </c>
      <c r="D43" s="6">
        <v>1.047E-3</v>
      </c>
      <c r="E43" s="6" t="s">
        <v>7</v>
      </c>
      <c r="F43" s="6" t="s">
        <v>39</v>
      </c>
      <c r="G43" s="6" t="s">
        <v>40</v>
      </c>
      <c r="H43" s="6" t="s">
        <v>66</v>
      </c>
      <c r="J43" s="6" t="s">
        <v>27</v>
      </c>
    </row>
    <row r="44" spans="1:10" s="11" customFormat="1" x14ac:dyDescent="0.25"/>
    <row r="45" spans="1:10" x14ac:dyDescent="0.25">
      <c r="A45" s="7" t="s">
        <v>0</v>
      </c>
      <c r="B45" s="7" t="s">
        <v>67</v>
      </c>
    </row>
    <row r="46" spans="1:10" x14ac:dyDescent="0.25">
      <c r="A46" s="8" t="s">
        <v>1</v>
      </c>
      <c r="B46" s="6" t="s">
        <v>68</v>
      </c>
    </row>
    <row r="47" spans="1:10" x14ac:dyDescent="0.25">
      <c r="A47" s="8" t="s">
        <v>3</v>
      </c>
      <c r="B47" s="6" t="s">
        <v>4</v>
      </c>
    </row>
    <row r="48" spans="1:10" x14ac:dyDescent="0.25">
      <c r="A48" s="8" t="s">
        <v>5</v>
      </c>
      <c r="B48" s="6">
        <v>1</v>
      </c>
    </row>
    <row r="49" spans="1:14" x14ac:dyDescent="0.25">
      <c r="A49" s="8" t="s">
        <v>6</v>
      </c>
      <c r="B49" s="6" t="s">
        <v>7</v>
      </c>
    </row>
    <row r="50" spans="1:14" x14ac:dyDescent="0.25">
      <c r="A50" s="8" t="s">
        <v>8</v>
      </c>
      <c r="B50" s="6" t="s">
        <v>9</v>
      </c>
    </row>
    <row r="51" spans="1:14" x14ac:dyDescent="0.25">
      <c r="A51" s="8" t="s">
        <v>10</v>
      </c>
    </row>
    <row r="52" spans="1:14" x14ac:dyDescent="0.25">
      <c r="A52" s="7" t="s">
        <v>11</v>
      </c>
      <c r="B52" s="7" t="s">
        <v>1</v>
      </c>
      <c r="C52" s="7" t="s">
        <v>3</v>
      </c>
      <c r="D52" s="7" t="s">
        <v>5</v>
      </c>
      <c r="E52" s="7" t="s">
        <v>6</v>
      </c>
      <c r="F52" s="7" t="s">
        <v>12</v>
      </c>
      <c r="G52" s="7" t="s">
        <v>13</v>
      </c>
      <c r="H52" s="7" t="s">
        <v>14</v>
      </c>
      <c r="I52" s="7" t="s">
        <v>15</v>
      </c>
      <c r="J52" s="7" t="s">
        <v>16</v>
      </c>
      <c r="K52" s="7" t="s">
        <v>17</v>
      </c>
      <c r="L52" s="7" t="s">
        <v>18</v>
      </c>
      <c r="M52" s="7" t="s">
        <v>19</v>
      </c>
      <c r="N52" s="7" t="s">
        <v>20</v>
      </c>
    </row>
    <row r="53" spans="1:14" x14ac:dyDescent="0.25">
      <c r="A53" s="6" t="str">
        <f>B45</f>
        <v>[P+R] Spheronisation</v>
      </c>
      <c r="B53" s="6" t="str">
        <f>B46</f>
        <v>Spherical graphite</v>
      </c>
      <c r="C53" s="6" t="str">
        <f>B47</f>
        <v>CN</v>
      </c>
      <c r="D53" s="6">
        <v>1</v>
      </c>
      <c r="E53" s="6" t="s">
        <v>7</v>
      </c>
      <c r="F53" s="10" t="str">
        <f>F29</f>
        <v>Graphite</v>
      </c>
      <c r="G53" s="6" t="s">
        <v>21</v>
      </c>
    </row>
    <row r="54" spans="1:14" x14ac:dyDescent="0.25">
      <c r="A54" s="6" t="s">
        <v>22</v>
      </c>
      <c r="B54" s="6" t="s">
        <v>23</v>
      </c>
      <c r="C54" s="6" t="s">
        <v>4</v>
      </c>
      <c r="D54" s="6">
        <v>2.1</v>
      </c>
      <c r="E54" s="6" t="s">
        <v>24</v>
      </c>
      <c r="F54" s="6" t="s">
        <v>25</v>
      </c>
      <c r="G54" s="6" t="s">
        <v>26</v>
      </c>
      <c r="J54" s="6" t="s">
        <v>27</v>
      </c>
    </row>
    <row r="55" spans="1:14" x14ac:dyDescent="0.25">
      <c r="A55" s="6" t="s">
        <v>49</v>
      </c>
      <c r="B55" s="6" t="s">
        <v>50</v>
      </c>
      <c r="C55" s="6" t="s">
        <v>51</v>
      </c>
      <c r="D55" s="6">
        <v>1.8675000000000001E-2</v>
      </c>
      <c r="E55" s="6" t="s">
        <v>52</v>
      </c>
      <c r="F55" s="6" t="s">
        <v>25</v>
      </c>
      <c r="G55" s="6" t="s">
        <v>26</v>
      </c>
      <c r="J55" s="6" t="s">
        <v>27</v>
      </c>
    </row>
    <row r="56" spans="1:14" x14ac:dyDescent="0.25">
      <c r="A56" s="6" t="s">
        <v>36</v>
      </c>
      <c r="B56" s="6" t="s">
        <v>37</v>
      </c>
      <c r="C56" s="6" t="s">
        <v>30</v>
      </c>
      <c r="D56" s="6">
        <v>-2.5000000000000001E-4</v>
      </c>
      <c r="E56" s="6" t="s">
        <v>7</v>
      </c>
      <c r="F56" s="6" t="s">
        <v>25</v>
      </c>
      <c r="G56" s="6" t="s">
        <v>26</v>
      </c>
      <c r="J56" s="6" t="s">
        <v>27</v>
      </c>
    </row>
    <row r="57" spans="1:14" s="11" customFormat="1" x14ac:dyDescent="0.25"/>
    <row r="58" spans="1:14" x14ac:dyDescent="0.25">
      <c r="A58" s="7" t="s">
        <v>0</v>
      </c>
      <c r="B58" s="7" t="s">
        <v>69</v>
      </c>
    </row>
    <row r="59" spans="1:14" x14ac:dyDescent="0.25">
      <c r="A59" s="8" t="s">
        <v>1</v>
      </c>
      <c r="B59" s="6" t="s">
        <v>70</v>
      </c>
    </row>
    <row r="60" spans="1:14" x14ac:dyDescent="0.25">
      <c r="A60" s="8" t="s">
        <v>3</v>
      </c>
      <c r="B60" s="6" t="s">
        <v>4</v>
      </c>
    </row>
    <row r="61" spans="1:14" x14ac:dyDescent="0.25">
      <c r="A61" s="8" t="s">
        <v>5</v>
      </c>
      <c r="B61" s="6">
        <v>1</v>
      </c>
    </row>
    <row r="62" spans="1:14" x14ac:dyDescent="0.25">
      <c r="A62" s="8" t="s">
        <v>6</v>
      </c>
      <c r="B62" s="6" t="s">
        <v>7</v>
      </c>
    </row>
    <row r="63" spans="1:14" x14ac:dyDescent="0.25">
      <c r="A63" s="8" t="s">
        <v>8</v>
      </c>
      <c r="B63" s="6" t="s">
        <v>9</v>
      </c>
    </row>
    <row r="64" spans="1:14" x14ac:dyDescent="0.25">
      <c r="A64" s="8" t="s">
        <v>10</v>
      </c>
    </row>
    <row r="65" spans="1:14" x14ac:dyDescent="0.25">
      <c r="A65" s="7" t="s">
        <v>11</v>
      </c>
      <c r="B65" s="7" t="s">
        <v>1</v>
      </c>
      <c r="C65" s="7" t="s">
        <v>3</v>
      </c>
      <c r="D65" s="7" t="s">
        <v>5</v>
      </c>
      <c r="E65" s="7" t="s">
        <v>6</v>
      </c>
      <c r="F65" s="7" t="s">
        <v>12</v>
      </c>
      <c r="G65" s="7" t="s">
        <v>13</v>
      </c>
      <c r="H65" s="7" t="s">
        <v>14</v>
      </c>
      <c r="I65" s="7" t="s">
        <v>15</v>
      </c>
      <c r="J65" s="7" t="s">
        <v>16</v>
      </c>
      <c r="K65" s="7" t="s">
        <v>17</v>
      </c>
      <c r="L65" s="7" t="s">
        <v>18</v>
      </c>
      <c r="M65" s="7" t="s">
        <v>19</v>
      </c>
      <c r="N65" s="7" t="s">
        <v>20</v>
      </c>
    </row>
    <row r="66" spans="1:14" x14ac:dyDescent="0.25">
      <c r="A66" s="6" t="str">
        <f>B58</f>
        <v>[P+R] Purification</v>
      </c>
      <c r="B66" s="6" t="str">
        <f>B59</f>
        <v>Purified spherical graphite</v>
      </c>
      <c r="C66" s="6" t="str">
        <f>B60</f>
        <v>CN</v>
      </c>
      <c r="D66" s="6">
        <v>1</v>
      </c>
      <c r="E66" s="6" t="s">
        <v>7</v>
      </c>
      <c r="F66" s="10" t="str">
        <f>F53</f>
        <v>Graphite</v>
      </c>
      <c r="G66" s="6" t="s">
        <v>21</v>
      </c>
    </row>
    <row r="67" spans="1:14" x14ac:dyDescent="0.25">
      <c r="A67" s="6" t="s">
        <v>22</v>
      </c>
      <c r="B67" s="6" t="s">
        <v>23</v>
      </c>
      <c r="C67" s="6" t="s">
        <v>4</v>
      </c>
      <c r="D67" s="6">
        <v>0.30499999999999999</v>
      </c>
      <c r="E67" s="6" t="s">
        <v>24</v>
      </c>
      <c r="F67" s="6" t="s">
        <v>25</v>
      </c>
      <c r="G67" s="6" t="s">
        <v>26</v>
      </c>
      <c r="J67" s="6" t="s">
        <v>27</v>
      </c>
    </row>
    <row r="68" spans="1:14" x14ac:dyDescent="0.25">
      <c r="A68" s="6" t="s">
        <v>49</v>
      </c>
      <c r="B68" s="6" t="s">
        <v>50</v>
      </c>
      <c r="C68" s="6" t="s">
        <v>51</v>
      </c>
      <c r="D68" s="6">
        <v>1.1205E-2</v>
      </c>
      <c r="E68" s="6" t="s">
        <v>52</v>
      </c>
      <c r="F68" s="6" t="s">
        <v>25</v>
      </c>
      <c r="G68" s="6" t="s">
        <v>26</v>
      </c>
      <c r="J68" s="6" t="s">
        <v>27</v>
      </c>
    </row>
    <row r="69" spans="1:14" x14ac:dyDescent="0.25">
      <c r="A69" s="6" t="s">
        <v>71</v>
      </c>
      <c r="B69" s="6" t="s">
        <v>72</v>
      </c>
      <c r="C69" s="6" t="s">
        <v>4</v>
      </c>
      <c r="D69" s="6">
        <v>2.5862068965517241E-2</v>
      </c>
      <c r="E69" s="6" t="s">
        <v>43</v>
      </c>
      <c r="F69" s="6" t="s">
        <v>25</v>
      </c>
      <c r="G69" s="6" t="s">
        <v>26</v>
      </c>
      <c r="J69" s="6" t="s">
        <v>27</v>
      </c>
    </row>
    <row r="70" spans="1:14" x14ac:dyDescent="0.25">
      <c r="A70" s="6" t="s">
        <v>73</v>
      </c>
      <c r="B70" s="6" t="s">
        <v>74</v>
      </c>
      <c r="C70" s="6" t="s">
        <v>30</v>
      </c>
      <c r="D70" s="6">
        <v>0.18</v>
      </c>
      <c r="E70" s="6" t="s">
        <v>7</v>
      </c>
      <c r="F70" s="6" t="s">
        <v>25</v>
      </c>
      <c r="G70" s="6" t="s">
        <v>26</v>
      </c>
      <c r="J70" s="6" t="s">
        <v>27</v>
      </c>
    </row>
    <row r="71" spans="1:14" x14ac:dyDescent="0.25">
      <c r="A71" s="6" t="s">
        <v>75</v>
      </c>
      <c r="B71" s="6" t="s">
        <v>76</v>
      </c>
      <c r="C71" s="6" t="s">
        <v>30</v>
      </c>
      <c r="D71" s="6">
        <v>0.2</v>
      </c>
      <c r="E71" s="6" t="s">
        <v>7</v>
      </c>
      <c r="F71" s="6" t="s">
        <v>25</v>
      </c>
      <c r="G71" s="6" t="s">
        <v>26</v>
      </c>
      <c r="J71" s="6" t="s">
        <v>27</v>
      </c>
    </row>
    <row r="72" spans="1:14" x14ac:dyDescent="0.25">
      <c r="A72" s="6" t="s">
        <v>77</v>
      </c>
      <c r="B72" s="6" t="s">
        <v>78</v>
      </c>
      <c r="C72" s="6" t="s">
        <v>4</v>
      </c>
      <c r="D72" s="6">
        <v>0.1</v>
      </c>
      <c r="E72" s="6" t="s">
        <v>7</v>
      </c>
      <c r="F72" s="6" t="s">
        <v>25</v>
      </c>
      <c r="G72" s="6" t="s">
        <v>26</v>
      </c>
      <c r="J72" s="6" t="s">
        <v>27</v>
      </c>
    </row>
    <row r="73" spans="1:14" x14ac:dyDescent="0.25">
      <c r="A73" s="6" t="s">
        <v>79</v>
      </c>
      <c r="B73" s="6" t="s">
        <v>80</v>
      </c>
      <c r="C73" s="6" t="s">
        <v>30</v>
      </c>
      <c r="D73" s="6">
        <v>0.4</v>
      </c>
      <c r="E73" s="6" t="s">
        <v>7</v>
      </c>
      <c r="F73" s="6" t="s">
        <v>25</v>
      </c>
      <c r="G73" s="6" t="s">
        <v>26</v>
      </c>
      <c r="J73" s="6" t="s">
        <v>27</v>
      </c>
    </row>
    <row r="74" spans="1:14" x14ac:dyDescent="0.25">
      <c r="A74" s="6" t="s">
        <v>33</v>
      </c>
      <c r="B74" s="6" t="s">
        <v>34</v>
      </c>
      <c r="C74" s="6" t="s">
        <v>30</v>
      </c>
      <c r="D74" s="6">
        <v>9.8000000000000004E-2</v>
      </c>
      <c r="E74" s="6" t="s">
        <v>35</v>
      </c>
      <c r="F74" s="6" t="s">
        <v>25</v>
      </c>
      <c r="G74" s="6" t="s">
        <v>26</v>
      </c>
      <c r="J74" s="6" t="s">
        <v>27</v>
      </c>
    </row>
    <row r="75" spans="1:14" x14ac:dyDescent="0.25">
      <c r="A75" s="6" t="s">
        <v>33</v>
      </c>
      <c r="B75" s="6" t="s">
        <v>34</v>
      </c>
      <c r="C75" s="6" t="s">
        <v>30</v>
      </c>
      <c r="D75" s="6">
        <v>0.02</v>
      </c>
      <c r="E75" s="6" t="s">
        <v>35</v>
      </c>
      <c r="F75" s="6" t="s">
        <v>25</v>
      </c>
      <c r="G75" s="6" t="s">
        <v>26</v>
      </c>
      <c r="J75" s="6" t="s">
        <v>27</v>
      </c>
    </row>
    <row r="76" spans="1:14" x14ac:dyDescent="0.25">
      <c r="A76" s="6" t="s">
        <v>81</v>
      </c>
      <c r="B76" s="6" t="s">
        <v>82</v>
      </c>
      <c r="C76" s="6" t="s">
        <v>30</v>
      </c>
      <c r="D76" s="6">
        <v>2.751E-3</v>
      </c>
      <c r="E76" s="6" t="s">
        <v>35</v>
      </c>
      <c r="F76" s="6" t="s">
        <v>25</v>
      </c>
      <c r="G76" s="6" t="s">
        <v>26</v>
      </c>
      <c r="J76" s="6" t="s">
        <v>27</v>
      </c>
    </row>
    <row r="77" spans="1:14" x14ac:dyDescent="0.25">
      <c r="A77" s="6" t="s">
        <v>61</v>
      </c>
      <c r="B77" s="6" t="s">
        <v>62</v>
      </c>
      <c r="C77" s="6" t="s">
        <v>30</v>
      </c>
      <c r="D77" s="6">
        <v>-2.4773E-2</v>
      </c>
      <c r="E77" s="6" t="s">
        <v>43</v>
      </c>
      <c r="F77" s="6" t="s">
        <v>25</v>
      </c>
      <c r="G77" s="6" t="s">
        <v>26</v>
      </c>
      <c r="J77" s="6" t="s">
        <v>27</v>
      </c>
    </row>
    <row r="78" spans="1:14" x14ac:dyDescent="0.25">
      <c r="A78" s="6" t="s">
        <v>83</v>
      </c>
      <c r="B78" s="6" t="s">
        <v>84</v>
      </c>
      <c r="C78" s="6" t="s">
        <v>30</v>
      </c>
      <c r="D78" s="6">
        <v>-0.91700000000000004</v>
      </c>
      <c r="E78" s="6" t="s">
        <v>7</v>
      </c>
      <c r="F78" s="6" t="s">
        <v>25</v>
      </c>
      <c r="G78" s="6" t="s">
        <v>26</v>
      </c>
      <c r="J78" s="6" t="s">
        <v>27</v>
      </c>
    </row>
    <row r="79" spans="1:14" x14ac:dyDescent="0.25">
      <c r="A79" s="6" t="s">
        <v>63</v>
      </c>
      <c r="D79" s="6">
        <v>2.5000000000000001E-2</v>
      </c>
      <c r="E79" s="6" t="s">
        <v>43</v>
      </c>
      <c r="F79" s="6" t="s">
        <v>39</v>
      </c>
      <c r="G79" s="6" t="s">
        <v>40</v>
      </c>
      <c r="H79" s="6" t="s">
        <v>64</v>
      </c>
      <c r="J79" s="6" t="s">
        <v>27</v>
      </c>
    </row>
    <row r="80" spans="1:14" x14ac:dyDescent="0.25">
      <c r="A80" s="6" t="s">
        <v>44</v>
      </c>
      <c r="D80" s="6">
        <v>5.7750000000000003E-2</v>
      </c>
      <c r="E80" s="6" t="s">
        <v>7</v>
      </c>
      <c r="F80" s="6" t="s">
        <v>39</v>
      </c>
      <c r="G80" s="6" t="s">
        <v>40</v>
      </c>
      <c r="H80" s="6" t="s">
        <v>41</v>
      </c>
      <c r="J80" s="6" t="s">
        <v>27</v>
      </c>
    </row>
    <row r="81" spans="1:14" x14ac:dyDescent="0.25">
      <c r="A81" s="6" t="s">
        <v>42</v>
      </c>
      <c r="D81" s="6">
        <v>3.2014499999999998E-4</v>
      </c>
      <c r="E81" s="6" t="s">
        <v>43</v>
      </c>
      <c r="F81" s="6" t="s">
        <v>39</v>
      </c>
      <c r="G81" s="6" t="s">
        <v>40</v>
      </c>
      <c r="H81" s="6" t="s">
        <v>41</v>
      </c>
      <c r="J81" s="6" t="s">
        <v>27</v>
      </c>
    </row>
    <row r="82" spans="1:14" s="11" customFormat="1" x14ac:dyDescent="0.25"/>
    <row r="83" spans="1:14" x14ac:dyDescent="0.25">
      <c r="A83" s="7" t="s">
        <v>0</v>
      </c>
      <c r="B83" s="7" t="s">
        <v>85</v>
      </c>
    </row>
    <row r="84" spans="1:14" x14ac:dyDescent="0.25">
      <c r="A84" s="8" t="s">
        <v>1</v>
      </c>
      <c r="B84" s="6" t="s">
        <v>86</v>
      </c>
    </row>
    <row r="85" spans="1:14" x14ac:dyDescent="0.25">
      <c r="A85" s="8" t="s">
        <v>3</v>
      </c>
      <c r="B85" s="6" t="s">
        <v>4</v>
      </c>
    </row>
    <row r="86" spans="1:14" x14ac:dyDescent="0.25">
      <c r="A86" s="8" t="s">
        <v>5</v>
      </c>
      <c r="B86" s="6">
        <v>1</v>
      </c>
    </row>
    <row r="87" spans="1:14" x14ac:dyDescent="0.25">
      <c r="A87" s="8" t="s">
        <v>6</v>
      </c>
      <c r="B87" s="6" t="s">
        <v>7</v>
      </c>
    </row>
    <row r="88" spans="1:14" x14ac:dyDescent="0.25">
      <c r="A88" s="8" t="s">
        <v>8</v>
      </c>
      <c r="B88" s="6" t="s">
        <v>9</v>
      </c>
    </row>
    <row r="89" spans="1:14" x14ac:dyDescent="0.25">
      <c r="A89" s="8" t="s">
        <v>10</v>
      </c>
    </row>
    <row r="90" spans="1:14" x14ac:dyDescent="0.25">
      <c r="A90" s="7" t="s">
        <v>11</v>
      </c>
      <c r="B90" s="7" t="s">
        <v>1</v>
      </c>
      <c r="C90" s="7" t="s">
        <v>3</v>
      </c>
      <c r="D90" s="7" t="s">
        <v>5</v>
      </c>
      <c r="E90" s="7" t="s">
        <v>6</v>
      </c>
      <c r="F90" s="7" t="s">
        <v>12</v>
      </c>
      <c r="G90" s="7" t="s">
        <v>13</v>
      </c>
      <c r="H90" s="7" t="s">
        <v>14</v>
      </c>
      <c r="I90" s="7" t="s">
        <v>15</v>
      </c>
      <c r="J90" s="7" t="s">
        <v>16</v>
      </c>
      <c r="K90" s="7" t="s">
        <v>17</v>
      </c>
      <c r="L90" s="7" t="s">
        <v>18</v>
      </c>
      <c r="M90" s="7" t="s">
        <v>19</v>
      </c>
      <c r="N90" s="7" t="s">
        <v>20</v>
      </c>
    </row>
    <row r="91" spans="1:14" x14ac:dyDescent="0.25">
      <c r="A91" s="6" t="str">
        <f>B83</f>
        <v>[P+R] Coating</v>
      </c>
      <c r="B91" s="6" t="str">
        <f>B84</f>
        <v>Coated spherical graphite</v>
      </c>
      <c r="C91" s="6" t="str">
        <f>B85</f>
        <v>CN</v>
      </c>
      <c r="D91" s="6">
        <v>1</v>
      </c>
      <c r="E91" s="6" t="s">
        <v>7</v>
      </c>
      <c r="F91" s="10" t="str">
        <f>F66</f>
        <v>Graphite</v>
      </c>
      <c r="G91" s="6" t="s">
        <v>21</v>
      </c>
    </row>
    <row r="92" spans="1:14" x14ac:dyDescent="0.25">
      <c r="A92" s="6" t="s">
        <v>22</v>
      </c>
      <c r="B92" s="6" t="s">
        <v>23</v>
      </c>
      <c r="C92" s="6" t="s">
        <v>4</v>
      </c>
      <c r="D92" s="6">
        <v>4.55</v>
      </c>
      <c r="E92" s="6" t="s">
        <v>24</v>
      </c>
      <c r="F92" s="6" t="s">
        <v>25</v>
      </c>
      <c r="G92" s="6" t="s">
        <v>26</v>
      </c>
      <c r="J92" s="6" t="s">
        <v>27</v>
      </c>
    </row>
    <row r="93" spans="1:14" x14ac:dyDescent="0.25">
      <c r="A93" s="6" t="s">
        <v>49</v>
      </c>
      <c r="B93" s="6" t="s">
        <v>50</v>
      </c>
      <c r="C93" s="6" t="s">
        <v>51</v>
      </c>
      <c r="D93" s="6">
        <v>1.1205E-2</v>
      </c>
      <c r="E93" s="6" t="s">
        <v>52</v>
      </c>
      <c r="F93" s="6" t="s">
        <v>25</v>
      </c>
      <c r="G93" s="6" t="s">
        <v>26</v>
      </c>
      <c r="J93" s="6" t="s">
        <v>27</v>
      </c>
    </row>
    <row r="94" spans="1:14" x14ac:dyDescent="0.25">
      <c r="A94" s="6" t="s">
        <v>87</v>
      </c>
      <c r="B94" s="6" t="s">
        <v>88</v>
      </c>
      <c r="C94" s="6" t="s">
        <v>30</v>
      </c>
      <c r="D94" s="6">
        <v>0.05</v>
      </c>
      <c r="E94" s="6" t="s">
        <v>7</v>
      </c>
      <c r="F94" s="6" t="s">
        <v>25</v>
      </c>
      <c r="G94" s="6" t="s">
        <v>26</v>
      </c>
      <c r="J94" s="6" t="s">
        <v>27</v>
      </c>
    </row>
    <row r="95" spans="1:14" x14ac:dyDescent="0.25">
      <c r="A95" s="6" t="s">
        <v>89</v>
      </c>
      <c r="B95" s="6" t="s">
        <v>90</v>
      </c>
      <c r="C95" s="6" t="s">
        <v>30</v>
      </c>
      <c r="D95" s="6">
        <v>1.5E-3</v>
      </c>
      <c r="E95" s="6" t="s">
        <v>7</v>
      </c>
      <c r="F95" s="6" t="s">
        <v>25</v>
      </c>
      <c r="G95" s="6" t="s">
        <v>26</v>
      </c>
      <c r="J95" s="6" t="s">
        <v>27</v>
      </c>
    </row>
    <row r="96" spans="1:14" x14ac:dyDescent="0.25">
      <c r="A96" s="6" t="s">
        <v>81</v>
      </c>
      <c r="B96" s="6" t="s">
        <v>82</v>
      </c>
      <c r="C96" s="6" t="s">
        <v>30</v>
      </c>
      <c r="D96" s="6">
        <v>1.7978000000000001</v>
      </c>
      <c r="E96" s="6" t="s">
        <v>35</v>
      </c>
      <c r="F96" s="6" t="s">
        <v>25</v>
      </c>
      <c r="G96" s="6" t="s">
        <v>26</v>
      </c>
      <c r="J96" s="6" t="s">
        <v>27</v>
      </c>
    </row>
    <row r="97" spans="1:14" x14ac:dyDescent="0.25">
      <c r="A97" s="6" t="s">
        <v>33</v>
      </c>
      <c r="B97" s="6" t="s">
        <v>34</v>
      </c>
      <c r="C97" s="6" t="s">
        <v>30</v>
      </c>
      <c r="D97" s="6">
        <v>3.7499999999999999E-2</v>
      </c>
      <c r="E97" s="6" t="s">
        <v>35</v>
      </c>
      <c r="F97" s="6" t="s">
        <v>25</v>
      </c>
      <c r="G97" s="6" t="s">
        <v>26</v>
      </c>
      <c r="J97" s="6" t="s">
        <v>27</v>
      </c>
    </row>
    <row r="98" spans="1:14" x14ac:dyDescent="0.25">
      <c r="A98" s="6" t="s">
        <v>36</v>
      </c>
      <c r="B98" s="6" t="s">
        <v>37</v>
      </c>
      <c r="C98" s="6" t="s">
        <v>30</v>
      </c>
      <c r="D98" s="6">
        <v>-4.5499999999999999E-2</v>
      </c>
      <c r="E98" s="6" t="s">
        <v>7</v>
      </c>
      <c r="F98" s="6" t="s">
        <v>25</v>
      </c>
      <c r="G98" s="6" t="s">
        <v>26</v>
      </c>
      <c r="J98" s="6" t="s">
        <v>27</v>
      </c>
    </row>
    <row r="99" spans="1:14" x14ac:dyDescent="0.25">
      <c r="A99" s="6" t="s">
        <v>44</v>
      </c>
      <c r="D99" s="6">
        <v>6.2406999999999997E-2</v>
      </c>
      <c r="E99" s="6" t="s">
        <v>7</v>
      </c>
      <c r="F99" s="6" t="s">
        <v>39</v>
      </c>
      <c r="G99" s="6" t="s">
        <v>40</v>
      </c>
      <c r="H99" s="6" t="s">
        <v>41</v>
      </c>
      <c r="J99" s="6" t="s">
        <v>27</v>
      </c>
    </row>
    <row r="100" spans="1:14" x14ac:dyDescent="0.25">
      <c r="A100" s="6" t="s">
        <v>91</v>
      </c>
      <c r="D100" s="6">
        <v>1.5E-3</v>
      </c>
      <c r="E100" s="6" t="s">
        <v>7</v>
      </c>
      <c r="F100" s="6" t="s">
        <v>39</v>
      </c>
      <c r="G100" s="6" t="s">
        <v>40</v>
      </c>
      <c r="H100" s="6" t="s">
        <v>41</v>
      </c>
      <c r="J100" s="6" t="s">
        <v>27</v>
      </c>
    </row>
    <row r="101" spans="1:14" s="12" customFormat="1" x14ac:dyDescent="0.25"/>
    <row r="102" spans="1:14" x14ac:dyDescent="0.25">
      <c r="A102" s="7" t="s">
        <v>0</v>
      </c>
      <c r="B102" s="7" t="s">
        <v>92</v>
      </c>
    </row>
    <row r="103" spans="1:14" x14ac:dyDescent="0.25">
      <c r="A103" s="8" t="s">
        <v>1</v>
      </c>
      <c r="B103" s="6" t="s">
        <v>93</v>
      </c>
    </row>
    <row r="104" spans="1:14" x14ac:dyDescent="0.25">
      <c r="A104" s="8" t="s">
        <v>3</v>
      </c>
      <c r="B104" s="6" t="s">
        <v>4</v>
      </c>
    </row>
    <row r="105" spans="1:14" x14ac:dyDescent="0.25">
      <c r="A105" s="8" t="s">
        <v>5</v>
      </c>
      <c r="B105" s="6">
        <v>1</v>
      </c>
    </row>
    <row r="106" spans="1:14" x14ac:dyDescent="0.25">
      <c r="A106" s="8" t="s">
        <v>6</v>
      </c>
      <c r="B106" s="6" t="s">
        <v>7</v>
      </c>
    </row>
    <row r="107" spans="1:14" x14ac:dyDescent="0.25">
      <c r="A107" s="8" t="s">
        <v>8</v>
      </c>
      <c r="B107" s="6" t="s">
        <v>9</v>
      </c>
    </row>
    <row r="108" spans="1:14" x14ac:dyDescent="0.25">
      <c r="A108" s="8" t="s">
        <v>10</v>
      </c>
    </row>
    <row r="109" spans="1:14" x14ac:dyDescent="0.25">
      <c r="A109" s="7" t="s">
        <v>11</v>
      </c>
      <c r="B109" s="7" t="s">
        <v>1</v>
      </c>
      <c r="C109" s="7" t="s">
        <v>3</v>
      </c>
      <c r="D109" s="7" t="s">
        <v>5</v>
      </c>
      <c r="E109" s="7" t="s">
        <v>6</v>
      </c>
      <c r="F109" s="7" t="s">
        <v>12</v>
      </c>
      <c r="G109" s="7" t="s">
        <v>13</v>
      </c>
      <c r="H109" s="7" t="s">
        <v>14</v>
      </c>
      <c r="I109" s="7" t="s">
        <v>15</v>
      </c>
      <c r="J109" s="7" t="s">
        <v>16</v>
      </c>
      <c r="K109" s="7" t="s">
        <v>17</v>
      </c>
      <c r="L109" s="7" t="s">
        <v>18</v>
      </c>
      <c r="M109" s="7" t="s">
        <v>19</v>
      </c>
      <c r="N109" s="7" t="s">
        <v>20</v>
      </c>
    </row>
    <row r="110" spans="1:14" x14ac:dyDescent="0.25">
      <c r="A110" s="6" t="str">
        <f>B102</f>
        <v>Graphite ore mining in China/Heilongjiang and natural graphite production in China/Shandong</v>
      </c>
      <c r="B110" s="6" t="str">
        <f>B103</f>
        <v>Battery-grade graphite</v>
      </c>
      <c r="C110" s="6" t="str">
        <f>B104</f>
        <v>CN</v>
      </c>
      <c r="D110" s="6">
        <v>1</v>
      </c>
      <c r="E110" s="6" t="s">
        <v>7</v>
      </c>
      <c r="F110" s="10" t="str">
        <f>F91</f>
        <v>Graphite</v>
      </c>
      <c r="G110" s="6" t="s">
        <v>21</v>
      </c>
    </row>
    <row r="111" spans="1:14" x14ac:dyDescent="0.25">
      <c r="A111" s="6" t="str">
        <f>A91</f>
        <v>[P+R] Coating</v>
      </c>
      <c r="B111" s="6" t="str">
        <f>B91</f>
        <v>Coated spherical graphite</v>
      </c>
      <c r="C111" s="6" t="str">
        <f>C91</f>
        <v>CN</v>
      </c>
      <c r="D111" s="6">
        <v>1</v>
      </c>
      <c r="E111" s="6" t="str">
        <f>E91</f>
        <v>kilogram</v>
      </c>
      <c r="F111" s="10" t="str">
        <f>F91</f>
        <v>Graphite</v>
      </c>
      <c r="G111" s="6" t="s">
        <v>26</v>
      </c>
    </row>
    <row r="112" spans="1:14" x14ac:dyDescent="0.25">
      <c r="A112" s="6" t="str">
        <f>A66</f>
        <v>[P+R] Purification</v>
      </c>
      <c r="B112" s="6" t="str">
        <f>B66</f>
        <v>Purified spherical graphite</v>
      </c>
      <c r="C112" s="6" t="str">
        <f>C66</f>
        <v>CN</v>
      </c>
      <c r="D112" s="6">
        <v>1.01</v>
      </c>
      <c r="E112" s="6" t="str">
        <f>E66</f>
        <v>kilogram</v>
      </c>
      <c r="F112" s="10" t="str">
        <f>F66</f>
        <v>Graphite</v>
      </c>
      <c r="G112" s="6" t="s">
        <v>26</v>
      </c>
    </row>
    <row r="113" spans="1:7" x14ac:dyDescent="0.25">
      <c r="A113" s="6" t="str">
        <f>A53</f>
        <v>[P+R] Spheronisation</v>
      </c>
      <c r="B113" s="6" t="str">
        <f>B53</f>
        <v>Spherical graphite</v>
      </c>
      <c r="C113" s="6" t="str">
        <f>C53</f>
        <v>CN</v>
      </c>
      <c r="D113" s="6">
        <v>1.1413</v>
      </c>
      <c r="E113" s="6" t="str">
        <f>E53</f>
        <v>kilogram</v>
      </c>
      <c r="F113" s="10" t="str">
        <f>F53</f>
        <v>Graphite</v>
      </c>
      <c r="G113" s="6" t="s">
        <v>26</v>
      </c>
    </row>
    <row r="114" spans="1:7" x14ac:dyDescent="0.25">
      <c r="A114" s="6" t="str">
        <f>A29</f>
        <v>[C] Flotation</v>
      </c>
      <c r="B114" s="6" t="str">
        <f>B29</f>
        <v>Graphite concentrate</v>
      </c>
      <c r="C114" s="6" t="str">
        <f>C29</f>
        <v>CN</v>
      </c>
      <c r="D114" s="6">
        <v>2.5336860000000003</v>
      </c>
      <c r="E114" s="6" t="str">
        <f>E29</f>
        <v>kilogram</v>
      </c>
      <c r="F114" s="10" t="str">
        <f>F29</f>
        <v>Graphite</v>
      </c>
      <c r="G114" s="6" t="s">
        <v>26</v>
      </c>
    </row>
    <row r="115" spans="1:7" x14ac:dyDescent="0.25">
      <c r="A115" s="6" t="str">
        <f>A9</f>
        <v>[M] Graphite ore mining</v>
      </c>
      <c r="B115" s="6" t="str">
        <f>B9</f>
        <v>Graphite ore</v>
      </c>
      <c r="C115" s="6" t="str">
        <f>C9</f>
        <v>CN</v>
      </c>
      <c r="D115" s="6">
        <v>24.298048740000002</v>
      </c>
      <c r="E115" s="6" t="str">
        <f>E9</f>
        <v>kilogram</v>
      </c>
      <c r="F115" s="10" t="str">
        <f>F9</f>
        <v>Graphite</v>
      </c>
      <c r="G115" s="6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1:N40"/>
  <sheetViews>
    <sheetView workbookViewId="0"/>
  </sheetViews>
  <sheetFormatPr baseColWidth="10" defaultColWidth="9.140625" defaultRowHeight="15" x14ac:dyDescent="0.25"/>
  <cols>
    <col min="1" max="1" width="48" style="6" bestFit="1" customWidth="1"/>
    <col min="2" max="2" width="38" style="6" bestFit="1" customWidth="1"/>
    <col min="3" max="3" width="8.140625" style="6" bestFit="1" customWidth="1"/>
    <col min="4" max="4" width="7.85546875" style="6" bestFit="1" customWidth="1"/>
    <col min="5" max="5" width="12.85546875" style="6" bestFit="1" customWidth="1"/>
    <col min="6" max="6" width="19.7109375" style="6" bestFit="1" customWidth="1"/>
    <col min="7" max="7" width="13.28515625" style="6" bestFit="1" customWidth="1"/>
    <col min="8" max="8" width="10.140625" style="6" bestFit="1" customWidth="1"/>
    <col min="9" max="9" width="15.5703125" style="6" bestFit="1" customWidth="1"/>
    <col min="10" max="10" width="9.7109375" style="6" bestFit="1" customWidth="1"/>
    <col min="11" max="11" width="3.5703125" style="6" bestFit="1" customWidth="1"/>
    <col min="12" max="12" width="5.42578125" style="6" bestFit="1" customWidth="1"/>
    <col min="13" max="13" width="9.5703125" style="6" bestFit="1" customWidth="1"/>
    <col min="14" max="14" width="9.85546875" style="6" bestFit="1" customWidth="1"/>
    <col min="15" max="16384" width="9.140625" style="6"/>
  </cols>
  <sheetData>
    <row r="1" spans="1:14" x14ac:dyDescent="0.25">
      <c r="A1" s="7" t="s">
        <v>0</v>
      </c>
      <c r="B1" s="7" t="s">
        <v>94</v>
      </c>
    </row>
    <row r="2" spans="1:14" x14ac:dyDescent="0.25">
      <c r="A2" s="8" t="s">
        <v>1</v>
      </c>
      <c r="B2" s="6" t="s">
        <v>93</v>
      </c>
    </row>
    <row r="3" spans="1:14" x14ac:dyDescent="0.25">
      <c r="A3" s="8" t="s">
        <v>3</v>
      </c>
      <c r="B3" s="6" t="s">
        <v>4</v>
      </c>
    </row>
    <row r="4" spans="1:14" x14ac:dyDescent="0.25">
      <c r="A4" s="8" t="s">
        <v>5</v>
      </c>
      <c r="B4" s="6">
        <v>1</v>
      </c>
    </row>
    <row r="5" spans="1:14" x14ac:dyDescent="0.25">
      <c r="A5" s="8" t="s">
        <v>6</v>
      </c>
      <c r="B5" s="6" t="s">
        <v>7</v>
      </c>
    </row>
    <row r="6" spans="1:14" x14ac:dyDescent="0.25">
      <c r="A6" s="8" t="s">
        <v>8</v>
      </c>
      <c r="B6" s="6" t="s">
        <v>9</v>
      </c>
    </row>
    <row r="7" spans="1:14" x14ac:dyDescent="0.25">
      <c r="A7" s="8" t="s">
        <v>10</v>
      </c>
    </row>
    <row r="8" spans="1:14" x14ac:dyDescent="0.25">
      <c r="A8" s="7" t="s">
        <v>11</v>
      </c>
      <c r="B8" s="7" t="s">
        <v>1</v>
      </c>
      <c r="C8" s="7" t="s">
        <v>3</v>
      </c>
      <c r="D8" s="7" t="s">
        <v>5</v>
      </c>
      <c r="E8" s="7" t="s">
        <v>6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</row>
    <row r="9" spans="1:14" x14ac:dyDescent="0.25">
      <c r="A9" s="6" t="str">
        <f>B1</f>
        <v>[P+R] Synthetic graphite production</v>
      </c>
      <c r="B9" s="6" t="str">
        <f>B2</f>
        <v>Battery-grade graphite</v>
      </c>
      <c r="C9" s="6" t="str">
        <f>B3</f>
        <v>CN</v>
      </c>
      <c r="D9" s="6">
        <v>1</v>
      </c>
      <c r="E9" s="6" t="s">
        <v>7</v>
      </c>
      <c r="F9" s="10" t="str">
        <f>Graphite_Market_GLO!B1</f>
        <v>Graphite</v>
      </c>
      <c r="G9" s="6" t="s">
        <v>21</v>
      </c>
    </row>
    <row r="10" spans="1:14" x14ac:dyDescent="0.25">
      <c r="A10" s="6" t="s">
        <v>95</v>
      </c>
      <c r="B10" s="6" t="s">
        <v>96</v>
      </c>
      <c r="C10" s="6" t="s">
        <v>51</v>
      </c>
      <c r="D10" s="6">
        <v>2.0299999999999998</v>
      </c>
      <c r="E10" s="6" t="s">
        <v>7</v>
      </c>
      <c r="F10" s="6" t="s">
        <v>25</v>
      </c>
      <c r="G10" s="6" t="s">
        <v>26</v>
      </c>
      <c r="J10" s="6" t="s">
        <v>27</v>
      </c>
    </row>
    <row r="11" spans="1:14" x14ac:dyDescent="0.25">
      <c r="A11" s="6" t="s">
        <v>22</v>
      </c>
      <c r="B11" s="6" t="s">
        <v>23</v>
      </c>
      <c r="C11" s="6" t="s">
        <v>4</v>
      </c>
      <c r="D11" s="6">
        <v>1.88</v>
      </c>
      <c r="E11" s="6" t="s">
        <v>24</v>
      </c>
      <c r="F11" s="6" t="s">
        <v>25</v>
      </c>
      <c r="G11" s="6" t="s">
        <v>26</v>
      </c>
      <c r="J11" s="6" t="s">
        <v>27</v>
      </c>
    </row>
    <row r="12" spans="1:14" x14ac:dyDescent="0.25">
      <c r="A12" s="6" t="s">
        <v>97</v>
      </c>
      <c r="B12" s="6" t="s">
        <v>98</v>
      </c>
      <c r="C12" s="6" t="s">
        <v>30</v>
      </c>
      <c r="D12" s="6">
        <v>0.75600000000000001</v>
      </c>
      <c r="E12" s="6" t="s">
        <v>52</v>
      </c>
      <c r="F12" s="6" t="s">
        <v>25</v>
      </c>
      <c r="G12" s="6" t="s">
        <v>26</v>
      </c>
      <c r="J12" s="6" t="s">
        <v>27</v>
      </c>
    </row>
    <row r="13" spans="1:14" x14ac:dyDescent="0.25">
      <c r="A13" s="6" t="s">
        <v>100</v>
      </c>
      <c r="B13" s="6" t="s">
        <v>101</v>
      </c>
      <c r="C13" s="6" t="s">
        <v>4</v>
      </c>
      <c r="D13" s="6">
        <v>0.27</v>
      </c>
      <c r="E13" s="6" t="s">
        <v>7</v>
      </c>
      <c r="F13" s="6" t="s">
        <v>25</v>
      </c>
      <c r="G13" s="6" t="s">
        <v>26</v>
      </c>
      <c r="J13" s="6" t="s">
        <v>99</v>
      </c>
    </row>
    <row r="14" spans="1:14" x14ac:dyDescent="0.25">
      <c r="A14" s="6" t="s">
        <v>22</v>
      </c>
      <c r="B14" s="6" t="s">
        <v>23</v>
      </c>
      <c r="C14" s="6" t="s">
        <v>4</v>
      </c>
      <c r="D14" s="6">
        <v>16</v>
      </c>
      <c r="E14" s="6" t="s">
        <v>24</v>
      </c>
      <c r="F14" s="6" t="s">
        <v>25</v>
      </c>
      <c r="G14" s="6" t="s">
        <v>26</v>
      </c>
      <c r="J14" s="6" t="s">
        <v>27</v>
      </c>
    </row>
    <row r="15" spans="1:14" x14ac:dyDescent="0.25">
      <c r="A15" s="6" t="s">
        <v>102</v>
      </c>
      <c r="B15" s="6" t="s">
        <v>103</v>
      </c>
      <c r="C15" s="6" t="s">
        <v>4</v>
      </c>
      <c r="D15" s="6">
        <v>12.74</v>
      </c>
      <c r="E15" s="6" t="s">
        <v>52</v>
      </c>
      <c r="F15" s="6" t="s">
        <v>25</v>
      </c>
      <c r="G15" s="6" t="s">
        <v>26</v>
      </c>
      <c r="J15" s="6" t="s">
        <v>104</v>
      </c>
    </row>
    <row r="16" spans="1:14" x14ac:dyDescent="0.25">
      <c r="A16" s="6" t="s">
        <v>36</v>
      </c>
      <c r="B16" s="6" t="s">
        <v>37</v>
      </c>
      <c r="C16" s="6" t="s">
        <v>30</v>
      </c>
      <c r="D16" s="6">
        <v>-0.26</v>
      </c>
      <c r="E16" s="6" t="s">
        <v>7</v>
      </c>
      <c r="F16" s="6" t="s">
        <v>25</v>
      </c>
      <c r="G16" s="6" t="s">
        <v>26</v>
      </c>
      <c r="J16" s="6" t="s">
        <v>104</v>
      </c>
    </row>
    <row r="17" spans="1:10" x14ac:dyDescent="0.25">
      <c r="A17" s="6" t="s">
        <v>22</v>
      </c>
      <c r="B17" s="6" t="s">
        <v>23</v>
      </c>
      <c r="C17" s="6" t="s">
        <v>4</v>
      </c>
      <c r="D17" s="6">
        <v>3.33</v>
      </c>
      <c r="E17" s="6" t="s">
        <v>24</v>
      </c>
      <c r="F17" s="6" t="s">
        <v>25</v>
      </c>
      <c r="G17" s="6" t="s">
        <v>26</v>
      </c>
      <c r="J17" s="6" t="s">
        <v>104</v>
      </c>
    </row>
    <row r="18" spans="1:10" x14ac:dyDescent="0.25">
      <c r="A18" s="6" t="s">
        <v>97</v>
      </c>
      <c r="B18" s="6" t="s">
        <v>98</v>
      </c>
      <c r="C18" s="6" t="s">
        <v>30</v>
      </c>
      <c r="D18" s="6">
        <v>0.97200000000000009</v>
      </c>
      <c r="E18" s="6" t="s">
        <v>52</v>
      </c>
      <c r="F18" s="6" t="s">
        <v>25</v>
      </c>
      <c r="G18" s="6" t="s">
        <v>26</v>
      </c>
      <c r="J18" s="6" t="s">
        <v>27</v>
      </c>
    </row>
    <row r="19" spans="1:10" x14ac:dyDescent="0.25">
      <c r="A19" s="6" t="s">
        <v>105</v>
      </c>
      <c r="B19" s="6" t="s">
        <v>106</v>
      </c>
      <c r="C19" s="6" t="s">
        <v>51</v>
      </c>
      <c r="D19" s="6">
        <v>0.05</v>
      </c>
      <c r="E19" s="6" t="s">
        <v>7</v>
      </c>
      <c r="F19" s="6" t="s">
        <v>25</v>
      </c>
      <c r="G19" s="6" t="s">
        <v>26</v>
      </c>
      <c r="J19" s="6" t="s">
        <v>27</v>
      </c>
    </row>
    <row r="20" spans="1:10" x14ac:dyDescent="0.25">
      <c r="A20" s="6" t="s">
        <v>22</v>
      </c>
      <c r="B20" s="6" t="s">
        <v>23</v>
      </c>
      <c r="C20" s="6" t="s">
        <v>4</v>
      </c>
      <c r="D20" s="6">
        <v>0.17</v>
      </c>
      <c r="E20" s="6" t="s">
        <v>24</v>
      </c>
      <c r="F20" s="6" t="s">
        <v>25</v>
      </c>
      <c r="G20" s="6" t="s">
        <v>26</v>
      </c>
      <c r="J20" s="6" t="s">
        <v>104</v>
      </c>
    </row>
    <row r="21" spans="1:10" x14ac:dyDescent="0.25">
      <c r="A21" s="6" t="s">
        <v>22</v>
      </c>
      <c r="B21" s="6" t="s">
        <v>23</v>
      </c>
      <c r="C21" s="6" t="s">
        <v>4</v>
      </c>
      <c r="D21" s="6">
        <v>0.21</v>
      </c>
      <c r="E21" s="6" t="s">
        <v>24</v>
      </c>
      <c r="F21" s="6" t="s">
        <v>25</v>
      </c>
      <c r="G21" s="6" t="s">
        <v>26</v>
      </c>
      <c r="J21" s="6" t="s">
        <v>104</v>
      </c>
    </row>
    <row r="22" spans="1:10" x14ac:dyDescent="0.25">
      <c r="A22" s="6" t="s">
        <v>97</v>
      </c>
      <c r="B22" s="6" t="s">
        <v>98</v>
      </c>
      <c r="C22" s="6" t="s">
        <v>30</v>
      </c>
      <c r="D22" s="6">
        <v>7.74</v>
      </c>
      <c r="E22" s="6" t="s">
        <v>52</v>
      </c>
      <c r="F22" s="6" t="s">
        <v>25</v>
      </c>
      <c r="G22" s="6" t="s">
        <v>26</v>
      </c>
      <c r="J22" s="6" t="s">
        <v>27</v>
      </c>
    </row>
    <row r="23" spans="1:10" x14ac:dyDescent="0.25">
      <c r="A23" s="6" t="s">
        <v>107</v>
      </c>
      <c r="B23" s="6" t="s">
        <v>108</v>
      </c>
      <c r="C23" s="6" t="s">
        <v>51</v>
      </c>
      <c r="D23" s="6">
        <v>1E-3</v>
      </c>
      <c r="E23" s="6" t="s">
        <v>7</v>
      </c>
      <c r="F23" s="6" t="s">
        <v>25</v>
      </c>
      <c r="G23" s="6" t="s">
        <v>26</v>
      </c>
      <c r="J23" s="6" t="s">
        <v>27</v>
      </c>
    </row>
    <row r="24" spans="1:10" x14ac:dyDescent="0.25">
      <c r="A24" s="6" t="s">
        <v>109</v>
      </c>
      <c r="B24" s="6" t="s">
        <v>110</v>
      </c>
      <c r="C24" s="6" t="s">
        <v>30</v>
      </c>
      <c r="D24" s="6">
        <v>0.02</v>
      </c>
      <c r="E24" s="6" t="s">
        <v>7</v>
      </c>
      <c r="F24" s="6" t="s">
        <v>25</v>
      </c>
      <c r="G24" s="6" t="s">
        <v>26</v>
      </c>
      <c r="J24" s="6" t="s">
        <v>27</v>
      </c>
    </row>
    <row r="25" spans="1:10" x14ac:dyDescent="0.25">
      <c r="A25" s="6" t="s">
        <v>22</v>
      </c>
      <c r="B25" s="6" t="s">
        <v>23</v>
      </c>
      <c r="C25" s="6" t="s">
        <v>4</v>
      </c>
      <c r="D25" s="6">
        <v>0.05</v>
      </c>
      <c r="E25" s="6" t="s">
        <v>24</v>
      </c>
      <c r="F25" s="6" t="s">
        <v>25</v>
      </c>
      <c r="G25" s="6" t="s">
        <v>26</v>
      </c>
      <c r="J25" s="6" t="s">
        <v>27</v>
      </c>
    </row>
    <row r="26" spans="1:10" x14ac:dyDescent="0.25">
      <c r="A26" s="6" t="s">
        <v>111</v>
      </c>
      <c r="B26" s="6" t="s">
        <v>112</v>
      </c>
      <c r="C26" s="6" t="s">
        <v>51</v>
      </c>
      <c r="D26" s="6">
        <v>0.02</v>
      </c>
      <c r="E26" s="6" t="s">
        <v>7</v>
      </c>
      <c r="F26" s="6" t="s">
        <v>25</v>
      </c>
      <c r="G26" s="6" t="s">
        <v>26</v>
      </c>
      <c r="J26" s="6" t="s">
        <v>27</v>
      </c>
    </row>
    <row r="27" spans="1:10" x14ac:dyDescent="0.25">
      <c r="A27" s="6" t="s">
        <v>97</v>
      </c>
      <c r="B27" s="6" t="s">
        <v>98</v>
      </c>
      <c r="C27" s="6" t="s">
        <v>30</v>
      </c>
      <c r="D27" s="6">
        <v>0.108</v>
      </c>
      <c r="E27" s="6" t="s">
        <v>52</v>
      </c>
      <c r="F27" s="6" t="s">
        <v>25</v>
      </c>
      <c r="G27" s="6" t="s">
        <v>26</v>
      </c>
      <c r="J27" s="6" t="s">
        <v>27</v>
      </c>
    </row>
    <row r="28" spans="1:10" x14ac:dyDescent="0.25">
      <c r="A28" s="6" t="s">
        <v>44</v>
      </c>
      <c r="D28" s="6">
        <v>0.72</v>
      </c>
      <c r="E28" s="6" t="s">
        <v>7</v>
      </c>
      <c r="F28" s="6" t="s">
        <v>39</v>
      </c>
      <c r="G28" s="6" t="s">
        <v>40</v>
      </c>
      <c r="H28" s="6" t="s">
        <v>41</v>
      </c>
      <c r="J28" s="6" t="s">
        <v>113</v>
      </c>
    </row>
    <row r="29" spans="1:10" x14ac:dyDescent="0.25">
      <c r="A29" s="6" t="s">
        <v>44</v>
      </c>
      <c r="D29" s="6">
        <v>7.0000000000000007E-2</v>
      </c>
      <c r="E29" s="6" t="s">
        <v>7</v>
      </c>
      <c r="F29" s="6" t="s">
        <v>39</v>
      </c>
      <c r="G29" s="6" t="s">
        <v>40</v>
      </c>
      <c r="H29" s="6" t="s">
        <v>41</v>
      </c>
      <c r="J29" s="6" t="s">
        <v>113</v>
      </c>
    </row>
    <row r="30" spans="1:10" s="12" customFormat="1" x14ac:dyDescent="0.25"/>
    <row r="31" spans="1:10" x14ac:dyDescent="0.25">
      <c r="A31" s="7" t="s">
        <v>0</v>
      </c>
      <c r="B31" s="7" t="s">
        <v>114</v>
      </c>
    </row>
    <row r="32" spans="1:10" x14ac:dyDescent="0.25">
      <c r="A32" s="8" t="s">
        <v>1</v>
      </c>
      <c r="B32" s="6" t="s">
        <v>93</v>
      </c>
    </row>
    <row r="33" spans="1:14" x14ac:dyDescent="0.25">
      <c r="A33" s="8" t="s">
        <v>3</v>
      </c>
      <c r="B33" s="6" t="s">
        <v>4</v>
      </c>
    </row>
    <row r="34" spans="1:14" x14ac:dyDescent="0.25">
      <c r="A34" s="8" t="s">
        <v>5</v>
      </c>
      <c r="B34" s="6">
        <v>1</v>
      </c>
    </row>
    <row r="35" spans="1:14" x14ac:dyDescent="0.25">
      <c r="A35" s="8" t="s">
        <v>6</v>
      </c>
      <c r="B35" s="6" t="s">
        <v>7</v>
      </c>
    </row>
    <row r="36" spans="1:14" x14ac:dyDescent="0.25">
      <c r="A36" s="8" t="s">
        <v>8</v>
      </c>
      <c r="B36" s="6" t="s">
        <v>9</v>
      </c>
    </row>
    <row r="37" spans="1:14" x14ac:dyDescent="0.25">
      <c r="A37" s="8" t="s">
        <v>10</v>
      </c>
    </row>
    <row r="38" spans="1:14" x14ac:dyDescent="0.25">
      <c r="A38" s="7" t="s">
        <v>11</v>
      </c>
      <c r="B38" s="7" t="s">
        <v>1</v>
      </c>
      <c r="C38" s="7" t="s">
        <v>3</v>
      </c>
      <c r="D38" s="7" t="s">
        <v>5</v>
      </c>
      <c r="E38" s="7" t="s">
        <v>6</v>
      </c>
      <c r="F38" s="7" t="s">
        <v>12</v>
      </c>
      <c r="G38" s="7" t="s">
        <v>13</v>
      </c>
      <c r="H38" s="7" t="s">
        <v>14</v>
      </c>
      <c r="I38" s="7" t="s">
        <v>15</v>
      </c>
      <c r="J38" s="7" t="s">
        <v>16</v>
      </c>
      <c r="K38" s="7" t="s">
        <v>17</v>
      </c>
      <c r="L38" s="7" t="s">
        <v>18</v>
      </c>
      <c r="M38" s="7" t="s">
        <v>19</v>
      </c>
      <c r="N38" s="7" t="s">
        <v>20</v>
      </c>
    </row>
    <row r="39" spans="1:14" x14ac:dyDescent="0.25">
      <c r="A39" s="6" t="str">
        <f>B31</f>
        <v>Synthetic graphite production in China</v>
      </c>
      <c r="B39" s="6" t="str">
        <f>B32</f>
        <v>Battery-grade graphite</v>
      </c>
      <c r="C39" s="6" t="str">
        <f>B33</f>
        <v>CN</v>
      </c>
      <c r="D39" s="6">
        <v>1</v>
      </c>
      <c r="E39" s="6" t="s">
        <v>7</v>
      </c>
      <c r="F39" s="10" t="str">
        <f>F9</f>
        <v>Graphite</v>
      </c>
      <c r="G39" s="6" t="s">
        <v>21</v>
      </c>
    </row>
    <row r="40" spans="1:14" x14ac:dyDescent="0.25">
      <c r="A40" s="6" t="str">
        <f>A9</f>
        <v>[P+R] Synthetic graphite production</v>
      </c>
      <c r="B40" s="6" t="str">
        <f t="shared" ref="B40:F40" si="0">B9</f>
        <v>Battery-grade graphite</v>
      </c>
      <c r="C40" s="6" t="str">
        <f t="shared" si="0"/>
        <v>CN</v>
      </c>
      <c r="D40" s="6">
        <f t="shared" si="0"/>
        <v>1</v>
      </c>
      <c r="E40" s="6" t="str">
        <f t="shared" si="0"/>
        <v>kilogram</v>
      </c>
      <c r="F40" s="10" t="str">
        <f t="shared" si="0"/>
        <v>Graphite</v>
      </c>
      <c r="G40" s="6" t="s">
        <v>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5D110D-E837-4E58-A07A-E5D7A5B90784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customXml/itemProps2.xml><?xml version="1.0" encoding="utf-8"?>
<ds:datastoreItem xmlns:ds="http://schemas.openxmlformats.org/officeDocument/2006/customXml" ds:itemID="{B185980D-96BE-4271-BA9B-881F9B7C5E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223732-7A84-4201-81E0-F4F10B7197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Note</vt:lpstr>
      <vt:lpstr>Graphite_Market_GLO</vt:lpstr>
      <vt:lpstr>PR1_NaturalGraphite_CN</vt:lpstr>
      <vt:lpstr>PR2_SyntheticGraphite_CN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 Pellan</cp:lastModifiedBy>
  <dcterms:created xsi:type="dcterms:W3CDTF">2015-06-05T18:19:34Z</dcterms:created>
  <dcterms:modified xsi:type="dcterms:W3CDTF">2026-09-10T21:03:08Z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