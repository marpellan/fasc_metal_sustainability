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data/LCIs/Lai_2025/"/>
    </mc:Choice>
  </mc:AlternateContent>
  <xr:revisionPtr revIDLastSave="188" documentId="8_{0C7C91A2-ADF9-4192-ADD6-8FFEE2FDF270}" xr6:coauthVersionLast="47" xr6:coauthVersionMax="47" xr10:uidLastSave="{3ECC0D64-B90C-4E32-BCD0-5E0A7C6B6311}"/>
  <bookViews>
    <workbookView xWindow="-120" yWindow="-120" windowWidth="29040" windowHeight="15720" tabRatio="836" activeTab="4" xr2:uid="{00000000-000D-0000-FFFF-FFFF00000000}"/>
  </bookViews>
  <sheets>
    <sheet name="Note" sheetId="1" r:id="rId1"/>
    <sheet name="Co_Market_GLO" sheetId="14" r:id="rId2"/>
    <sheet name="PR1_CoSO4_CN_Xinjiang" sheetId="28" r:id="rId3"/>
    <sheet name="PR2_CoSO4_CD-CN_Tongxiang" sheetId="27" r:id="rId4"/>
    <sheet name="PR3_Co3O4_CD-CN_Quzhou" sheetId="29" r:id="rId5"/>
    <sheet name="PR4_Co_CD-CN-GLO" sheetId="30" r:id="rId6"/>
    <sheet name="PR5_Co_AU_HPAL_Laterites" sheetId="16" r:id="rId7"/>
    <sheet name="PR6_Co_AU_FlashSmelting" sheetId="18" r:id="rId8"/>
    <sheet name="PR7_Co(OH)2_Europe_Recycling" sheetId="2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6" l="1"/>
  <c r="C108" i="26" s="1"/>
  <c r="C123" i="26" s="1"/>
  <c r="A13" i="14"/>
  <c r="B13" i="14"/>
  <c r="F123" i="26"/>
  <c r="E123" i="26"/>
  <c r="F122" i="26"/>
  <c r="E122" i="26"/>
  <c r="F121" i="26"/>
  <c r="E121" i="26"/>
  <c r="F120" i="26"/>
  <c r="E120" i="26"/>
  <c r="B123" i="26"/>
  <c r="A123" i="26"/>
  <c r="B122" i="26"/>
  <c r="A122" i="26"/>
  <c r="B121" i="26"/>
  <c r="A121" i="26"/>
  <c r="B120" i="26"/>
  <c r="A120" i="26"/>
  <c r="F119" i="26"/>
  <c r="E119" i="26"/>
  <c r="B119" i="26"/>
  <c r="A119" i="26"/>
  <c r="F108" i="26"/>
  <c r="E108" i="26"/>
  <c r="B108" i="26"/>
  <c r="A108" i="26"/>
  <c r="F107" i="26"/>
  <c r="E107" i="26"/>
  <c r="B107" i="26"/>
  <c r="A107" i="26"/>
  <c r="F106" i="26"/>
  <c r="E106" i="26"/>
  <c r="B106" i="26"/>
  <c r="A106" i="26"/>
  <c r="F105" i="26"/>
  <c r="E105" i="26"/>
  <c r="B105" i="26"/>
  <c r="A105" i="26"/>
  <c r="F104" i="26"/>
  <c r="E104" i="26"/>
  <c r="B104" i="26"/>
  <c r="A104" i="26"/>
  <c r="B35" i="14"/>
  <c r="E35" i="14"/>
  <c r="F35" i="14"/>
  <c r="A35" i="14"/>
  <c r="B34" i="14"/>
  <c r="C34" i="14"/>
  <c r="E34" i="14"/>
  <c r="F34" i="14"/>
  <c r="A34" i="14"/>
  <c r="B33" i="14"/>
  <c r="C33" i="14"/>
  <c r="E33" i="14"/>
  <c r="F33" i="14"/>
  <c r="A33" i="14"/>
  <c r="B32" i="14"/>
  <c r="E32" i="14"/>
  <c r="F32" i="14"/>
  <c r="A32" i="14"/>
  <c r="B31" i="14"/>
  <c r="E31" i="14"/>
  <c r="F31" i="14"/>
  <c r="A31" i="14"/>
  <c r="B30" i="14"/>
  <c r="E30" i="14"/>
  <c r="F30" i="14"/>
  <c r="A30" i="14"/>
  <c r="B29" i="14"/>
  <c r="C29" i="14"/>
  <c r="E29" i="14"/>
  <c r="F29" i="14"/>
  <c r="A29" i="14"/>
  <c r="B18" i="14"/>
  <c r="E18" i="14"/>
  <c r="F18" i="14"/>
  <c r="A18" i="14"/>
  <c r="B17" i="14"/>
  <c r="C17" i="14"/>
  <c r="E17" i="14"/>
  <c r="F17" i="14"/>
  <c r="A17" i="14"/>
  <c r="B16" i="14"/>
  <c r="C16" i="14"/>
  <c r="E16" i="14"/>
  <c r="F16" i="14"/>
  <c r="A16" i="14"/>
  <c r="B15" i="14"/>
  <c r="E15" i="14"/>
  <c r="F15" i="14"/>
  <c r="A15" i="14"/>
  <c r="B14" i="14"/>
  <c r="E14" i="14"/>
  <c r="F14" i="14"/>
  <c r="A14" i="14"/>
  <c r="E13" i="14"/>
  <c r="F13" i="14"/>
  <c r="B12" i="14"/>
  <c r="C12" i="14"/>
  <c r="E12" i="14"/>
  <c r="F12" i="14"/>
  <c r="A12" i="14"/>
  <c r="E20" i="30" l="1"/>
  <c r="B20" i="30"/>
  <c r="A20" i="30"/>
  <c r="F9" i="30"/>
  <c r="F21" i="30" s="1"/>
  <c r="E9" i="30"/>
  <c r="E21" i="30" s="1"/>
  <c r="C9" i="30"/>
  <c r="C21" i="30" s="1"/>
  <c r="B9" i="30"/>
  <c r="B21" i="30" s="1"/>
  <c r="A9" i="30"/>
  <c r="A21" i="30" s="1"/>
  <c r="E42" i="29"/>
  <c r="B42" i="29"/>
  <c r="A42" i="29"/>
  <c r="E31" i="29"/>
  <c r="E45" i="29" s="1"/>
  <c r="B29" i="29"/>
  <c r="B43" i="29" s="1"/>
  <c r="E28" i="29"/>
  <c r="B28" i="29"/>
  <c r="A28" i="29"/>
  <c r="F9" i="29"/>
  <c r="F29" i="29" s="1"/>
  <c r="F43" i="29" s="1"/>
  <c r="E9" i="29"/>
  <c r="E29" i="29" s="1"/>
  <c r="E43" i="29" s="1"/>
  <c r="C9" i="29"/>
  <c r="C29" i="29" s="1"/>
  <c r="C43" i="29" s="1"/>
  <c r="B9" i="29"/>
  <c r="A9" i="29"/>
  <c r="A29" i="29" s="1"/>
  <c r="A43" i="29" s="1"/>
  <c r="E80" i="27"/>
  <c r="B80" i="27"/>
  <c r="A80" i="27"/>
  <c r="F20" i="30" l="1"/>
  <c r="F28" i="29"/>
  <c r="F42" i="29" s="1"/>
  <c r="E69" i="27"/>
  <c r="E67" i="27"/>
  <c r="B67" i="27"/>
  <c r="A67" i="27"/>
  <c r="E42" i="27"/>
  <c r="E30" i="29" s="1"/>
  <c r="E44" i="29" s="1"/>
  <c r="C42" i="27"/>
  <c r="C30" i="29" s="1"/>
  <c r="C44" i="29" s="1"/>
  <c r="B42" i="27"/>
  <c r="B30" i="29" s="1"/>
  <c r="B44" i="29" s="1"/>
  <c r="A42" i="27"/>
  <c r="A30" i="29" s="1"/>
  <c r="A44" i="29" s="1"/>
  <c r="B88" i="28"/>
  <c r="C88" i="28"/>
  <c r="E88" i="28"/>
  <c r="F88" i="28"/>
  <c r="A88" i="28"/>
  <c r="F87" i="28"/>
  <c r="E87" i="28"/>
  <c r="C87" i="28"/>
  <c r="B87" i="28"/>
  <c r="A87" i="28"/>
  <c r="B77" i="28"/>
  <c r="C77" i="28"/>
  <c r="E77" i="28"/>
  <c r="F77" i="28"/>
  <c r="A77" i="28"/>
  <c r="F76" i="28"/>
  <c r="E76" i="28"/>
  <c r="C76" i="28"/>
  <c r="B76" i="28"/>
  <c r="A76" i="28"/>
  <c r="F9" i="28"/>
  <c r="E9" i="28"/>
  <c r="C9" i="28"/>
  <c r="B9" i="28"/>
  <c r="A9" i="28"/>
  <c r="F9" i="27"/>
  <c r="F70" i="27" s="1"/>
  <c r="E9" i="27"/>
  <c r="E32" i="29" s="1"/>
  <c r="E46" i="29" s="1"/>
  <c r="F74" i="26"/>
  <c r="E74" i="26"/>
  <c r="B74" i="26"/>
  <c r="A74" i="26"/>
  <c r="F85" i="26"/>
  <c r="E85" i="26"/>
  <c r="C85" i="26"/>
  <c r="B85" i="26"/>
  <c r="A85" i="26"/>
  <c r="F70" i="26"/>
  <c r="E70" i="26"/>
  <c r="C70" i="26"/>
  <c r="C104" i="26" s="1"/>
  <c r="C119" i="26" s="1"/>
  <c r="B70" i="26"/>
  <c r="A70" i="26"/>
  <c r="F55" i="26"/>
  <c r="E55" i="26"/>
  <c r="C55" i="26"/>
  <c r="C105" i="26" s="1"/>
  <c r="C120" i="26" s="1"/>
  <c r="B55" i="26"/>
  <c r="A55" i="26"/>
  <c r="F39" i="26"/>
  <c r="E39" i="26"/>
  <c r="C39" i="26"/>
  <c r="C106" i="26" s="1"/>
  <c r="C121" i="26" s="1"/>
  <c r="B39" i="26"/>
  <c r="A39" i="26"/>
  <c r="F25" i="26"/>
  <c r="E25" i="26"/>
  <c r="C25" i="26"/>
  <c r="C107" i="26" s="1"/>
  <c r="C122" i="26" s="1"/>
  <c r="B25" i="26"/>
  <c r="A25" i="26"/>
  <c r="F9" i="26"/>
  <c r="E9" i="26"/>
  <c r="B9" i="26"/>
  <c r="A9" i="26"/>
  <c r="B51" i="18"/>
  <c r="A51" i="18"/>
  <c r="E50" i="18"/>
  <c r="C50" i="18"/>
  <c r="B50" i="18"/>
  <c r="E49" i="18"/>
  <c r="C49" i="18"/>
  <c r="B49" i="18"/>
  <c r="A49" i="18"/>
  <c r="E9" i="18"/>
  <c r="E51" i="18" s="1"/>
  <c r="C9" i="18"/>
  <c r="C51" i="18" s="1"/>
  <c r="B9" i="18"/>
  <c r="A9" i="18"/>
  <c r="F9" i="18"/>
  <c r="F24" i="18" s="1"/>
  <c r="C24" i="18"/>
  <c r="B24" i="18"/>
  <c r="A24" i="18"/>
  <c r="A50" i="18" s="1"/>
  <c r="F50" i="18" l="1"/>
  <c r="F49" i="18"/>
  <c r="F51" i="18"/>
  <c r="A68" i="27"/>
  <c r="A22" i="30" s="1"/>
  <c r="E82" i="27"/>
  <c r="E23" i="30"/>
  <c r="E70" i="27"/>
  <c r="F24" i="27"/>
  <c r="F32" i="29"/>
  <c r="F46" i="29" s="1"/>
  <c r="B68" i="27"/>
  <c r="F24" i="30"/>
  <c r="F83" i="27"/>
  <c r="E68" i="27"/>
  <c r="C68" i="27"/>
  <c r="E28" i="16"/>
  <c r="C28" i="16"/>
  <c r="B28" i="16"/>
  <c r="A28" i="16"/>
  <c r="A81" i="27" l="1"/>
  <c r="E22" i="30"/>
  <c r="E81" i="27"/>
  <c r="C22" i="30"/>
  <c r="C81" i="27"/>
  <c r="B22" i="30"/>
  <c r="B81" i="27"/>
  <c r="F42" i="27"/>
  <c r="F31" i="29"/>
  <c r="F45" i="29" s="1"/>
  <c r="F69" i="27"/>
  <c r="E83" i="27"/>
  <c r="E24" i="30"/>
  <c r="E9" i="16"/>
  <c r="E29" i="16" s="1"/>
  <c r="C9" i="16"/>
  <c r="C29" i="16" s="1"/>
  <c r="B9" i="16"/>
  <c r="B29" i="16" s="1"/>
  <c r="A9" i="16"/>
  <c r="A29" i="16" s="1"/>
  <c r="F9" i="16"/>
  <c r="F28" i="14"/>
  <c r="E28" i="14"/>
  <c r="C28" i="14"/>
  <c r="B28" i="14"/>
  <c r="A28" i="14"/>
  <c r="F11" i="14"/>
  <c r="E11" i="14"/>
  <c r="C11" i="14"/>
  <c r="B11" i="14"/>
  <c r="A11" i="14"/>
  <c r="C24" i="27"/>
  <c r="B24" i="27"/>
  <c r="A24" i="27"/>
  <c r="C9" i="27"/>
  <c r="B9" i="27"/>
  <c r="A9" i="27"/>
  <c r="F29" i="16" l="1"/>
  <c r="F28" i="16"/>
  <c r="B31" i="29"/>
  <c r="B45" i="29" s="1"/>
  <c r="B69" i="27"/>
  <c r="B32" i="29"/>
  <c r="B46" i="29" s="1"/>
  <c r="B70" i="27"/>
  <c r="C32" i="29"/>
  <c r="C46" i="29" s="1"/>
  <c r="C70" i="27"/>
  <c r="A31" i="29"/>
  <c r="A45" i="29" s="1"/>
  <c r="A69" i="27"/>
  <c r="C31" i="29"/>
  <c r="C45" i="29" s="1"/>
  <c r="C69" i="27"/>
  <c r="A32" i="29"/>
  <c r="A46" i="29" s="1"/>
  <c r="A70" i="27"/>
  <c r="F82" i="27"/>
  <c r="F23" i="30"/>
  <c r="F30" i="29"/>
  <c r="F44" i="29" s="1"/>
  <c r="F67" i="27"/>
  <c r="F80" i="27" s="1"/>
  <c r="F68" i="27"/>
  <c r="A103" i="26"/>
  <c r="B103" i="26"/>
  <c r="C103" i="26"/>
  <c r="C18" i="14" s="1"/>
  <c r="A118" i="26"/>
  <c r="B118" i="26"/>
  <c r="C118" i="26"/>
  <c r="C35" i="14" s="1"/>
  <c r="A23" i="30" l="1"/>
  <c r="A82" i="27"/>
  <c r="C83" i="27"/>
  <c r="C24" i="30"/>
  <c r="B83" i="27"/>
  <c r="B24" i="30"/>
  <c r="C23" i="30"/>
  <c r="C82" i="27"/>
  <c r="B23" i="30"/>
  <c r="B82" i="27"/>
  <c r="A83" i="27"/>
  <c r="A24" i="30"/>
  <c r="F22" i="30"/>
  <c r="F81" i="27"/>
</calcChain>
</file>

<file path=xl/sharedStrings.xml><?xml version="1.0" encoding="utf-8"?>
<sst xmlns="http://schemas.openxmlformats.org/spreadsheetml/2006/main" count="1899" uniqueCount="254">
  <si>
    <t>Activity</t>
  </si>
  <si>
    <t>reference product</t>
  </si>
  <si>
    <t>location</t>
  </si>
  <si>
    <t>AU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</si>
  <si>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</si>
  <si>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</si>
  <si>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</si>
  <si>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</si>
  <si>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</si>
  <si>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</si>
  <si>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</si>
  <si>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</si>
  <si>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</si>
  <si>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</si>
  <si>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</si>
  <si>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</si>
  <si>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</si>
  <si>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</si>
  <si>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</si>
  <si>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</si>
  <si>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</si>
  <si>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technosphere</t>
  </si>
  <si>
    <t>(1,5,3,1,1)</t>
  </si>
  <si>
    <t>market for ammonium sulfate</t>
  </si>
  <si>
    <t>ammonium sulfate</t>
  </si>
  <si>
    <t>RoW</t>
  </si>
  <si>
    <t>market group for electricity, medium voltage</t>
  </si>
  <si>
    <t>electricity, medium voltage</t>
  </si>
  <si>
    <t>GLO</t>
  </si>
  <si>
    <t>kilowatt hour</t>
  </si>
  <si>
    <t>(4,5,4,5,5)</t>
  </si>
  <si>
    <t>market group for heat, district or industrial, natural gas</t>
  </si>
  <si>
    <t>heat, district or industrial, natural gas</t>
  </si>
  <si>
    <t>megajoule</t>
  </si>
  <si>
    <t>market for diesel, burned in building machine</t>
  </si>
  <si>
    <t>diesel, burned in building machine</t>
  </si>
  <si>
    <t>market for transport, freight, lorry &gt;32 metric ton, EURO6</t>
  </si>
  <si>
    <t>transport, freight, lorry &gt;32 metric ton, EURO6</t>
  </si>
  <si>
    <t>ton kilometer</t>
  </si>
  <si>
    <t>market for limestone, crushed, washed</t>
  </si>
  <si>
    <t>limestone, crushed, washed</t>
  </si>
  <si>
    <t>market for ammonia, anhydrous, liquid</t>
  </si>
  <si>
    <t>ammonia, anhydrous, liquid</t>
  </si>
  <si>
    <t>market for sulfur</t>
  </si>
  <si>
    <t>sulfur</t>
  </si>
  <si>
    <t>biosphere3</t>
  </si>
  <si>
    <t>biosphere</t>
  </si>
  <si>
    <t>natural resource::in ground</t>
  </si>
  <si>
    <t>Water, unspecified natural origin</t>
  </si>
  <si>
    <t>cubic meter</t>
  </si>
  <si>
    <t>(4.0,5.0,5.0,5.0,5.0)</t>
  </si>
  <si>
    <t>market for electricity, medium voltage</t>
  </si>
  <si>
    <t>market for natural gas, high pressure</t>
  </si>
  <si>
    <t>natural gas, high pressure</t>
  </si>
  <si>
    <t>(1.0,1.0,2.0,1.0,1.0)</t>
  </si>
  <si>
    <t>Cobalt</t>
  </si>
  <si>
    <t>market for hard coal</t>
  </si>
  <si>
    <t>hard coal</t>
  </si>
  <si>
    <t>market for compressed air, 800 kPa gauge</t>
  </si>
  <si>
    <t>compressed air, 800 kPa gauge</t>
  </si>
  <si>
    <t>market for activated silica</t>
  </si>
  <si>
    <t>activated silica</t>
  </si>
  <si>
    <t>market for coke</t>
  </si>
  <si>
    <t>coke</t>
  </si>
  <si>
    <t>market for hydrogen, gaseous, medium pressure, merchant</t>
  </si>
  <si>
    <t>hydrogen, gaseous, medium pressure, merchant</t>
  </si>
  <si>
    <t>market for sulfuric acid</t>
  </si>
  <si>
    <t>sulfuric acid</t>
  </si>
  <si>
    <t>market for sodium hydroxide, without water, in 50% solution state</t>
  </si>
  <si>
    <t>sodium hydroxide, without water, in 50% solution state</t>
  </si>
  <si>
    <t>market for chemical, inorganic</t>
  </si>
  <si>
    <t>chemical, inorganic</t>
  </si>
  <si>
    <t>market for wastewater, average</t>
  </si>
  <si>
    <t>wastewater, average</t>
  </si>
  <si>
    <t>Nitrogen</t>
  </si>
  <si>
    <t>tap water</t>
  </si>
  <si>
    <t>air</t>
  </si>
  <si>
    <t>ecoinvent 3.10 cutoff</t>
  </si>
  <si>
    <t>[M+C] Nickel (Ni) ore mining and concentration</t>
  </si>
  <si>
    <t>Ni concentrate</t>
  </si>
  <si>
    <t>market for heat, from steam, in chemical industry</t>
  </si>
  <si>
    <t>heat, from steam, in chemical industry</t>
  </si>
  <si>
    <t>market for hydrogen peroxide, without water, in 50% solution state</t>
  </si>
  <si>
    <t>hydrogen peroxide, without water, in 50% solution state</t>
  </si>
  <si>
    <t>market group for tap water</t>
  </si>
  <si>
    <t>Carbon dioxide, fossil</t>
  </si>
  <si>
    <t>Water</t>
  </si>
  <si>
    <t>market for iron(III) chloride, without water, in 40% solution state</t>
  </si>
  <si>
    <t>iron(III) chloride, without water, in 40% solution state</t>
  </si>
  <si>
    <t>[M+C+P+R] Cobalt (Co) production - High Pressure Acid Leaching (HPAL)</t>
  </si>
  <si>
    <t>Co</t>
  </si>
  <si>
    <t>Co recovery from laterite ore mining and Ni class 1 production in Australia from HPAL</t>
  </si>
  <si>
    <t>Activity expressed for 1 kg Co contained</t>
  </si>
  <si>
    <t>[P+R] Cobalt (Co) production - Flash Smelting</t>
  </si>
  <si>
    <t>Co recovery from sulfide ore mining and Ni class 1 production in Australia through Flash Smelting</t>
  </si>
  <si>
    <t>[P] Scrap oxidation</t>
  </si>
  <si>
    <t>Oxidized scrap</t>
  </si>
  <si>
    <t>RER</t>
  </si>
  <si>
    <t>(2.0,5.0,1.0,1.0,2.0)</t>
  </si>
  <si>
    <t>Oxygen</t>
  </si>
  <si>
    <t>[P] Alkali leaching</t>
  </si>
  <si>
    <t>market for inert waste, for final disposal</t>
  </si>
  <si>
    <t>inert waste, for final disposal</t>
  </si>
  <si>
    <t>Effluent treatment</t>
  </si>
  <si>
    <t>Wastewater</t>
  </si>
  <si>
    <t>market for lime</t>
  </si>
  <si>
    <t>lime</t>
  </si>
  <si>
    <t>Europe without Switzerland</t>
  </si>
  <si>
    <t>[P] Acid leaching</t>
  </si>
  <si>
    <t>Co solution</t>
  </si>
  <si>
    <t>[P] Cobalt (Co) solution purification</t>
  </si>
  <si>
    <t>[P] Co precipitation</t>
  </si>
  <si>
    <t>Co(OH)2</t>
  </si>
  <si>
    <t>Co(OH)2 production in Europe through hardmetal scrap recycling</t>
  </si>
  <si>
    <t>Co(OH)2 (Co content)</t>
  </si>
  <si>
    <r>
      <t xml:space="preserve">Allocated unit process, considering as allocation factors (AF): 85.6% for W (1 kg APT) and </t>
    </r>
    <r>
      <rPr>
        <b/>
        <sz val="11"/>
        <color theme="5"/>
        <rFont val="Calibri"/>
        <family val="2"/>
        <scheme val="minor"/>
      </rPr>
      <t>14.4% for Co (0.26 kg Co(OH)2).</t>
    </r>
  </si>
  <si>
    <t>Co(OH)2 production in Europe through hardmetal scrap recycling (Co content)</t>
  </si>
  <si>
    <t>Cu ore</t>
  </si>
  <si>
    <t>CD</t>
  </si>
  <si>
    <t>Particulate Matter, &gt; 2.5 um and &lt; 10um</t>
  </si>
  <si>
    <t>Particulate Matter, &lt; 2.5 um</t>
  </si>
  <si>
    <t>market for lime, packed</t>
  </si>
  <si>
    <t>lime, packed</t>
  </si>
  <si>
    <t>market for magnesium oxide</t>
  </si>
  <si>
    <t>magnesium oxide</t>
  </si>
  <si>
    <t>Sulfur oxides</t>
  </si>
  <si>
    <t>Cobalt (Co) global market</t>
  </si>
  <si>
    <t>Co commodities</t>
  </si>
  <si>
    <t>Cobalt (Co) global market (Co content)</t>
  </si>
  <si>
    <t>Co content</t>
  </si>
  <si>
    <r>
      <t xml:space="preserve">Allocated unit process, considering as allocation factors (AF): 84% for Ni (1 kg) and </t>
    </r>
    <r>
      <rPr>
        <b/>
        <sz val="11"/>
        <color theme="5"/>
        <rFont val="Calibri"/>
        <family val="2"/>
        <scheme val="minor"/>
      </rPr>
      <t>16% for Co (0.07 kg)</t>
    </r>
    <r>
      <rPr>
        <sz val="11"/>
        <color theme="5"/>
        <rFont val="Calibri"/>
        <family val="2"/>
        <scheme val="minor"/>
      </rPr>
      <t xml:space="preserve">. 
</t>
    </r>
    <r>
      <rPr>
        <sz val="11"/>
        <color rgb="FF7030A0"/>
        <rFont val="Calibri"/>
        <family val="2"/>
        <scheme val="minor"/>
      </rPr>
      <t>The co-produced ammonium sulfate is dealt through substitution.</t>
    </r>
  </si>
  <si>
    <r>
      <t xml:space="preserve">In the absence of detailed mass balance for this intermediary product, the reference flow of this unit process is set by default at 1 kg, while the input and ouput flows of the inventory are actually </t>
    </r>
    <r>
      <rPr>
        <b/>
        <sz val="11"/>
        <rFont val="Calibri"/>
        <family val="2"/>
        <scheme val="minor"/>
      </rPr>
      <t>scaled to 1 kg of Co</t>
    </r>
    <r>
      <rPr>
        <sz val="11"/>
        <rFont val="Calibri"/>
        <family val="2"/>
        <scheme val="minor"/>
      </rPr>
      <t xml:space="preserve">, as final output of this production route. </t>
    </r>
  </si>
  <si>
    <r>
      <t xml:space="preserve">Allocated unit process, considering as allocation factors (AF): 85% for Ni (1 kg) and </t>
    </r>
    <r>
      <rPr>
        <b/>
        <sz val="11"/>
        <color theme="5"/>
        <rFont val="Calibri"/>
        <family val="2"/>
        <scheme val="minor"/>
      </rPr>
      <t>15% for Co (0.016 kg)</t>
    </r>
    <r>
      <rPr>
        <sz val="11"/>
        <color theme="5"/>
        <rFont val="Calibri"/>
        <family val="2"/>
        <scheme val="minor"/>
      </rPr>
      <t>.</t>
    </r>
  </si>
  <si>
    <r>
      <t xml:space="preserve">Applied AF: "Ni concentrate" input = </t>
    </r>
    <r>
      <rPr>
        <b/>
        <sz val="11"/>
        <color theme="5"/>
        <rFont val="Calibri"/>
        <family val="2"/>
        <scheme val="minor"/>
      </rPr>
      <t>15%</t>
    </r>
    <r>
      <rPr>
        <sz val="11"/>
        <color theme="5"/>
        <rFont val="Calibri"/>
        <family val="2"/>
        <scheme val="minor"/>
      </rPr>
      <t>.</t>
    </r>
  </si>
  <si>
    <t>Cobalt (Co) sludge</t>
  </si>
  <si>
    <t>Cobalt hydroxide (Co(OH)2)</t>
  </si>
  <si>
    <r>
      <t xml:space="preserve">Applied AF: "Oxidized scrap" input = </t>
    </r>
    <r>
      <rPr>
        <b/>
        <sz val="11"/>
        <color theme="5"/>
        <rFont val="Calibri"/>
        <family val="2"/>
        <scheme val="minor"/>
      </rPr>
      <t>14.4%</t>
    </r>
    <r>
      <rPr>
        <sz val="11"/>
        <color theme="5"/>
        <rFont val="Calibri"/>
        <family val="2"/>
        <scheme val="minor"/>
      </rPr>
      <t>.</t>
    </r>
  </si>
  <si>
    <r>
      <rPr>
        <sz val="11"/>
        <rFont val="Calibri"/>
        <family val="2"/>
        <scheme val="minor"/>
      </rPr>
      <t xml:space="preserve">Activity expressed for 1 kg Co contained. </t>
    </r>
    <r>
      <rPr>
        <sz val="11"/>
        <color theme="5"/>
        <rFont val="Calibri"/>
        <family val="2"/>
        <scheme val="minor"/>
      </rPr>
      <t xml:space="preserve">
Applied AF: "Oxidized scrap" input = </t>
    </r>
    <r>
      <rPr>
        <b/>
        <sz val="11"/>
        <color theme="5"/>
        <rFont val="Calibri"/>
        <family val="2"/>
        <scheme val="minor"/>
      </rPr>
      <t>14.4%</t>
    </r>
    <r>
      <rPr>
        <sz val="11"/>
        <color theme="5"/>
        <rFont val="Calibri"/>
        <family val="2"/>
        <scheme val="minor"/>
      </rPr>
      <t>.</t>
    </r>
  </si>
  <si>
    <r>
      <t xml:space="preserve">Allocated unit process, considering as allocation factors (AF): 72% for Cu (1 kg) and </t>
    </r>
    <r>
      <rPr>
        <b/>
        <sz val="11"/>
        <color theme="5"/>
        <rFont val="Calibri"/>
        <family val="2"/>
        <scheme val="minor"/>
      </rPr>
      <t>28% for Co (0.08 kg)</t>
    </r>
    <r>
      <rPr>
        <sz val="11"/>
        <color theme="5"/>
        <rFont val="Calibri"/>
        <family val="2"/>
        <scheme val="minor"/>
      </rPr>
      <t>. MgO input is not subject to this allocation (only used for Co precipitation).</t>
    </r>
  </si>
  <si>
    <r>
      <t xml:space="preserve">Applied AF: "Cu ore" input = </t>
    </r>
    <r>
      <rPr>
        <b/>
        <sz val="11"/>
        <color theme="5"/>
        <rFont val="Calibri"/>
        <family val="2"/>
        <scheme val="minor"/>
      </rPr>
      <t>28%</t>
    </r>
    <r>
      <rPr>
        <sz val="11"/>
        <color theme="5"/>
        <rFont val="Calibri"/>
        <family val="2"/>
        <scheme val="minor"/>
      </rPr>
      <t>.</t>
    </r>
  </si>
  <si>
    <t>CoSO4</t>
  </si>
  <si>
    <t>CN</t>
  </si>
  <si>
    <t>market for transport, freight, lorry &gt;32 metric ton, EURO5</t>
  </si>
  <si>
    <t>transport, freight, lorry &gt;32 metric ton, EURO5</t>
  </si>
  <si>
    <t>(2,4,2,2,2)</t>
  </si>
  <si>
    <t>(1,2,1,1,1)</t>
  </si>
  <si>
    <t>market for soda ash, dense</t>
  </si>
  <si>
    <t>soda ash, dense</t>
  </si>
  <si>
    <t>market for hydrochloric acid, without water, in 30% solution state</t>
  </si>
  <si>
    <t>hydrochloric acid, without water, in 30% solution state</t>
  </si>
  <si>
    <t>(2,4,3,2,2)</t>
  </si>
  <si>
    <t>market for ammonium bicarbonate</t>
  </si>
  <si>
    <t>ammonium bicarbonate</t>
  </si>
  <si>
    <t>market for kerosene</t>
  </si>
  <si>
    <t>kerosene</t>
  </si>
  <si>
    <t>market for transport, pipeline, long distance, natural gas</t>
  </si>
  <si>
    <t>transport, pipeline, long distance, natural gas</t>
  </si>
  <si>
    <t>market for quicklime, milled, packed</t>
  </si>
  <si>
    <t>quicklime, milled, packed</t>
  </si>
  <si>
    <t>market for chemical, organic</t>
  </si>
  <si>
    <t>chemical, organic</t>
  </si>
  <si>
    <t>(4,4,2,3,4)</t>
  </si>
  <si>
    <t>market for sodium hydrosulfide</t>
  </si>
  <si>
    <t>sodium hydrosulfide</t>
  </si>
  <si>
    <t>market for light fuel oil</t>
  </si>
  <si>
    <t>light fuel oil</t>
  </si>
  <si>
    <t>market for steel, low-alloyed</t>
  </si>
  <si>
    <t>steel, low-alloyed</t>
  </si>
  <si>
    <t>market for building, multi-storey</t>
  </si>
  <si>
    <t>building, multi-storey</t>
  </si>
  <si>
    <t>market for sodium ethyl xanthate</t>
  </si>
  <si>
    <t>sodium ethyl xanthate</t>
  </si>
  <si>
    <t>market for t-butyl amine</t>
  </si>
  <si>
    <t>t-butyl amine</t>
  </si>
  <si>
    <t>market for sodium sulfite</t>
  </si>
  <si>
    <t>sodium sulfite</t>
  </si>
  <si>
    <t>market for sodium sulfide</t>
  </si>
  <si>
    <t>sodium sulfide</t>
  </si>
  <si>
    <t>market for oxalic acid</t>
  </si>
  <si>
    <t>oxalic acid</t>
  </si>
  <si>
    <t>treatment of inert waste, sanitary landfill</t>
  </si>
  <si>
    <t>inert waste</t>
  </si>
  <si>
    <t>(2,4,3,3,4)</t>
  </si>
  <si>
    <t>market for hazardous waste, for incineration</t>
  </si>
  <si>
    <t>hazardous waste, for incineration</t>
  </si>
  <si>
    <t>Occupation, mineral extraction site</t>
  </si>
  <si>
    <t>square meter-year</t>
  </si>
  <si>
    <t>natural resource::land</t>
  </si>
  <si>
    <t>(1,3,1,1,1)</t>
  </si>
  <si>
    <t>(1,4,3,2,2)</t>
  </si>
  <si>
    <t>Suspended solids, unspecified</t>
  </si>
  <si>
    <t>water</t>
  </si>
  <si>
    <t>(1,4,2,2,1)</t>
  </si>
  <si>
    <t>COD, Chemical Oxygen Demand</t>
  </si>
  <si>
    <t>Oils, unspecified</t>
  </si>
  <si>
    <t>Nickel II</t>
  </si>
  <si>
    <t>Arsenic ion</t>
  </si>
  <si>
    <t>Mercury II</t>
  </si>
  <si>
    <t>Cobalt II</t>
  </si>
  <si>
    <t>Copper ion</t>
  </si>
  <si>
    <t>Manganese II</t>
  </si>
  <si>
    <t>Zinc II</t>
  </si>
  <si>
    <t>Sulfide</t>
  </si>
  <si>
    <t>Sulfur dioxide</t>
  </si>
  <si>
    <t>Nitrogen oxides</t>
  </si>
  <si>
    <t>Hydrochloric acid</t>
  </si>
  <si>
    <t>Hydrogen sulfide</t>
  </si>
  <si>
    <t>Sulfuric acid</t>
  </si>
  <si>
    <t>soil</t>
  </si>
  <si>
    <t>Cadmium II</t>
  </si>
  <si>
    <t>Chromium III</t>
  </si>
  <si>
    <t>Ni/Cu/Co ore mining in China/Xinjiang and CoSO4 production in Southeastern China</t>
  </si>
  <si>
    <t>Ni/Cu/Co ore mining in China/Xinjiang and CoSO4 production in Southeastern China (Co content)</t>
  </si>
  <si>
    <t>CoSO4 (Co content)</t>
  </si>
  <si>
    <t>[M+C+P] Cobalt sulfate (CoSO4) production (Xinjiang)</t>
  </si>
  <si>
    <t>[M] Copper (Cu) ore mining (Cobalt production)</t>
  </si>
  <si>
    <t>[P] Cobalt sulfate (CoSO4) production (Tongxiang)</t>
  </si>
  <si>
    <t>(4.0,1.0,3.0,1.0,1.0)</t>
  </si>
  <si>
    <t>market for steam, in chemical industry</t>
  </si>
  <si>
    <t>steam, in chemical industry</t>
  </si>
  <si>
    <t>Cu/Co ore mining in DRC and CoSO4 production in China/Tongxiang</t>
  </si>
  <si>
    <t>[C+P] Cobalt hydroxide (Co(OH)2) production - Hydrometallurgy</t>
  </si>
  <si>
    <t>Cu/Co ore mining in DRC and CoSO4 production in China/Tongxiang (Co content)</t>
  </si>
  <si>
    <r>
      <rPr>
        <sz val="11"/>
        <rFont val="Calibri"/>
        <family val="2"/>
        <scheme val="minor"/>
      </rPr>
      <t>Activity expressed for 1 kg Co contained.</t>
    </r>
    <r>
      <rPr>
        <sz val="11"/>
        <color theme="5"/>
        <rFont val="Calibri"/>
        <family val="2"/>
        <scheme val="minor"/>
      </rPr>
      <t xml:space="preserve">
Applied AF: "Cu ore" input = </t>
    </r>
    <r>
      <rPr>
        <b/>
        <sz val="11"/>
        <color theme="5"/>
        <rFont val="Calibri"/>
        <family val="2"/>
        <scheme val="minor"/>
      </rPr>
      <t>28%</t>
    </r>
    <r>
      <rPr>
        <sz val="11"/>
        <color theme="5"/>
        <rFont val="Calibri"/>
        <family val="2"/>
        <scheme val="minor"/>
      </rPr>
      <t>.</t>
    </r>
  </si>
  <si>
    <t>[P] Cobalt (II,III) oxide (Co3O4) production (Quzhou)</t>
  </si>
  <si>
    <t>Co3O4</t>
  </si>
  <si>
    <t>(1,1,3,1,1)</t>
  </si>
  <si>
    <t>market for cobalt acetate</t>
  </si>
  <si>
    <t>cobalt acetate</t>
  </si>
  <si>
    <t>market for EDTA, ethylenediaminetetraacetic acid</t>
  </si>
  <si>
    <t>EDTA, ethylenediaminetetraacetic acid</t>
  </si>
  <si>
    <t>Cu/Co ore mining in DRC and Co3O4 production in China/Quzhou</t>
  </si>
  <si>
    <t>Cu/Co ore mining in DRC and Co3O4 production in China/Quzhou (Co content)</t>
  </si>
  <si>
    <t>Co3O4 (Co content)</t>
  </si>
  <si>
    <r>
      <t xml:space="preserve">Activity expressed for 1 kg Co contained.
</t>
    </r>
    <r>
      <rPr>
        <sz val="11"/>
        <color theme="5"/>
        <rFont val="Calibri"/>
        <family val="2"/>
        <scheme val="minor"/>
      </rPr>
      <t xml:space="preserve">Applied AF: "Cu ore" input = </t>
    </r>
    <r>
      <rPr>
        <b/>
        <sz val="11"/>
        <color theme="5"/>
        <rFont val="Calibri"/>
        <family val="2"/>
        <scheme val="minor"/>
      </rPr>
      <t>28%</t>
    </r>
    <r>
      <rPr>
        <sz val="11"/>
        <color theme="5"/>
        <rFont val="Calibri"/>
        <family val="2"/>
        <scheme val="minor"/>
      </rPr>
      <t>.</t>
    </r>
  </si>
  <si>
    <t>[R] Cobalt (Co) metal production</t>
  </si>
  <si>
    <t>Co metal</t>
  </si>
  <si>
    <t>(4,5,4,3,3)</t>
  </si>
  <si>
    <t>Cu/Co ore mining in DRC and Co production</t>
  </si>
  <si>
    <t>This unit process is allocated, but with unknown allocation factors (not provided in the original data source).</t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</si>
  <si>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</si>
  <si>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</si>
  <si>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</si>
  <si>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Cobalt (Co)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</si>
  <si>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Co global market</t>
  </si>
  <si>
    <t>Co_Market_GLO</t>
  </si>
  <si>
    <t>PR1_CoSO4_CN_Xinjiang</t>
  </si>
  <si>
    <t>PR4_Co_CD-CN-GLO</t>
  </si>
  <si>
    <t>PR3_Co3O4_CD-CN_Quzhou</t>
  </si>
  <si>
    <t>PR2_CoSO4_CD-CN_Tongxiang</t>
  </si>
  <si>
    <t>PR5_Co_AU_HPAL_Laterites</t>
  </si>
  <si>
    <t>PR6_Co_AU_FlashSmelting</t>
  </si>
  <si>
    <t>PR7_Co(OH)2_Europe_Recycling</t>
  </si>
  <si>
    <t>Europe witout 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</si>
</sst>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7">
    <xf numFmtId="0" fontId="0" fillId="0" borderId="0" xfId="0"/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11" fillId="0" borderId="4" xfId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11" fillId="0" borderId="4" xfId="1" quotePrefix="1" applyBorder="1" applyAlignment="1">
      <alignment horizontal="left" vertical="center"/>
    </xf>
    <xf numFmtId="0" fontId="11" fillId="0" borderId="6" xfId="1" quotePrefix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41"/>
  <sheetViews>
    <sheetView showGridLines="0" topLeftCell="A20" zoomScaleNormal="100" workbookViewId="0">
      <selection activeCell="B38" sqref="B38"/>
    </sheetView>
  </sheetViews>
  <sheetFormatPr baseColWidth="10" defaultRowHeight="15" x14ac:dyDescent="0.25"/>
  <cols>
    <col min="1" max="1" width="1.85546875" customWidth="1"/>
    <col min="2" max="2" width="31.85546875" bestFit="1" customWidth="1"/>
    <col min="3" max="3" width="11.42578125" customWidth="1"/>
  </cols>
  <sheetData>
    <row r="1" spans="1:17" ht="15.75" thickBot="1" x14ac:dyDescent="0.3">
      <c r="A1" t="s">
        <v>240</v>
      </c>
    </row>
    <row r="2" spans="1:17" ht="15" customHeight="1" x14ac:dyDescent="0.25">
      <c r="B2" s="28" t="s">
        <v>243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3"/>
    </row>
    <row r="5" spans="1:17" x14ac:dyDescent="0.25">
      <c r="B5" s="31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3"/>
    </row>
    <row r="6" spans="1:17" x14ac:dyDescent="0.25"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3"/>
    </row>
    <row r="7" spans="1:17" x14ac:dyDescent="0.25"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3"/>
    </row>
    <row r="8" spans="1:17" x14ac:dyDescent="0.25"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3"/>
    </row>
    <row r="9" spans="1:17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3"/>
    </row>
    <row r="10" spans="1:17" x14ac:dyDescent="0.25"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3"/>
    </row>
    <row r="11" spans="1:17" x14ac:dyDescent="0.25">
      <c r="B11" s="31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3"/>
    </row>
    <row r="12" spans="1:17" x14ac:dyDescent="0.25"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3"/>
    </row>
    <row r="13" spans="1:17" x14ac:dyDescent="0.25"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3"/>
    </row>
    <row r="14" spans="1:17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</row>
    <row r="15" spans="1:17" x14ac:dyDescent="0.25"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3"/>
    </row>
    <row r="16" spans="1:17" x14ac:dyDescent="0.25"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3"/>
    </row>
    <row r="17" spans="2:17" x14ac:dyDescent="0.25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3"/>
    </row>
    <row r="18" spans="2:17" x14ac:dyDescent="0.25"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3"/>
    </row>
    <row r="19" spans="2:17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3"/>
    </row>
    <row r="20" spans="2:17" x14ac:dyDescent="0.25"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3"/>
    </row>
    <row r="21" spans="2:17" x14ac:dyDescent="0.25"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3"/>
    </row>
    <row r="22" spans="2:17" x14ac:dyDescent="0.25"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3"/>
    </row>
    <row r="23" spans="2:17" x14ac:dyDescent="0.25"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3"/>
    </row>
    <row r="24" spans="2:17" ht="15" customHeight="1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3"/>
    </row>
    <row r="25" spans="2:17" x14ac:dyDescent="0.25"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3"/>
    </row>
    <row r="26" spans="2:17" x14ac:dyDescent="0.25"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3"/>
    </row>
    <row r="27" spans="2:17" x14ac:dyDescent="0.25"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3"/>
    </row>
    <row r="28" spans="2:17" x14ac:dyDescent="0.25"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3"/>
    </row>
    <row r="29" spans="2:17" x14ac:dyDescent="0.25"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3"/>
    </row>
    <row r="30" spans="2:17" x14ac:dyDescent="0.25"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3"/>
    </row>
    <row r="31" spans="2:17" ht="15.75" thickBot="1" x14ac:dyDescent="0.3">
      <c r="B31" s="34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6"/>
    </row>
    <row r="32" spans="2:17" ht="15.75" thickBot="1" x14ac:dyDescent="0.3"/>
    <row r="33" spans="2:11" x14ac:dyDescent="0.25">
      <c r="B33" s="16" t="s">
        <v>241</v>
      </c>
      <c r="C33" s="17" t="s">
        <v>242</v>
      </c>
      <c r="D33" s="18"/>
      <c r="E33" s="18"/>
      <c r="F33" s="18"/>
      <c r="G33" s="18"/>
      <c r="H33" s="18"/>
      <c r="I33" s="18"/>
      <c r="J33" s="18"/>
      <c r="K33" s="19"/>
    </row>
    <row r="34" spans="2:11" x14ac:dyDescent="0.25">
      <c r="B34" s="20" t="s">
        <v>245</v>
      </c>
      <c r="C34" s="4" t="s">
        <v>244</v>
      </c>
      <c r="D34" s="21"/>
      <c r="E34" s="21"/>
      <c r="F34" s="21"/>
      <c r="G34" s="21"/>
      <c r="H34" s="21"/>
      <c r="I34" s="21"/>
      <c r="J34" s="21"/>
      <c r="K34" s="22"/>
    </row>
    <row r="35" spans="2:11" x14ac:dyDescent="0.25">
      <c r="B35" s="20" t="s">
        <v>246</v>
      </c>
      <c r="C35" s="4" t="s">
        <v>211</v>
      </c>
      <c r="D35" s="21"/>
      <c r="E35" s="21"/>
      <c r="F35" s="21"/>
      <c r="G35" s="21"/>
      <c r="H35" s="21"/>
      <c r="I35" s="21"/>
      <c r="J35" s="21"/>
      <c r="K35" s="22"/>
    </row>
    <row r="36" spans="2:11" x14ac:dyDescent="0.25">
      <c r="B36" s="26" t="s">
        <v>249</v>
      </c>
      <c r="C36" s="4" t="s">
        <v>220</v>
      </c>
      <c r="D36" s="21"/>
      <c r="E36" s="21"/>
      <c r="F36" s="21"/>
      <c r="G36" s="21"/>
      <c r="H36" s="21"/>
      <c r="I36" s="21"/>
      <c r="J36" s="21"/>
      <c r="K36" s="22"/>
    </row>
    <row r="37" spans="2:11" x14ac:dyDescent="0.25">
      <c r="B37" s="26" t="s">
        <v>248</v>
      </c>
      <c r="C37" s="4" t="s">
        <v>231</v>
      </c>
      <c r="D37" s="21"/>
      <c r="E37" s="21"/>
      <c r="F37" s="21"/>
      <c r="G37" s="21"/>
      <c r="H37" s="21"/>
      <c r="I37" s="21"/>
      <c r="J37" s="21"/>
      <c r="K37" s="22"/>
    </row>
    <row r="38" spans="2:11" x14ac:dyDescent="0.25">
      <c r="B38" s="26" t="s">
        <v>247</v>
      </c>
      <c r="C38" s="4" t="s">
        <v>238</v>
      </c>
      <c r="D38" s="21"/>
      <c r="E38" s="21"/>
      <c r="F38" s="21"/>
      <c r="G38" s="21"/>
      <c r="H38" s="21"/>
      <c r="I38" s="21"/>
      <c r="J38" s="21"/>
      <c r="K38" s="22"/>
    </row>
    <row r="39" spans="2:11" x14ac:dyDescent="0.25">
      <c r="B39" s="20" t="s">
        <v>250</v>
      </c>
      <c r="C39" s="4" t="s">
        <v>91</v>
      </c>
      <c r="D39" s="21"/>
      <c r="E39" s="21"/>
      <c r="F39" s="21"/>
      <c r="G39" s="21"/>
      <c r="H39" s="21"/>
      <c r="I39" s="21"/>
      <c r="J39" s="21"/>
      <c r="K39" s="22"/>
    </row>
    <row r="40" spans="2:11" x14ac:dyDescent="0.25">
      <c r="B40" s="20" t="s">
        <v>251</v>
      </c>
      <c r="C40" s="4" t="s">
        <v>94</v>
      </c>
      <c r="D40" s="21"/>
      <c r="E40" s="21"/>
      <c r="F40" s="21"/>
      <c r="G40" s="21"/>
      <c r="H40" s="21"/>
      <c r="I40" s="21"/>
      <c r="J40" s="21"/>
      <c r="K40" s="22"/>
    </row>
    <row r="41" spans="2:11" ht="15.75" thickBot="1" x14ac:dyDescent="0.3">
      <c r="B41" s="27" t="s">
        <v>252</v>
      </c>
      <c r="C41" s="23" t="s">
        <v>113</v>
      </c>
      <c r="D41" s="24"/>
      <c r="E41" s="24"/>
      <c r="F41" s="24"/>
      <c r="G41" s="24"/>
      <c r="H41" s="24"/>
      <c r="I41" s="24"/>
      <c r="J41" s="24"/>
      <c r="K41" s="25"/>
    </row>
  </sheetData>
  <mergeCells count="1">
    <mergeCell ref="B2:Q31"/>
  </mergeCells>
  <hyperlinks>
    <hyperlink ref="B34" location="Co_Market_GLO!A1" display="Co_Market_GLO" xr:uid="{9E7321A7-2DAA-43AE-8DB3-2E4507585E1B}"/>
    <hyperlink ref="B35" location="PR1_CoSO4_CN_Xinjiang!A1" display="PR1_CoSO4_CN_Xinjiang" xr:uid="{688B4557-F80F-4EC3-89D0-80A35A85D64A}"/>
    <hyperlink ref="B36" location="'PR2_CoSO4_CD-CN_Tongxiang'!A1" display="'PR2_CoSO4_CD-CN_Tongxiang'" xr:uid="{29490933-A90D-4816-85A6-166CC7F6A9BD}"/>
    <hyperlink ref="B37" location="'PR3_Co3O4_CD-CN_Quzhou'!A1" display="'PR3_Co3O4_CD-CN_Quzhou'" xr:uid="{09E73C40-5244-4025-B5F8-7257F6DFD8CB}"/>
    <hyperlink ref="B38" location="'PR4_Co_CD-CN-GLO'!A1" display="'PR4_Co_CD-CN-GLO" xr:uid="{398FD8F3-413A-4281-8E1C-33887B2CB8E9}"/>
    <hyperlink ref="B39" location="PR5_Co_AU_HPAL_Laterites!A1" display="PR5_Co_AU_HPAL_Laterites" xr:uid="{A4A976F8-1803-40F0-BFB4-87780F09363B}"/>
    <hyperlink ref="B40" location="PR6_Co_AU_FlashSmelting!A1" display="PR6_Co_AU_FlashSmelting" xr:uid="{67C4EA85-4BF9-409A-98FD-9201EF1A5F71}"/>
    <hyperlink ref="B41" location="'PR7_Co(OH)2_Europe_Recycling'!A1" display="'PR7_Co(OH)2_Europe_Recycling" xr:uid="{9E4441AB-26D7-4DAF-98D3-F1B3B6373B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8CC1-28FA-402B-BD27-CFD297E4F9C6}">
  <sheetPr>
    <tabColor theme="8" tint="0.39997558519241921"/>
  </sheetPr>
  <dimension ref="A1:N35"/>
  <sheetViews>
    <sheetView workbookViewId="0">
      <selection activeCell="B3" sqref="B3"/>
    </sheetView>
  </sheetViews>
  <sheetFormatPr baseColWidth="10" defaultColWidth="10.85546875" defaultRowHeight="15" x14ac:dyDescent="0.25"/>
  <cols>
    <col min="1" max="1" width="88.28515625" style="4" bestFit="1" customWidth="1"/>
    <col min="2" max="2" width="36.85546875" style="4" bestFit="1" customWidth="1"/>
    <col min="3" max="3" width="24.7109375" style="4" bestFit="1" customWidth="1"/>
    <col min="4" max="4" width="12" style="4" bestFit="1" customWidth="1"/>
    <col min="5" max="5" width="8.7109375" style="4" bestFit="1" customWidth="1"/>
    <col min="6" max="6" width="9" style="4" bestFit="1" customWidth="1"/>
    <col min="7" max="7" width="13.28515625" style="4" bestFit="1" customWidth="1"/>
    <col min="8" max="8" width="10.140625" style="4" bestFit="1" customWidth="1"/>
    <col min="9" max="9" width="15.5703125" style="4" bestFit="1" customWidth="1"/>
    <col min="10" max="10" width="9" style="4" bestFit="1" customWidth="1"/>
    <col min="11" max="11" width="3.5703125" style="4" bestFit="1" customWidth="1"/>
    <col min="12" max="12" width="5.42578125" style="4" bestFit="1" customWidth="1"/>
    <col min="13" max="13" width="9.5703125" style="4" bestFit="1" customWidth="1"/>
    <col min="14" max="14" width="9.85546875" style="4" bestFit="1" customWidth="1"/>
    <col min="15" max="16384" width="10.85546875" style="4"/>
  </cols>
  <sheetData>
    <row r="1" spans="1:14" x14ac:dyDescent="0.25">
      <c r="A1" s="4" t="s">
        <v>11</v>
      </c>
      <c r="B1" s="6" t="s">
        <v>55</v>
      </c>
    </row>
    <row r="2" spans="1:14" s="9" customFormat="1" x14ac:dyDescent="0.25"/>
    <row r="3" spans="1:14" x14ac:dyDescent="0.25">
      <c r="A3" s="3" t="s">
        <v>0</v>
      </c>
      <c r="B3" s="3" t="s">
        <v>126</v>
      </c>
    </row>
    <row r="4" spans="1:14" x14ac:dyDescent="0.25">
      <c r="A4" s="5" t="s">
        <v>1</v>
      </c>
      <c r="B4" s="4" t="s">
        <v>127</v>
      </c>
    </row>
    <row r="5" spans="1:14" x14ac:dyDescent="0.25">
      <c r="A5" s="5" t="s">
        <v>2</v>
      </c>
      <c r="B5" s="4" t="s">
        <v>28</v>
      </c>
    </row>
    <row r="6" spans="1:14" x14ac:dyDescent="0.25">
      <c r="A6" s="5" t="s">
        <v>4</v>
      </c>
      <c r="B6" s="4">
        <v>1</v>
      </c>
    </row>
    <row r="7" spans="1:14" x14ac:dyDescent="0.25">
      <c r="A7" s="5" t="s">
        <v>5</v>
      </c>
      <c r="B7" s="4" t="s">
        <v>6</v>
      </c>
    </row>
    <row r="8" spans="1:14" x14ac:dyDescent="0.25">
      <c r="A8" s="5" t="s">
        <v>7</v>
      </c>
      <c r="B8" s="4" t="s">
        <v>8</v>
      </c>
    </row>
    <row r="9" spans="1:14" x14ac:dyDescent="0.25">
      <c r="A9" s="5" t="s">
        <v>9</v>
      </c>
    </row>
    <row r="10" spans="1:14" x14ac:dyDescent="0.25">
      <c r="A10" s="3" t="s">
        <v>10</v>
      </c>
      <c r="B10" s="3" t="s">
        <v>1</v>
      </c>
      <c r="C10" s="3" t="s">
        <v>2</v>
      </c>
      <c r="D10" s="3" t="s">
        <v>4</v>
      </c>
      <c r="E10" s="3" t="s">
        <v>5</v>
      </c>
      <c r="F10" s="3" t="s">
        <v>11</v>
      </c>
      <c r="G10" s="3" t="s">
        <v>12</v>
      </c>
      <c r="H10" s="3" t="s">
        <v>13</v>
      </c>
      <c r="I10" s="3" t="s">
        <v>14</v>
      </c>
      <c r="J10" s="3" t="s">
        <v>15</v>
      </c>
      <c r="K10" s="3" t="s">
        <v>16</v>
      </c>
      <c r="L10" s="3" t="s">
        <v>17</v>
      </c>
      <c r="M10" s="3" t="s">
        <v>18</v>
      </c>
      <c r="N10" s="3" t="s">
        <v>19</v>
      </c>
    </row>
    <row r="11" spans="1:14" x14ac:dyDescent="0.25">
      <c r="A11" s="4" t="str">
        <f>B3</f>
        <v>Cobalt (Co) global market</v>
      </c>
      <c r="B11" s="4" t="str">
        <f>B4</f>
        <v>Co commodities</v>
      </c>
      <c r="C11" s="4" t="str">
        <f>B5</f>
        <v>GLO</v>
      </c>
      <c r="D11" s="4">
        <v>1</v>
      </c>
      <c r="E11" s="4" t="str">
        <f>B7</f>
        <v>kilogram</v>
      </c>
      <c r="F11" s="6" t="str">
        <f>B1</f>
        <v>Cobalt</v>
      </c>
      <c r="G11" s="4" t="s">
        <v>20</v>
      </c>
    </row>
    <row r="12" spans="1:14" x14ac:dyDescent="0.25">
      <c r="A12" s="4" t="str">
        <f>PR1_CoSO4_CN_Xinjiang!A76</f>
        <v>Ni/Cu/Co ore mining in China/Xinjiang and CoSO4 production in Southeastern China</v>
      </c>
      <c r="B12" s="4" t="str">
        <f>PR1_CoSO4_CN_Xinjiang!B76</f>
        <v>CoSO4</v>
      </c>
      <c r="C12" s="4" t="str">
        <f>PR1_CoSO4_CN_Xinjiang!C76</f>
        <v>CN</v>
      </c>
      <c r="D12" s="4">
        <v>0.15164499389936367</v>
      </c>
      <c r="E12" s="4" t="str">
        <f>PR1_CoSO4_CN_Xinjiang!E76</f>
        <v>kilogram</v>
      </c>
      <c r="F12" s="6" t="str">
        <f>PR1_CoSO4_CN_Xinjiang!F76</f>
        <v>Cobalt</v>
      </c>
      <c r="G12" s="4" t="s">
        <v>21</v>
      </c>
    </row>
    <row r="13" spans="1:14" x14ac:dyDescent="0.25">
      <c r="A13" s="4" t="str">
        <f>'PR2_CoSO4_CD-CN_Tongxiang'!A67</f>
        <v>Cu/Co ore mining in DRC and CoSO4 production in China/Tongxiang</v>
      </c>
      <c r="B13" s="4" t="str">
        <f>'PR2_CoSO4_CD-CN_Tongxiang'!B67</f>
        <v>CoSO4</v>
      </c>
      <c r="C13" s="4" t="s">
        <v>141</v>
      </c>
      <c r="D13" s="4">
        <v>0.15164499389936367</v>
      </c>
      <c r="E13" s="4" t="str">
        <f>'PR2_CoSO4_CD-CN_Tongxiang'!E67</f>
        <v>kilogram</v>
      </c>
      <c r="F13" s="6" t="str">
        <f>'PR2_CoSO4_CD-CN_Tongxiang'!F67</f>
        <v>Cobalt</v>
      </c>
      <c r="G13" s="4" t="s">
        <v>21</v>
      </c>
    </row>
    <row r="14" spans="1:14" x14ac:dyDescent="0.25">
      <c r="A14" s="4" t="str">
        <f>'PR3_Co3O4_CD-CN_Quzhou'!A28</f>
        <v>Cu/Co ore mining in DRC and Co3O4 production in China/Quzhou</v>
      </c>
      <c r="B14" s="4" t="str">
        <f>'PR3_Co3O4_CD-CN_Quzhou'!B28</f>
        <v>Co3O4</v>
      </c>
      <c r="C14" s="4" t="s">
        <v>141</v>
      </c>
      <c r="D14" s="4">
        <v>0.15679843399801235</v>
      </c>
      <c r="E14" s="4" t="str">
        <f>'PR3_Co3O4_CD-CN_Quzhou'!E28</f>
        <v>kilogram</v>
      </c>
      <c r="F14" s="6" t="str">
        <f>'PR3_Co3O4_CD-CN_Quzhou'!F28</f>
        <v>Cobalt</v>
      </c>
      <c r="G14" s="4" t="s">
        <v>21</v>
      </c>
    </row>
    <row r="15" spans="1:14" x14ac:dyDescent="0.25">
      <c r="A15" s="4" t="str">
        <f>'PR4_Co_CD-CN-GLO'!A20</f>
        <v>Cu/Co ore mining in DRC and Co production</v>
      </c>
      <c r="B15" s="4" t="str">
        <f>'PR4_Co_CD-CN-GLO'!B20</f>
        <v>Co metal</v>
      </c>
      <c r="C15" s="4" t="s">
        <v>141</v>
      </c>
      <c r="D15" s="4">
        <v>0.5100041641971339</v>
      </c>
      <c r="E15" s="4" t="str">
        <f>'PR4_Co_CD-CN-GLO'!E20</f>
        <v>kilogram</v>
      </c>
      <c r="F15" s="6" t="str">
        <f>'PR4_Co_CD-CN-GLO'!F20</f>
        <v>Cobalt</v>
      </c>
      <c r="G15" s="4" t="s">
        <v>21</v>
      </c>
    </row>
    <row r="16" spans="1:14" x14ac:dyDescent="0.25">
      <c r="A16" s="4" t="str">
        <f>PR5_Co_AU_HPAL_Laterites!A28</f>
        <v>Co recovery from laterite ore mining and Ni class 1 production in Australia from HPAL</v>
      </c>
      <c r="B16" s="4" t="str">
        <f>PR5_Co_AU_HPAL_Laterites!B28</f>
        <v>Co</v>
      </c>
      <c r="C16" s="4" t="str">
        <f>PR5_Co_AU_HPAL_Laterites!C28</f>
        <v>AU</v>
      </c>
      <c r="D16" s="4">
        <v>3.5464534851859194E-3</v>
      </c>
      <c r="E16" s="4" t="str">
        <f>PR5_Co_AU_HPAL_Laterites!E28</f>
        <v>kilogram</v>
      </c>
      <c r="F16" s="6" t="str">
        <f>PR5_Co_AU_HPAL_Laterites!F28</f>
        <v>Cobalt</v>
      </c>
      <c r="G16" s="4" t="s">
        <v>21</v>
      </c>
    </row>
    <row r="17" spans="1:14" x14ac:dyDescent="0.25">
      <c r="A17" s="4" t="str">
        <f>PR6_Co_AU_FlashSmelting!A49</f>
        <v>Co recovery from sulfide ore mining and Ni class 1 production in Australia through Flash Smelting</v>
      </c>
      <c r="B17" s="4" t="str">
        <f>PR6_Co_AU_FlashSmelting!B49</f>
        <v>Co</v>
      </c>
      <c r="C17" s="4" t="str">
        <f>PR6_Co_AU_FlashSmelting!C49</f>
        <v>AU</v>
      </c>
      <c r="D17" s="4">
        <v>2.0096569749386877E-2</v>
      </c>
      <c r="E17" s="4" t="str">
        <f>PR6_Co_AU_FlashSmelting!E49</f>
        <v>kilogram</v>
      </c>
      <c r="F17" s="6" t="str">
        <f>PR6_Co_AU_FlashSmelting!F49</f>
        <v>Cobalt</v>
      </c>
      <c r="G17" s="4" t="s">
        <v>21</v>
      </c>
    </row>
    <row r="18" spans="1:14" x14ac:dyDescent="0.25">
      <c r="A18" s="4" t="str">
        <f>'PR7_Co(OH)2_Europe_Recycling'!A103</f>
        <v>Co(OH)2 production in Europe through hardmetal scrap recycling</v>
      </c>
      <c r="B18" s="4" t="str">
        <f>'PR7_Co(OH)2_Europe_Recycling'!B103</f>
        <v>Co(OH)2</v>
      </c>
      <c r="C18" s="4" t="str">
        <f>'PR7_Co(OH)2_Europe_Recycling'!C103</f>
        <v>Europe witout Switzerland</v>
      </c>
      <c r="D18" s="4">
        <v>6.2643907715534755E-3</v>
      </c>
      <c r="E18" s="4" t="str">
        <f>'PR7_Co(OH)2_Europe_Recycling'!E103</f>
        <v>kilogram</v>
      </c>
      <c r="F18" s="6" t="str">
        <f>'PR7_Co(OH)2_Europe_Recycling'!F103</f>
        <v>Cobalt</v>
      </c>
      <c r="G18" s="4" t="s">
        <v>21</v>
      </c>
    </row>
    <row r="19" spans="1:14" s="9" customFormat="1" x14ac:dyDescent="0.25"/>
    <row r="20" spans="1:14" x14ac:dyDescent="0.25">
      <c r="A20" s="3" t="s">
        <v>0</v>
      </c>
      <c r="B20" s="3" t="s">
        <v>128</v>
      </c>
    </row>
    <row r="21" spans="1:14" x14ac:dyDescent="0.25">
      <c r="A21" s="5" t="s">
        <v>1</v>
      </c>
      <c r="B21" s="4" t="s">
        <v>129</v>
      </c>
    </row>
    <row r="22" spans="1:14" x14ac:dyDescent="0.25">
      <c r="A22" s="5" t="s">
        <v>2</v>
      </c>
      <c r="B22" s="4" t="s">
        <v>28</v>
      </c>
    </row>
    <row r="23" spans="1:14" x14ac:dyDescent="0.25">
      <c r="A23" s="5" t="s">
        <v>4</v>
      </c>
      <c r="B23" s="4">
        <v>1</v>
      </c>
    </row>
    <row r="24" spans="1:14" x14ac:dyDescent="0.25">
      <c r="A24" s="5" t="s">
        <v>5</v>
      </c>
      <c r="B24" s="4" t="s">
        <v>6</v>
      </c>
    </row>
    <row r="25" spans="1:14" x14ac:dyDescent="0.25">
      <c r="A25" s="5" t="s">
        <v>7</v>
      </c>
      <c r="B25" s="10" t="s">
        <v>92</v>
      </c>
    </row>
    <row r="26" spans="1:14" x14ac:dyDescent="0.25">
      <c r="A26" s="5" t="s">
        <v>9</v>
      </c>
    </row>
    <row r="27" spans="1:14" x14ac:dyDescent="0.25">
      <c r="A27" s="3" t="s">
        <v>10</v>
      </c>
      <c r="B27" s="3" t="s">
        <v>1</v>
      </c>
      <c r="C27" s="3" t="s">
        <v>2</v>
      </c>
      <c r="D27" s="3" t="s">
        <v>4</v>
      </c>
      <c r="E27" s="3" t="s">
        <v>5</v>
      </c>
      <c r="F27" s="3" t="s">
        <v>11</v>
      </c>
      <c r="G27" s="3" t="s">
        <v>12</v>
      </c>
      <c r="H27" s="3" t="s">
        <v>13</v>
      </c>
      <c r="I27" s="3" t="s">
        <v>14</v>
      </c>
      <c r="J27" s="3" t="s">
        <v>15</v>
      </c>
      <c r="K27" s="3" t="s">
        <v>16</v>
      </c>
      <c r="L27" s="3" t="s">
        <v>17</v>
      </c>
      <c r="M27" s="3" t="s">
        <v>18</v>
      </c>
      <c r="N27" s="3" t="s">
        <v>19</v>
      </c>
    </row>
    <row r="28" spans="1:14" x14ac:dyDescent="0.25">
      <c r="A28" s="4" t="str">
        <f>B20</f>
        <v>Cobalt (Co) global market (Co content)</v>
      </c>
      <c r="B28" s="4" t="str">
        <f>B21</f>
        <v>Co content</v>
      </c>
      <c r="C28" s="4" t="str">
        <f>B22</f>
        <v>GLO</v>
      </c>
      <c r="D28" s="4">
        <v>1</v>
      </c>
      <c r="E28" s="4" t="str">
        <f>B24</f>
        <v>kilogram</v>
      </c>
      <c r="F28" s="6" t="str">
        <f>F11</f>
        <v>Cobalt</v>
      </c>
      <c r="G28" s="4" t="s">
        <v>20</v>
      </c>
    </row>
    <row r="29" spans="1:14" x14ac:dyDescent="0.25">
      <c r="A29" s="4" t="str">
        <f>PR1_CoSO4_CN_Xinjiang!A87</f>
        <v>Ni/Cu/Co ore mining in China/Xinjiang and CoSO4 production in Southeastern China (Co content)</v>
      </c>
      <c r="B29" s="4" t="str">
        <f>PR1_CoSO4_CN_Xinjiang!B87</f>
        <v>CoSO4 (Co content)</v>
      </c>
      <c r="C29" s="4" t="str">
        <f>PR1_CoSO4_CN_Xinjiang!C87</f>
        <v>CN</v>
      </c>
      <c r="D29" s="4">
        <v>0.15164499389936367</v>
      </c>
      <c r="E29" s="4" t="str">
        <f>PR1_CoSO4_CN_Xinjiang!E87</f>
        <v>kilogram</v>
      </c>
      <c r="F29" s="6" t="str">
        <f>PR1_CoSO4_CN_Xinjiang!F87</f>
        <v>Cobalt</v>
      </c>
      <c r="G29" s="4" t="s">
        <v>21</v>
      </c>
    </row>
    <row r="30" spans="1:14" x14ac:dyDescent="0.25">
      <c r="A30" s="4" t="str">
        <f>'PR2_CoSO4_CD-CN_Tongxiang'!A80</f>
        <v>Cu/Co ore mining in DRC and CoSO4 production in China/Tongxiang (Co content)</v>
      </c>
      <c r="B30" s="4" t="str">
        <f>'PR2_CoSO4_CD-CN_Tongxiang'!B80</f>
        <v>CoSO4 (Co content)</v>
      </c>
      <c r="C30" s="4" t="s">
        <v>141</v>
      </c>
      <c r="D30" s="4">
        <v>0.15164499389936367</v>
      </c>
      <c r="E30" s="4" t="str">
        <f>'PR2_CoSO4_CD-CN_Tongxiang'!E80</f>
        <v>kilogram</v>
      </c>
      <c r="F30" s="6" t="str">
        <f>'PR2_CoSO4_CD-CN_Tongxiang'!F80</f>
        <v>Cobalt</v>
      </c>
      <c r="G30" s="4" t="s">
        <v>21</v>
      </c>
    </row>
    <row r="31" spans="1:14" x14ac:dyDescent="0.25">
      <c r="A31" s="4" t="str">
        <f>'PR3_Co3O4_CD-CN_Quzhou'!A42</f>
        <v>Cu/Co ore mining in DRC and Co3O4 production in China/Quzhou (Co content)</v>
      </c>
      <c r="B31" s="4" t="str">
        <f>'PR3_Co3O4_CD-CN_Quzhou'!B42</f>
        <v>Co3O4 (Co content)</v>
      </c>
      <c r="C31" s="4" t="s">
        <v>141</v>
      </c>
      <c r="D31" s="4">
        <v>0.15679843399801235</v>
      </c>
      <c r="E31" s="4" t="str">
        <f>'PR3_Co3O4_CD-CN_Quzhou'!E42</f>
        <v>kilogram</v>
      </c>
      <c r="F31" s="6" t="str">
        <f>'PR3_Co3O4_CD-CN_Quzhou'!F42</f>
        <v>Cobalt</v>
      </c>
      <c r="G31" s="4" t="s">
        <v>21</v>
      </c>
    </row>
    <row r="32" spans="1:14" x14ac:dyDescent="0.25">
      <c r="A32" s="4" t="str">
        <f>'PR4_Co_CD-CN-GLO'!A20</f>
        <v>Cu/Co ore mining in DRC and Co production</v>
      </c>
      <c r="B32" s="4" t="str">
        <f>'PR4_Co_CD-CN-GLO'!B20</f>
        <v>Co metal</v>
      </c>
      <c r="C32" s="4" t="s">
        <v>141</v>
      </c>
      <c r="D32" s="4">
        <v>0.5100041641971339</v>
      </c>
      <c r="E32" s="4" t="str">
        <f>'PR4_Co_CD-CN-GLO'!E20</f>
        <v>kilogram</v>
      </c>
      <c r="F32" s="6" t="str">
        <f>'PR4_Co_CD-CN-GLO'!F20</f>
        <v>Cobalt</v>
      </c>
      <c r="G32" s="4" t="s">
        <v>21</v>
      </c>
    </row>
    <row r="33" spans="1:7" x14ac:dyDescent="0.25">
      <c r="A33" s="4" t="str">
        <f>+PR5_Co_AU_HPAL_Laterites!A28</f>
        <v>Co recovery from laterite ore mining and Ni class 1 production in Australia from HPAL</v>
      </c>
      <c r="B33" s="4" t="str">
        <f>+PR5_Co_AU_HPAL_Laterites!B28</f>
        <v>Co</v>
      </c>
      <c r="C33" s="4" t="str">
        <f>+PR5_Co_AU_HPAL_Laterites!C28</f>
        <v>AU</v>
      </c>
      <c r="D33" s="4">
        <v>3.5464534851859194E-3</v>
      </c>
      <c r="E33" s="4" t="str">
        <f>+PR5_Co_AU_HPAL_Laterites!E28</f>
        <v>kilogram</v>
      </c>
      <c r="F33" s="6" t="str">
        <f>+PR5_Co_AU_HPAL_Laterites!F28</f>
        <v>Cobalt</v>
      </c>
      <c r="G33" s="4" t="s">
        <v>21</v>
      </c>
    </row>
    <row r="34" spans="1:7" x14ac:dyDescent="0.25">
      <c r="A34" s="4" t="str">
        <f>PR6_Co_AU_FlashSmelting!A49</f>
        <v>Co recovery from sulfide ore mining and Ni class 1 production in Australia through Flash Smelting</v>
      </c>
      <c r="B34" s="4" t="str">
        <f>PR6_Co_AU_FlashSmelting!B49</f>
        <v>Co</v>
      </c>
      <c r="C34" s="4" t="str">
        <f>PR6_Co_AU_FlashSmelting!C49</f>
        <v>AU</v>
      </c>
      <c r="D34" s="4">
        <v>2.0096569749386877E-2</v>
      </c>
      <c r="E34" s="4" t="str">
        <f>PR6_Co_AU_FlashSmelting!E49</f>
        <v>kilogram</v>
      </c>
      <c r="F34" s="6" t="str">
        <f>PR6_Co_AU_FlashSmelting!F49</f>
        <v>Cobalt</v>
      </c>
      <c r="G34" s="4" t="s">
        <v>21</v>
      </c>
    </row>
    <row r="35" spans="1:7" x14ac:dyDescent="0.25">
      <c r="A35" s="4" t="str">
        <f>'PR7_Co(OH)2_Europe_Recycling'!A118</f>
        <v>Co(OH)2 production in Europe through hardmetal scrap recycling (Co content)</v>
      </c>
      <c r="B35" s="4" t="str">
        <f>'PR7_Co(OH)2_Europe_Recycling'!B118</f>
        <v>Co(OH)2 (Co content)</v>
      </c>
      <c r="C35" s="4" t="str">
        <f>'PR7_Co(OH)2_Europe_Recycling'!C118</f>
        <v>Europe witout Switzerland</v>
      </c>
      <c r="D35" s="4">
        <v>6.2643907715534755E-3</v>
      </c>
      <c r="E35" s="4" t="str">
        <f>'PR7_Co(OH)2_Europe_Recycling'!E118</f>
        <v>kilogram</v>
      </c>
      <c r="F35" s="6" t="str">
        <f>'PR7_Co(OH)2_Europe_Recycling'!F118</f>
        <v>Cobalt</v>
      </c>
      <c r="G35" s="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F48D-91E3-4C65-BF23-F34195E2AB29}">
  <sheetPr>
    <tabColor theme="8" tint="0.39997558519241921"/>
  </sheetPr>
  <dimension ref="A1:N88"/>
  <sheetViews>
    <sheetView topLeftCell="A36" workbookViewId="0">
      <selection activeCell="B92" sqref="B92"/>
    </sheetView>
  </sheetViews>
  <sheetFormatPr baseColWidth="10" defaultColWidth="9.140625" defaultRowHeight="15" x14ac:dyDescent="0.25"/>
  <cols>
    <col min="1" max="2" width="88.28515625" style="4" bestFit="1" customWidth="1"/>
    <col min="3" max="3" width="8.140625" style="4" bestFit="1" customWidth="1"/>
    <col min="4" max="4" width="12" style="4" bestFit="1" customWidth="1"/>
    <col min="5" max="5" width="17.5703125" style="4" bestFit="1" customWidth="1"/>
    <col min="6" max="6" width="19.7109375" style="4" bestFit="1" customWidth="1"/>
    <col min="7" max="7" width="13.28515625" style="4" bestFit="1" customWidth="1"/>
    <col min="8" max="8" width="25.28515625" style="4" bestFit="1" customWidth="1"/>
    <col min="9" max="9" width="15.5703125" style="4" bestFit="1" customWidth="1"/>
    <col min="10" max="10" width="9.7109375" style="4" bestFit="1" customWidth="1"/>
    <col min="11" max="11" width="3.5703125" style="4" bestFit="1" customWidth="1"/>
    <col min="12" max="12" width="5.42578125" style="4" bestFit="1" customWidth="1"/>
    <col min="13" max="13" width="9.5703125" style="4" bestFit="1" customWidth="1"/>
    <col min="14" max="14" width="9.85546875" style="4" bestFit="1" customWidth="1"/>
    <col min="15" max="16384" width="9.140625" style="4"/>
  </cols>
  <sheetData>
    <row r="1" spans="1:14" x14ac:dyDescent="0.25">
      <c r="A1" s="13" t="s">
        <v>0</v>
      </c>
      <c r="B1" s="3" t="s">
        <v>214</v>
      </c>
    </row>
    <row r="2" spans="1:14" x14ac:dyDescent="0.25">
      <c r="A2" s="5" t="s">
        <v>1</v>
      </c>
      <c r="B2" s="4" t="s">
        <v>140</v>
      </c>
    </row>
    <row r="3" spans="1:14" x14ac:dyDescent="0.25">
      <c r="A3" s="5" t="s">
        <v>2</v>
      </c>
      <c r="B3" s="4" t="s">
        <v>141</v>
      </c>
    </row>
    <row r="4" spans="1:14" x14ac:dyDescent="0.25">
      <c r="A4" s="5" t="s">
        <v>4</v>
      </c>
      <c r="B4" s="4">
        <v>1</v>
      </c>
    </row>
    <row r="5" spans="1:14" x14ac:dyDescent="0.25">
      <c r="A5" s="5" t="s">
        <v>5</v>
      </c>
      <c r="B5" s="4" t="s">
        <v>6</v>
      </c>
    </row>
    <row r="6" spans="1:14" ht="30" x14ac:dyDescent="0.25">
      <c r="A6" s="5" t="s">
        <v>7</v>
      </c>
      <c r="B6" s="1" t="s">
        <v>239</v>
      </c>
    </row>
    <row r="7" spans="1:14" x14ac:dyDescent="0.25">
      <c r="A7" s="5" t="s">
        <v>9</v>
      </c>
    </row>
    <row r="8" spans="1:14" x14ac:dyDescent="0.25">
      <c r="A8" s="13" t="s">
        <v>10</v>
      </c>
      <c r="B8" s="13" t="s">
        <v>1</v>
      </c>
      <c r="C8" s="13" t="s">
        <v>2</v>
      </c>
      <c r="D8" s="13" t="s">
        <v>4</v>
      </c>
      <c r="E8" s="13" t="s">
        <v>5</v>
      </c>
      <c r="F8" s="13" t="s">
        <v>11</v>
      </c>
      <c r="G8" s="13" t="s">
        <v>12</v>
      </c>
      <c r="H8" s="13" t="s">
        <v>13</v>
      </c>
      <c r="I8" s="13" t="s">
        <v>14</v>
      </c>
      <c r="J8" s="13" t="s">
        <v>15</v>
      </c>
      <c r="K8" s="13" t="s">
        <v>16</v>
      </c>
      <c r="L8" s="13" t="s">
        <v>17</v>
      </c>
      <c r="M8" s="13" t="s">
        <v>18</v>
      </c>
      <c r="N8" s="13" t="s">
        <v>19</v>
      </c>
    </row>
    <row r="9" spans="1:14" x14ac:dyDescent="0.25">
      <c r="A9" s="4" t="str">
        <f>B1</f>
        <v>[M+C+P] Cobalt sulfate (CoSO4) production (Xinjiang)</v>
      </c>
      <c r="B9" s="4" t="str">
        <f>B2</f>
        <v>CoSO4</v>
      </c>
      <c r="C9" s="4" t="str">
        <f>B3</f>
        <v>CN</v>
      </c>
      <c r="D9" s="4">
        <v>1</v>
      </c>
      <c r="E9" s="4" t="str">
        <f>B5</f>
        <v>kilogram</v>
      </c>
      <c r="F9" s="6" t="str">
        <f>Co_Market_GLO!B1</f>
        <v>Cobalt</v>
      </c>
      <c r="G9" s="4" t="s">
        <v>20</v>
      </c>
    </row>
    <row r="10" spans="1:14" x14ac:dyDescent="0.25">
      <c r="A10" s="4" t="s">
        <v>142</v>
      </c>
      <c r="B10" s="4" t="s">
        <v>143</v>
      </c>
      <c r="C10" s="4" t="s">
        <v>25</v>
      </c>
      <c r="D10" s="4">
        <v>1.5306599999999999</v>
      </c>
      <c r="E10" s="4" t="s">
        <v>38</v>
      </c>
      <c r="F10" s="4" t="s">
        <v>77</v>
      </c>
      <c r="G10" s="4" t="s">
        <v>21</v>
      </c>
      <c r="J10" s="4" t="s">
        <v>144</v>
      </c>
    </row>
    <row r="11" spans="1:14" x14ac:dyDescent="0.25">
      <c r="A11" s="4" t="s">
        <v>66</v>
      </c>
      <c r="B11" s="4" t="s">
        <v>67</v>
      </c>
      <c r="C11" s="4" t="s">
        <v>25</v>
      </c>
      <c r="D11" s="4">
        <v>0.38</v>
      </c>
      <c r="E11" s="4" t="s">
        <v>6</v>
      </c>
      <c r="F11" s="4" t="s">
        <v>77</v>
      </c>
      <c r="G11" s="4" t="s">
        <v>21</v>
      </c>
      <c r="J11" s="4" t="s">
        <v>145</v>
      </c>
    </row>
    <row r="12" spans="1:14" x14ac:dyDescent="0.25">
      <c r="A12" s="4" t="s">
        <v>146</v>
      </c>
      <c r="B12" s="4" t="s">
        <v>147</v>
      </c>
      <c r="C12" s="4" t="s">
        <v>28</v>
      </c>
      <c r="D12" s="4">
        <v>0.86</v>
      </c>
      <c r="E12" s="4" t="s">
        <v>6</v>
      </c>
      <c r="F12" s="4" t="s">
        <v>77</v>
      </c>
      <c r="G12" s="4" t="s">
        <v>21</v>
      </c>
      <c r="J12" s="4" t="s">
        <v>145</v>
      </c>
    </row>
    <row r="13" spans="1:14" x14ac:dyDescent="0.25">
      <c r="A13" s="4" t="s">
        <v>39</v>
      </c>
      <c r="B13" s="4" t="s">
        <v>40</v>
      </c>
      <c r="C13" s="4" t="s">
        <v>25</v>
      </c>
      <c r="D13" s="4">
        <v>0.05</v>
      </c>
      <c r="E13" s="4" t="s">
        <v>6</v>
      </c>
      <c r="F13" s="4" t="s">
        <v>77</v>
      </c>
      <c r="G13" s="4" t="s">
        <v>21</v>
      </c>
      <c r="J13" s="4" t="s">
        <v>145</v>
      </c>
    </row>
    <row r="14" spans="1:14" x14ac:dyDescent="0.25">
      <c r="A14" s="4" t="s">
        <v>148</v>
      </c>
      <c r="B14" s="4" t="s">
        <v>149</v>
      </c>
      <c r="C14" s="4" t="s">
        <v>25</v>
      </c>
      <c r="D14" s="4">
        <v>1.19</v>
      </c>
      <c r="E14" s="4" t="s">
        <v>6</v>
      </c>
      <c r="F14" s="4" t="s">
        <v>77</v>
      </c>
      <c r="G14" s="4" t="s">
        <v>21</v>
      </c>
      <c r="J14" s="4" t="s">
        <v>145</v>
      </c>
    </row>
    <row r="15" spans="1:14" x14ac:dyDescent="0.25">
      <c r="A15" s="4" t="s">
        <v>68</v>
      </c>
      <c r="B15" s="4" t="s">
        <v>69</v>
      </c>
      <c r="C15" s="4" t="s">
        <v>25</v>
      </c>
      <c r="D15" s="4">
        <v>0.4</v>
      </c>
      <c r="E15" s="4" t="s">
        <v>6</v>
      </c>
      <c r="F15" s="4" t="s">
        <v>77</v>
      </c>
      <c r="G15" s="4" t="s">
        <v>21</v>
      </c>
      <c r="J15" s="4" t="s">
        <v>150</v>
      </c>
    </row>
    <row r="16" spans="1:14" x14ac:dyDescent="0.25">
      <c r="A16" s="4" t="s">
        <v>41</v>
      </c>
      <c r="B16" s="4" t="s">
        <v>42</v>
      </c>
      <c r="C16" s="4" t="s">
        <v>25</v>
      </c>
      <c r="D16" s="4">
        <v>7.6E-3</v>
      </c>
      <c r="E16" s="4" t="s">
        <v>6</v>
      </c>
      <c r="F16" s="4" t="s">
        <v>77</v>
      </c>
      <c r="G16" s="4" t="s">
        <v>21</v>
      </c>
      <c r="J16" s="4" t="s">
        <v>145</v>
      </c>
    </row>
    <row r="17" spans="1:10" x14ac:dyDescent="0.25">
      <c r="A17" s="4" t="s">
        <v>151</v>
      </c>
      <c r="B17" s="4" t="s">
        <v>152</v>
      </c>
      <c r="C17" s="4" t="s">
        <v>25</v>
      </c>
      <c r="D17" s="4">
        <v>0.24</v>
      </c>
      <c r="E17" s="4" t="s">
        <v>6</v>
      </c>
      <c r="F17" s="4" t="s">
        <v>77</v>
      </c>
      <c r="G17" s="4" t="s">
        <v>21</v>
      </c>
      <c r="J17" s="4" t="s">
        <v>145</v>
      </c>
    </row>
    <row r="18" spans="1:10" x14ac:dyDescent="0.25">
      <c r="A18" s="4" t="s">
        <v>153</v>
      </c>
      <c r="B18" s="4" t="s">
        <v>154</v>
      </c>
      <c r="C18" s="4" t="s">
        <v>25</v>
      </c>
      <c r="D18" s="4">
        <v>5.13E-3</v>
      </c>
      <c r="E18" s="4" t="s">
        <v>6</v>
      </c>
      <c r="F18" s="4" t="s">
        <v>77</v>
      </c>
      <c r="G18" s="4" t="s">
        <v>21</v>
      </c>
      <c r="J18" s="4" t="s">
        <v>145</v>
      </c>
    </row>
    <row r="19" spans="1:10" x14ac:dyDescent="0.25">
      <c r="A19" s="4" t="s">
        <v>26</v>
      </c>
      <c r="B19" s="4" t="s">
        <v>27</v>
      </c>
      <c r="C19" s="4" t="s">
        <v>141</v>
      </c>
      <c r="D19" s="4">
        <v>11.5245</v>
      </c>
      <c r="E19" s="4" t="s">
        <v>29</v>
      </c>
      <c r="F19" s="4" t="s">
        <v>77</v>
      </c>
      <c r="G19" s="4" t="s">
        <v>21</v>
      </c>
      <c r="J19" s="4" t="s">
        <v>150</v>
      </c>
    </row>
    <row r="20" spans="1:10" x14ac:dyDescent="0.25">
      <c r="A20" s="4" t="s">
        <v>155</v>
      </c>
      <c r="B20" s="4" t="s">
        <v>156</v>
      </c>
      <c r="C20" s="4" t="s">
        <v>25</v>
      </c>
      <c r="D20" s="4">
        <v>7.1109999999999993E-2</v>
      </c>
      <c r="E20" s="4" t="s">
        <v>38</v>
      </c>
      <c r="F20" s="4" t="s">
        <v>77</v>
      </c>
      <c r="G20" s="4" t="s">
        <v>21</v>
      </c>
      <c r="J20" s="4" t="s">
        <v>145</v>
      </c>
    </row>
    <row r="21" spans="1:10" x14ac:dyDescent="0.25">
      <c r="A21" s="4" t="s">
        <v>157</v>
      </c>
      <c r="B21" s="4" t="s">
        <v>158</v>
      </c>
      <c r="C21" s="4" t="s">
        <v>25</v>
      </c>
      <c r="D21" s="4">
        <v>0.51</v>
      </c>
      <c r="E21" s="4" t="s">
        <v>6</v>
      </c>
      <c r="F21" s="4" t="s">
        <v>77</v>
      </c>
      <c r="G21" s="4" t="s">
        <v>21</v>
      </c>
      <c r="J21" s="4" t="s">
        <v>145</v>
      </c>
    </row>
    <row r="22" spans="1:10" x14ac:dyDescent="0.25">
      <c r="A22" s="4" t="s">
        <v>159</v>
      </c>
      <c r="B22" s="4" t="s">
        <v>160</v>
      </c>
      <c r="C22" s="4" t="s">
        <v>28</v>
      </c>
      <c r="D22" s="4">
        <v>2.5699999999999998E-3</v>
      </c>
      <c r="E22" s="4" t="s">
        <v>6</v>
      </c>
      <c r="F22" s="4" t="s">
        <v>77</v>
      </c>
      <c r="G22" s="4" t="s">
        <v>21</v>
      </c>
      <c r="J22" s="4" t="s">
        <v>161</v>
      </c>
    </row>
    <row r="23" spans="1:10" x14ac:dyDescent="0.25">
      <c r="A23" s="4" t="s">
        <v>70</v>
      </c>
      <c r="B23" s="4" t="s">
        <v>71</v>
      </c>
      <c r="C23" s="4" t="s">
        <v>28</v>
      </c>
      <c r="D23" s="4">
        <v>2.5699999999999998E-3</v>
      </c>
      <c r="E23" s="4" t="s">
        <v>6</v>
      </c>
      <c r="F23" s="4" t="s">
        <v>77</v>
      </c>
      <c r="G23" s="4" t="s">
        <v>21</v>
      </c>
      <c r="J23" s="4" t="s">
        <v>161</v>
      </c>
    </row>
    <row r="24" spans="1:10" x14ac:dyDescent="0.25">
      <c r="A24" s="4" t="s">
        <v>159</v>
      </c>
      <c r="B24" s="4" t="s">
        <v>160</v>
      </c>
      <c r="C24" s="4" t="s">
        <v>28</v>
      </c>
      <c r="D24" s="4">
        <v>1.03E-2</v>
      </c>
      <c r="E24" s="4" t="s">
        <v>6</v>
      </c>
      <c r="F24" s="4" t="s">
        <v>77</v>
      </c>
      <c r="G24" s="4" t="s">
        <v>21</v>
      </c>
      <c r="J24" s="4" t="s">
        <v>161</v>
      </c>
    </row>
    <row r="25" spans="1:10" x14ac:dyDescent="0.25">
      <c r="A25" s="4" t="s">
        <v>162</v>
      </c>
      <c r="B25" s="4" t="s">
        <v>163</v>
      </c>
      <c r="C25" s="4" t="s">
        <v>28</v>
      </c>
      <c r="D25" s="4">
        <v>7.3499999999999998E-3</v>
      </c>
      <c r="E25" s="4" t="s">
        <v>6</v>
      </c>
      <c r="F25" s="4" t="s">
        <v>77</v>
      </c>
      <c r="G25" s="4" t="s">
        <v>21</v>
      </c>
      <c r="J25" s="4" t="s">
        <v>161</v>
      </c>
    </row>
    <row r="26" spans="1:10" x14ac:dyDescent="0.25">
      <c r="A26" s="4" t="s">
        <v>164</v>
      </c>
      <c r="B26" s="4" t="s">
        <v>165</v>
      </c>
      <c r="C26" s="4" t="s">
        <v>25</v>
      </c>
      <c r="D26" s="4">
        <v>4.1730000000000003E-2</v>
      </c>
      <c r="E26" s="4" t="s">
        <v>6</v>
      </c>
      <c r="F26" s="4" t="s">
        <v>77</v>
      </c>
      <c r="G26" s="4" t="s">
        <v>21</v>
      </c>
      <c r="J26" s="4" t="s">
        <v>150</v>
      </c>
    </row>
    <row r="27" spans="1:10" x14ac:dyDescent="0.25">
      <c r="A27" s="4" t="s">
        <v>166</v>
      </c>
      <c r="B27" s="4" t="s">
        <v>167</v>
      </c>
      <c r="C27" s="4" t="s">
        <v>28</v>
      </c>
      <c r="D27" s="4">
        <v>0.84</v>
      </c>
      <c r="E27" s="4" t="s">
        <v>6</v>
      </c>
      <c r="F27" s="4" t="s">
        <v>77</v>
      </c>
      <c r="G27" s="4" t="s">
        <v>21</v>
      </c>
      <c r="J27" s="4" t="s">
        <v>150</v>
      </c>
    </row>
    <row r="28" spans="1:10" x14ac:dyDescent="0.25">
      <c r="A28" s="4" t="s">
        <v>56</v>
      </c>
      <c r="B28" s="4" t="s">
        <v>57</v>
      </c>
      <c r="C28" s="4" t="s">
        <v>25</v>
      </c>
      <c r="D28" s="4">
        <v>2.65</v>
      </c>
      <c r="E28" s="4" t="s">
        <v>6</v>
      </c>
      <c r="F28" s="4" t="s">
        <v>77</v>
      </c>
      <c r="G28" s="4" t="s">
        <v>21</v>
      </c>
      <c r="J28" s="4" t="s">
        <v>150</v>
      </c>
    </row>
    <row r="29" spans="1:10" x14ac:dyDescent="0.25">
      <c r="A29" s="4" t="s">
        <v>168</v>
      </c>
      <c r="B29" s="4" t="s">
        <v>169</v>
      </c>
      <c r="C29" s="4" t="s">
        <v>28</v>
      </c>
      <c r="D29" s="4">
        <v>1.32E-3</v>
      </c>
      <c r="E29" s="4" t="s">
        <v>49</v>
      </c>
      <c r="F29" s="4" t="s">
        <v>77</v>
      </c>
      <c r="G29" s="4" t="s">
        <v>21</v>
      </c>
      <c r="J29" s="4" t="s">
        <v>150</v>
      </c>
    </row>
    <row r="30" spans="1:10" x14ac:dyDescent="0.25">
      <c r="A30" s="4" t="s">
        <v>170</v>
      </c>
      <c r="B30" s="4" t="s">
        <v>171</v>
      </c>
      <c r="C30" s="4" t="s">
        <v>28</v>
      </c>
      <c r="D30" s="4">
        <v>0.15</v>
      </c>
      <c r="E30" s="4" t="s">
        <v>6</v>
      </c>
      <c r="F30" s="4" t="s">
        <v>77</v>
      </c>
      <c r="G30" s="4" t="s">
        <v>21</v>
      </c>
      <c r="J30" s="4" t="s">
        <v>150</v>
      </c>
    </row>
    <row r="31" spans="1:10" x14ac:dyDescent="0.25">
      <c r="A31" s="4" t="s">
        <v>172</v>
      </c>
      <c r="B31" s="4" t="s">
        <v>173</v>
      </c>
      <c r="C31" s="4" t="s">
        <v>28</v>
      </c>
      <c r="D31" s="4">
        <v>8.7500000000000008E-3</v>
      </c>
      <c r="E31" s="4" t="s">
        <v>6</v>
      </c>
      <c r="F31" s="4" t="s">
        <v>77</v>
      </c>
      <c r="G31" s="4" t="s">
        <v>21</v>
      </c>
      <c r="J31" s="4" t="s">
        <v>150</v>
      </c>
    </row>
    <row r="32" spans="1:10" x14ac:dyDescent="0.25">
      <c r="A32" s="4" t="s">
        <v>174</v>
      </c>
      <c r="B32" s="4" t="s">
        <v>175</v>
      </c>
      <c r="C32" s="4" t="s">
        <v>25</v>
      </c>
      <c r="D32" s="4">
        <v>0.11090999999999999</v>
      </c>
      <c r="E32" s="4" t="s">
        <v>6</v>
      </c>
      <c r="F32" s="4" t="s">
        <v>77</v>
      </c>
      <c r="G32" s="4" t="s">
        <v>21</v>
      </c>
      <c r="J32" s="4" t="s">
        <v>150</v>
      </c>
    </row>
    <row r="33" spans="1:10" x14ac:dyDescent="0.25">
      <c r="A33" s="4" t="s">
        <v>176</v>
      </c>
      <c r="B33" s="4" t="s">
        <v>177</v>
      </c>
      <c r="C33" s="4" t="s">
        <v>28</v>
      </c>
      <c r="D33" s="4">
        <v>1.2449999999999999E-2</v>
      </c>
      <c r="E33" s="4" t="s">
        <v>6</v>
      </c>
      <c r="F33" s="4" t="s">
        <v>77</v>
      </c>
      <c r="G33" s="4" t="s">
        <v>21</v>
      </c>
      <c r="J33" s="4" t="s">
        <v>150</v>
      </c>
    </row>
    <row r="34" spans="1:10" x14ac:dyDescent="0.25">
      <c r="A34" s="4" t="s">
        <v>178</v>
      </c>
      <c r="B34" s="4" t="s">
        <v>179</v>
      </c>
      <c r="C34" s="4" t="s">
        <v>28</v>
      </c>
      <c r="D34" s="4">
        <v>1.898E-2</v>
      </c>
      <c r="E34" s="4" t="s">
        <v>6</v>
      </c>
      <c r="F34" s="4" t="s">
        <v>77</v>
      </c>
      <c r="G34" s="4" t="s">
        <v>21</v>
      </c>
      <c r="J34" s="4" t="s">
        <v>150</v>
      </c>
    </row>
    <row r="35" spans="1:10" x14ac:dyDescent="0.25">
      <c r="A35" s="4" t="s">
        <v>70</v>
      </c>
      <c r="B35" s="4" t="s">
        <v>71</v>
      </c>
      <c r="C35" s="4" t="s">
        <v>28</v>
      </c>
      <c r="D35" s="4">
        <v>1.01E-3</v>
      </c>
      <c r="E35" s="4" t="s">
        <v>6</v>
      </c>
      <c r="F35" s="4" t="s">
        <v>77</v>
      </c>
      <c r="G35" s="4" t="s">
        <v>21</v>
      </c>
      <c r="J35" s="4" t="s">
        <v>150</v>
      </c>
    </row>
    <row r="36" spans="1:10" x14ac:dyDescent="0.25">
      <c r="A36" s="4" t="s">
        <v>70</v>
      </c>
      <c r="B36" s="4" t="s">
        <v>71</v>
      </c>
      <c r="C36" s="4" t="s">
        <v>28</v>
      </c>
      <c r="D36" s="4">
        <v>5.9999999999999995E-4</v>
      </c>
      <c r="E36" s="4" t="s">
        <v>6</v>
      </c>
      <c r="F36" s="4" t="s">
        <v>77</v>
      </c>
      <c r="G36" s="4" t="s">
        <v>21</v>
      </c>
      <c r="J36" s="4" t="s">
        <v>150</v>
      </c>
    </row>
    <row r="37" spans="1:10" x14ac:dyDescent="0.25">
      <c r="A37" s="4" t="s">
        <v>70</v>
      </c>
      <c r="B37" s="4" t="s">
        <v>71</v>
      </c>
      <c r="C37" s="4" t="s">
        <v>28</v>
      </c>
      <c r="D37" s="4">
        <v>1.1999999999999999E-3</v>
      </c>
      <c r="E37" s="4" t="s">
        <v>6</v>
      </c>
      <c r="F37" s="4" t="s">
        <v>77</v>
      </c>
      <c r="G37" s="4" t="s">
        <v>21</v>
      </c>
      <c r="J37" s="4" t="s">
        <v>150</v>
      </c>
    </row>
    <row r="38" spans="1:10" x14ac:dyDescent="0.25">
      <c r="A38" s="4" t="s">
        <v>72</v>
      </c>
      <c r="B38" s="4" t="s">
        <v>73</v>
      </c>
      <c r="C38" s="4" t="s">
        <v>25</v>
      </c>
      <c r="D38" s="4">
        <v>-1.494E-2</v>
      </c>
      <c r="E38" s="4" t="s">
        <v>49</v>
      </c>
      <c r="F38" s="4" t="s">
        <v>77</v>
      </c>
      <c r="G38" s="4" t="s">
        <v>21</v>
      </c>
      <c r="J38" s="4" t="s">
        <v>150</v>
      </c>
    </row>
    <row r="39" spans="1:10" x14ac:dyDescent="0.25">
      <c r="A39" s="4" t="s">
        <v>180</v>
      </c>
      <c r="B39" s="4" t="s">
        <v>181</v>
      </c>
      <c r="C39" s="4" t="s">
        <v>25</v>
      </c>
      <c r="D39" s="4">
        <v>-4.3899999999999998E-3</v>
      </c>
      <c r="E39" s="4" t="s">
        <v>6</v>
      </c>
      <c r="F39" s="4" t="s">
        <v>77</v>
      </c>
      <c r="G39" s="4" t="s">
        <v>21</v>
      </c>
      <c r="J39" s="4" t="s">
        <v>182</v>
      </c>
    </row>
    <row r="40" spans="1:10" x14ac:dyDescent="0.25">
      <c r="A40" s="4" t="s">
        <v>183</v>
      </c>
      <c r="B40" s="4" t="s">
        <v>184</v>
      </c>
      <c r="C40" s="4" t="s">
        <v>25</v>
      </c>
      <c r="D40" s="4">
        <v>-1.06E-3</v>
      </c>
      <c r="E40" s="4" t="s">
        <v>6</v>
      </c>
      <c r="F40" s="4" t="s">
        <v>77</v>
      </c>
      <c r="G40" s="4" t="s">
        <v>21</v>
      </c>
      <c r="J40" s="4" t="s">
        <v>182</v>
      </c>
    </row>
    <row r="41" spans="1:10" x14ac:dyDescent="0.25">
      <c r="A41" s="4" t="s">
        <v>185</v>
      </c>
      <c r="D41" s="4">
        <v>2.223E-2</v>
      </c>
      <c r="E41" s="4" t="s">
        <v>186</v>
      </c>
      <c r="F41" s="4" t="s">
        <v>45</v>
      </c>
      <c r="G41" s="4" t="s">
        <v>46</v>
      </c>
      <c r="H41" s="4" t="s">
        <v>187</v>
      </c>
      <c r="J41" s="4" t="s">
        <v>188</v>
      </c>
    </row>
    <row r="42" spans="1:10" x14ac:dyDescent="0.25">
      <c r="A42" s="4" t="s">
        <v>55</v>
      </c>
      <c r="D42" s="4">
        <v>0.21</v>
      </c>
      <c r="E42" s="4" t="s">
        <v>6</v>
      </c>
      <c r="F42" s="4" t="s">
        <v>45</v>
      </c>
      <c r="G42" s="4" t="s">
        <v>46</v>
      </c>
      <c r="H42" s="4" t="s">
        <v>47</v>
      </c>
      <c r="J42" s="4" t="s">
        <v>189</v>
      </c>
    </row>
    <row r="43" spans="1:10" x14ac:dyDescent="0.25">
      <c r="A43" s="4" t="s">
        <v>48</v>
      </c>
      <c r="D43" s="4">
        <v>0.10414</v>
      </c>
      <c r="E43" s="4" t="s">
        <v>49</v>
      </c>
      <c r="F43" s="4" t="s">
        <v>45</v>
      </c>
      <c r="G43" s="4" t="s">
        <v>46</v>
      </c>
      <c r="H43" s="4" t="s">
        <v>47</v>
      </c>
      <c r="J43" s="4" t="s">
        <v>145</v>
      </c>
    </row>
    <row r="44" spans="1:10" x14ac:dyDescent="0.25">
      <c r="A44" s="4" t="s">
        <v>190</v>
      </c>
      <c r="D44" s="4">
        <v>4.2009999999999999E-5</v>
      </c>
      <c r="E44" s="4" t="s">
        <v>6</v>
      </c>
      <c r="F44" s="4" t="s">
        <v>45</v>
      </c>
      <c r="G44" s="4" t="s">
        <v>46</v>
      </c>
      <c r="H44" s="4" t="s">
        <v>191</v>
      </c>
      <c r="J44" s="4" t="s">
        <v>192</v>
      </c>
    </row>
    <row r="45" spans="1:10" x14ac:dyDescent="0.25">
      <c r="A45" s="4" t="s">
        <v>193</v>
      </c>
      <c r="D45" s="4">
        <v>7.3300000000000006E-5</v>
      </c>
      <c r="E45" s="4" t="s">
        <v>6</v>
      </c>
      <c r="F45" s="4" t="s">
        <v>45</v>
      </c>
      <c r="G45" s="4" t="s">
        <v>46</v>
      </c>
      <c r="H45" s="4" t="s">
        <v>191</v>
      </c>
      <c r="J45" s="4" t="s">
        <v>192</v>
      </c>
    </row>
    <row r="46" spans="1:10" x14ac:dyDescent="0.25">
      <c r="A46" s="4" t="s">
        <v>194</v>
      </c>
      <c r="D46" s="4">
        <v>4.1300000000000003E-6</v>
      </c>
      <c r="E46" s="4" t="s">
        <v>6</v>
      </c>
      <c r="F46" s="4" t="s">
        <v>45</v>
      </c>
      <c r="G46" s="4" t="s">
        <v>46</v>
      </c>
      <c r="H46" s="4" t="s">
        <v>191</v>
      </c>
      <c r="J46" s="4" t="s">
        <v>192</v>
      </c>
    </row>
    <row r="47" spans="1:10" x14ac:dyDescent="0.25">
      <c r="A47" s="4" t="s">
        <v>195</v>
      </c>
      <c r="D47" s="4">
        <v>1.33E-6</v>
      </c>
      <c r="E47" s="4" t="s">
        <v>6</v>
      </c>
      <c r="F47" s="4" t="s">
        <v>45</v>
      </c>
      <c r="G47" s="4" t="s">
        <v>46</v>
      </c>
      <c r="H47" s="4" t="s">
        <v>191</v>
      </c>
      <c r="J47" s="4" t="s">
        <v>192</v>
      </c>
    </row>
    <row r="48" spans="1:10" x14ac:dyDescent="0.25">
      <c r="A48" s="4" t="s">
        <v>196</v>
      </c>
      <c r="D48" s="4">
        <v>9.5799999999999998E-6</v>
      </c>
      <c r="E48" s="4" t="s">
        <v>6</v>
      </c>
      <c r="F48" s="4" t="s">
        <v>45</v>
      </c>
      <c r="G48" s="4" t="s">
        <v>46</v>
      </c>
      <c r="H48" s="4" t="s">
        <v>191</v>
      </c>
      <c r="J48" s="4" t="s">
        <v>192</v>
      </c>
    </row>
    <row r="49" spans="1:10" x14ac:dyDescent="0.25">
      <c r="A49" s="4" t="s">
        <v>197</v>
      </c>
      <c r="D49" s="4">
        <v>2.8999999999999998E-7</v>
      </c>
      <c r="E49" s="4" t="s">
        <v>6</v>
      </c>
      <c r="F49" s="4" t="s">
        <v>45</v>
      </c>
      <c r="G49" s="4" t="s">
        <v>46</v>
      </c>
      <c r="H49" s="4" t="s">
        <v>191</v>
      </c>
      <c r="J49" s="4" t="s">
        <v>192</v>
      </c>
    </row>
    <row r="50" spans="1:10" x14ac:dyDescent="0.25">
      <c r="A50" s="4" t="s">
        <v>198</v>
      </c>
      <c r="D50" s="4">
        <v>3.8000000000000001E-7</v>
      </c>
      <c r="E50" s="4" t="s">
        <v>6</v>
      </c>
      <c r="F50" s="4" t="s">
        <v>45</v>
      </c>
      <c r="G50" s="4" t="s">
        <v>46</v>
      </c>
      <c r="H50" s="4" t="s">
        <v>191</v>
      </c>
      <c r="J50" s="4" t="s">
        <v>192</v>
      </c>
    </row>
    <row r="51" spans="1:10" x14ac:dyDescent="0.25">
      <c r="A51" s="4" t="s">
        <v>199</v>
      </c>
      <c r="D51" s="4">
        <v>7.0000000000000005E-8</v>
      </c>
      <c r="E51" s="4" t="s">
        <v>6</v>
      </c>
      <c r="F51" s="4" t="s">
        <v>45</v>
      </c>
      <c r="G51" s="4" t="s">
        <v>46</v>
      </c>
      <c r="H51" s="4" t="s">
        <v>191</v>
      </c>
      <c r="J51" s="4" t="s">
        <v>192</v>
      </c>
    </row>
    <row r="52" spans="1:10" x14ac:dyDescent="0.25">
      <c r="A52" s="4" t="s">
        <v>200</v>
      </c>
      <c r="D52" s="4">
        <v>4.5199999999999999E-6</v>
      </c>
      <c r="E52" s="4" t="s">
        <v>6</v>
      </c>
      <c r="F52" s="4" t="s">
        <v>45</v>
      </c>
      <c r="G52" s="4" t="s">
        <v>46</v>
      </c>
      <c r="H52" s="4" t="s">
        <v>191</v>
      </c>
      <c r="J52" s="4" t="s">
        <v>192</v>
      </c>
    </row>
    <row r="53" spans="1:10" x14ac:dyDescent="0.25">
      <c r="A53" s="4" t="s">
        <v>201</v>
      </c>
      <c r="D53" s="4">
        <v>5.9999999999999995E-8</v>
      </c>
      <c r="E53" s="4" t="s">
        <v>6</v>
      </c>
      <c r="F53" s="4" t="s">
        <v>45</v>
      </c>
      <c r="G53" s="4" t="s">
        <v>46</v>
      </c>
      <c r="H53" s="4" t="s">
        <v>191</v>
      </c>
      <c r="J53" s="4" t="s">
        <v>192</v>
      </c>
    </row>
    <row r="54" spans="1:10" x14ac:dyDescent="0.25">
      <c r="A54" s="4" t="s">
        <v>202</v>
      </c>
      <c r="D54" s="4">
        <v>1E-8</v>
      </c>
      <c r="E54" s="4" t="s">
        <v>6</v>
      </c>
      <c r="F54" s="4" t="s">
        <v>45</v>
      </c>
      <c r="G54" s="4" t="s">
        <v>46</v>
      </c>
      <c r="H54" s="4" t="s">
        <v>191</v>
      </c>
      <c r="J54" s="4" t="s">
        <v>192</v>
      </c>
    </row>
    <row r="55" spans="1:10" x14ac:dyDescent="0.25">
      <c r="A55" s="4" t="s">
        <v>85</v>
      </c>
      <c r="D55" s="4">
        <v>7.1660000000000001E-2</v>
      </c>
      <c r="E55" s="4" t="s">
        <v>6</v>
      </c>
      <c r="F55" s="4" t="s">
        <v>45</v>
      </c>
      <c r="G55" s="4" t="s">
        <v>46</v>
      </c>
      <c r="H55" s="4" t="s">
        <v>76</v>
      </c>
      <c r="J55" s="4" t="s">
        <v>145</v>
      </c>
    </row>
    <row r="56" spans="1:10" x14ac:dyDescent="0.25">
      <c r="A56" s="4" t="s">
        <v>119</v>
      </c>
      <c r="D56" s="4">
        <v>6.6E-4</v>
      </c>
      <c r="E56" s="4" t="s">
        <v>6</v>
      </c>
      <c r="F56" s="4" t="s">
        <v>45</v>
      </c>
      <c r="G56" s="4" t="s">
        <v>46</v>
      </c>
      <c r="H56" s="4" t="s">
        <v>76</v>
      </c>
      <c r="J56" s="4" t="s">
        <v>145</v>
      </c>
    </row>
    <row r="57" spans="1:10" x14ac:dyDescent="0.25">
      <c r="A57" s="4" t="s">
        <v>203</v>
      </c>
      <c r="D57" s="4">
        <v>4.8999999999999997E-7</v>
      </c>
      <c r="E57" s="4" t="s">
        <v>6</v>
      </c>
      <c r="F57" s="4" t="s">
        <v>45</v>
      </c>
      <c r="G57" s="4" t="s">
        <v>46</v>
      </c>
      <c r="H57" s="4" t="s">
        <v>76</v>
      </c>
      <c r="J57" s="4" t="s">
        <v>145</v>
      </c>
    </row>
    <row r="58" spans="1:10" x14ac:dyDescent="0.25">
      <c r="A58" s="4" t="s">
        <v>204</v>
      </c>
      <c r="D58" s="4">
        <v>3.9390000000000001E-5</v>
      </c>
      <c r="E58" s="4" t="s">
        <v>6</v>
      </c>
      <c r="F58" s="4" t="s">
        <v>45</v>
      </c>
      <c r="G58" s="4" t="s">
        <v>46</v>
      </c>
      <c r="H58" s="4" t="s">
        <v>76</v>
      </c>
      <c r="J58" s="4" t="s">
        <v>145</v>
      </c>
    </row>
    <row r="59" spans="1:10" x14ac:dyDescent="0.25">
      <c r="A59" s="4" t="s">
        <v>205</v>
      </c>
      <c r="D59" s="4">
        <v>1.6700000000000001E-6</v>
      </c>
      <c r="E59" s="4" t="s">
        <v>6</v>
      </c>
      <c r="F59" s="4" t="s">
        <v>45</v>
      </c>
      <c r="G59" s="4" t="s">
        <v>46</v>
      </c>
      <c r="H59" s="4" t="s">
        <v>76</v>
      </c>
      <c r="J59" s="4" t="s">
        <v>145</v>
      </c>
    </row>
    <row r="60" spans="1:10" x14ac:dyDescent="0.25">
      <c r="A60" s="4" t="s">
        <v>206</v>
      </c>
      <c r="D60" s="4">
        <v>5.4199999999999999E-9</v>
      </c>
      <c r="E60" s="4" t="s">
        <v>6</v>
      </c>
      <c r="F60" s="4" t="s">
        <v>45</v>
      </c>
      <c r="G60" s="4" t="s">
        <v>46</v>
      </c>
      <c r="H60" s="4" t="s">
        <v>76</v>
      </c>
      <c r="J60" s="4" t="s">
        <v>145</v>
      </c>
    </row>
    <row r="61" spans="1:10" x14ac:dyDescent="0.25">
      <c r="A61" s="4" t="s">
        <v>207</v>
      </c>
      <c r="D61" s="4">
        <v>2.7199999999999998E-6</v>
      </c>
      <c r="E61" s="4" t="s">
        <v>6</v>
      </c>
      <c r="F61" s="4" t="s">
        <v>45</v>
      </c>
      <c r="G61" s="4" t="s">
        <v>46</v>
      </c>
      <c r="H61" s="4" t="s">
        <v>76</v>
      </c>
      <c r="J61" s="4" t="s">
        <v>145</v>
      </c>
    </row>
    <row r="62" spans="1:10" x14ac:dyDescent="0.25">
      <c r="A62" s="4" t="s">
        <v>199</v>
      </c>
      <c r="D62" s="4">
        <v>1.0883999999999999E-4</v>
      </c>
      <c r="E62" s="4" t="s">
        <v>6</v>
      </c>
      <c r="F62" s="4" t="s">
        <v>45</v>
      </c>
      <c r="G62" s="4" t="s">
        <v>46</v>
      </c>
      <c r="H62" s="4" t="s">
        <v>208</v>
      </c>
      <c r="J62" s="4" t="s">
        <v>145</v>
      </c>
    </row>
    <row r="63" spans="1:10" x14ac:dyDescent="0.25">
      <c r="A63" s="4" t="s">
        <v>201</v>
      </c>
      <c r="D63" s="4">
        <v>4.1670999999999999E-4</v>
      </c>
      <c r="E63" s="4" t="s">
        <v>6</v>
      </c>
      <c r="F63" s="4" t="s">
        <v>45</v>
      </c>
      <c r="G63" s="4" t="s">
        <v>46</v>
      </c>
      <c r="H63" s="4" t="s">
        <v>208</v>
      </c>
      <c r="J63" s="4" t="s">
        <v>145</v>
      </c>
    </row>
    <row r="64" spans="1:10" x14ac:dyDescent="0.25">
      <c r="A64" s="4" t="s">
        <v>209</v>
      </c>
      <c r="D64" s="4">
        <v>2.7990000000000001E-5</v>
      </c>
      <c r="E64" s="4" t="s">
        <v>6</v>
      </c>
      <c r="F64" s="4" t="s">
        <v>45</v>
      </c>
      <c r="G64" s="4" t="s">
        <v>46</v>
      </c>
      <c r="H64" s="4" t="s">
        <v>208</v>
      </c>
      <c r="J64" s="4" t="s">
        <v>145</v>
      </c>
    </row>
    <row r="65" spans="1:14" x14ac:dyDescent="0.25">
      <c r="A65" s="4" t="s">
        <v>210</v>
      </c>
      <c r="D65" s="4">
        <v>4.6650000000000002E-5</v>
      </c>
      <c r="E65" s="4" t="s">
        <v>6</v>
      </c>
      <c r="F65" s="4" t="s">
        <v>45</v>
      </c>
      <c r="G65" s="4" t="s">
        <v>46</v>
      </c>
      <c r="H65" s="4" t="s">
        <v>208</v>
      </c>
      <c r="J65" s="4" t="s">
        <v>145</v>
      </c>
    </row>
    <row r="66" spans="1:14" x14ac:dyDescent="0.25">
      <c r="A66" s="4" t="s">
        <v>195</v>
      </c>
      <c r="D66" s="4">
        <v>1.0883999999999999E-4</v>
      </c>
      <c r="E66" s="4" t="s">
        <v>6</v>
      </c>
      <c r="F66" s="4" t="s">
        <v>45</v>
      </c>
      <c r="G66" s="4" t="s">
        <v>46</v>
      </c>
      <c r="H66" s="4" t="s">
        <v>208</v>
      </c>
      <c r="J66" s="4" t="s">
        <v>145</v>
      </c>
    </row>
    <row r="67" spans="1:14" s="9" customFormat="1" x14ac:dyDescent="0.25"/>
    <row r="68" spans="1:14" x14ac:dyDescent="0.25">
      <c r="A68" s="13" t="s">
        <v>0</v>
      </c>
      <c r="B68" s="13" t="s">
        <v>211</v>
      </c>
    </row>
    <row r="69" spans="1:14" x14ac:dyDescent="0.25">
      <c r="A69" s="5" t="s">
        <v>1</v>
      </c>
      <c r="B69" s="4" t="s">
        <v>140</v>
      </c>
    </row>
    <row r="70" spans="1:14" x14ac:dyDescent="0.25">
      <c r="A70" s="5" t="s">
        <v>2</v>
      </c>
      <c r="B70" s="4" t="s">
        <v>141</v>
      </c>
    </row>
    <row r="71" spans="1:14" x14ac:dyDescent="0.25">
      <c r="A71" s="5" t="s">
        <v>4</v>
      </c>
      <c r="B71" s="4">
        <v>1</v>
      </c>
    </row>
    <row r="72" spans="1:14" x14ac:dyDescent="0.25">
      <c r="A72" s="5" t="s">
        <v>5</v>
      </c>
      <c r="B72" s="4" t="s">
        <v>6</v>
      </c>
    </row>
    <row r="73" spans="1:14" x14ac:dyDescent="0.25">
      <c r="A73" s="5" t="s">
        <v>7</v>
      </c>
      <c r="B73" s="4" t="s">
        <v>8</v>
      </c>
    </row>
    <row r="74" spans="1:14" x14ac:dyDescent="0.25">
      <c r="A74" s="5" t="s">
        <v>9</v>
      </c>
    </row>
    <row r="75" spans="1:14" x14ac:dyDescent="0.25">
      <c r="A75" s="13" t="s">
        <v>10</v>
      </c>
      <c r="B75" s="13" t="s">
        <v>1</v>
      </c>
      <c r="C75" s="13" t="s">
        <v>2</v>
      </c>
      <c r="D75" s="13" t="s">
        <v>4</v>
      </c>
      <c r="E75" s="13" t="s">
        <v>5</v>
      </c>
      <c r="F75" s="13" t="s">
        <v>11</v>
      </c>
      <c r="G75" s="13" t="s">
        <v>12</v>
      </c>
      <c r="H75" s="13" t="s">
        <v>13</v>
      </c>
      <c r="I75" s="13" t="s">
        <v>14</v>
      </c>
      <c r="J75" s="13" t="s">
        <v>15</v>
      </c>
      <c r="K75" s="13" t="s">
        <v>16</v>
      </c>
      <c r="L75" s="13" t="s">
        <v>17</v>
      </c>
      <c r="M75" s="13" t="s">
        <v>18</v>
      </c>
      <c r="N75" s="13" t="s">
        <v>19</v>
      </c>
    </row>
    <row r="76" spans="1:14" x14ac:dyDescent="0.25">
      <c r="A76" s="4" t="str">
        <f>B68</f>
        <v>Ni/Cu/Co ore mining in China/Xinjiang and CoSO4 production in Southeastern China</v>
      </c>
      <c r="B76" s="4" t="str">
        <f>B69</f>
        <v>CoSO4</v>
      </c>
      <c r="C76" s="4" t="str">
        <f>B70</f>
        <v>CN</v>
      </c>
      <c r="D76" s="4">
        <v>1</v>
      </c>
      <c r="E76" s="4" t="str">
        <f>B72</f>
        <v>kilogram</v>
      </c>
      <c r="F76" s="6" t="str">
        <f>F9</f>
        <v>Cobalt</v>
      </c>
      <c r="G76" s="4" t="s">
        <v>20</v>
      </c>
    </row>
    <row r="77" spans="1:14" x14ac:dyDescent="0.25">
      <c r="A77" s="4" t="str">
        <f>A9</f>
        <v>[M+C+P] Cobalt sulfate (CoSO4) production (Xinjiang)</v>
      </c>
      <c r="B77" s="4" t="str">
        <f t="shared" ref="B77:F77" si="0">B9</f>
        <v>CoSO4</v>
      </c>
      <c r="C77" s="4" t="str">
        <f t="shared" si="0"/>
        <v>CN</v>
      </c>
      <c r="D77" s="4">
        <v>1</v>
      </c>
      <c r="E77" s="4" t="str">
        <f t="shared" si="0"/>
        <v>kilogram</v>
      </c>
      <c r="F77" s="6" t="str">
        <f t="shared" si="0"/>
        <v>Cobalt</v>
      </c>
      <c r="G77" s="4" t="s">
        <v>21</v>
      </c>
    </row>
    <row r="78" spans="1:14" s="9" customFormat="1" x14ac:dyDescent="0.25"/>
    <row r="79" spans="1:14" x14ac:dyDescent="0.25">
      <c r="A79" s="13" t="s">
        <v>0</v>
      </c>
      <c r="B79" s="13" t="s">
        <v>212</v>
      </c>
    </row>
    <row r="80" spans="1:14" x14ac:dyDescent="0.25">
      <c r="A80" s="5" t="s">
        <v>1</v>
      </c>
      <c r="B80" s="4" t="s">
        <v>213</v>
      </c>
    </row>
    <row r="81" spans="1:14" x14ac:dyDescent="0.25">
      <c r="A81" s="5" t="s">
        <v>2</v>
      </c>
      <c r="B81" s="4" t="s">
        <v>141</v>
      </c>
    </row>
    <row r="82" spans="1:14" x14ac:dyDescent="0.25">
      <c r="A82" s="5" t="s">
        <v>4</v>
      </c>
      <c r="B82" s="4">
        <v>1</v>
      </c>
    </row>
    <row r="83" spans="1:14" x14ac:dyDescent="0.25">
      <c r="A83" s="5" t="s">
        <v>5</v>
      </c>
      <c r="B83" s="4" t="s">
        <v>6</v>
      </c>
    </row>
    <row r="84" spans="1:14" x14ac:dyDescent="0.25">
      <c r="A84" s="5" t="s">
        <v>7</v>
      </c>
      <c r="B84" s="4" t="s">
        <v>92</v>
      </c>
    </row>
    <row r="85" spans="1:14" x14ac:dyDescent="0.25">
      <c r="A85" s="5" t="s">
        <v>9</v>
      </c>
    </row>
    <row r="86" spans="1:14" x14ac:dyDescent="0.25">
      <c r="A86" s="13" t="s">
        <v>10</v>
      </c>
      <c r="B86" s="13" t="s">
        <v>1</v>
      </c>
      <c r="C86" s="13" t="s">
        <v>2</v>
      </c>
      <c r="D86" s="13" t="s">
        <v>4</v>
      </c>
      <c r="E86" s="13" t="s">
        <v>5</v>
      </c>
      <c r="F86" s="13" t="s">
        <v>11</v>
      </c>
      <c r="G86" s="13" t="s">
        <v>12</v>
      </c>
      <c r="H86" s="13" t="s">
        <v>13</v>
      </c>
      <c r="I86" s="13" t="s">
        <v>14</v>
      </c>
      <c r="J86" s="13" t="s">
        <v>15</v>
      </c>
      <c r="K86" s="13" t="s">
        <v>16</v>
      </c>
      <c r="L86" s="13" t="s">
        <v>17</v>
      </c>
      <c r="M86" s="13" t="s">
        <v>18</v>
      </c>
      <c r="N86" s="13" t="s">
        <v>19</v>
      </c>
    </row>
    <row r="87" spans="1:14" x14ac:dyDescent="0.25">
      <c r="A87" s="4" t="str">
        <f>B79</f>
        <v>Ni/Cu/Co ore mining in China/Xinjiang and CoSO4 production in Southeastern China (Co content)</v>
      </c>
      <c r="B87" s="4" t="str">
        <f>B80</f>
        <v>CoSO4 (Co content)</v>
      </c>
      <c r="C87" s="4" t="str">
        <f>B81</f>
        <v>CN</v>
      </c>
      <c r="D87" s="4">
        <v>1</v>
      </c>
      <c r="E87" s="4" t="str">
        <f>B83</f>
        <v>kilogram</v>
      </c>
      <c r="F87" s="6" t="str">
        <f>F76</f>
        <v>Cobalt</v>
      </c>
      <c r="G87" s="4" t="s">
        <v>20</v>
      </c>
    </row>
    <row r="88" spans="1:14" x14ac:dyDescent="0.25">
      <c r="A88" s="4" t="str">
        <f>A9</f>
        <v>[M+C+P] Cobalt sulfate (CoSO4) production (Xinjiang)</v>
      </c>
      <c r="B88" s="4" t="str">
        <f t="shared" ref="B88:F88" si="1">B9</f>
        <v>CoSO4</v>
      </c>
      <c r="C88" s="4" t="str">
        <f t="shared" si="1"/>
        <v>CN</v>
      </c>
      <c r="D88" s="4">
        <v>2.6301946344029457</v>
      </c>
      <c r="E88" s="4" t="str">
        <f t="shared" si="1"/>
        <v>kilogram</v>
      </c>
      <c r="F88" s="6" t="str">
        <f t="shared" si="1"/>
        <v>Cobalt</v>
      </c>
      <c r="G88" s="4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789B-FEB4-46F4-A4BB-523DBB7211B8}">
  <sheetPr>
    <tabColor theme="8" tint="0.39997558519241921"/>
  </sheetPr>
  <dimension ref="A1:N83"/>
  <sheetViews>
    <sheetView workbookViewId="0">
      <selection activeCell="B75" sqref="B75"/>
    </sheetView>
  </sheetViews>
  <sheetFormatPr baseColWidth="10" defaultColWidth="8.7109375" defaultRowHeight="15" x14ac:dyDescent="0.25"/>
  <cols>
    <col min="1" max="2" width="73.140625" style="4" bestFit="1" customWidth="1"/>
    <col min="3" max="3" width="8.140625" style="4" bestFit="1" customWidth="1"/>
    <col min="4" max="4" width="12" style="4" bestFit="1" customWidth="1"/>
    <col min="5" max="5" width="12.85546875" style="4" bestFit="1" customWidth="1"/>
    <col min="6" max="6" width="19.7109375" style="4" bestFit="1" customWidth="1"/>
    <col min="7" max="7" width="13.28515625" style="4" bestFit="1" customWidth="1"/>
    <col min="8" max="8" width="25.28515625" style="4" bestFit="1" customWidth="1"/>
    <col min="9" max="9" width="15.5703125" style="4" bestFit="1" customWidth="1"/>
    <col min="10" max="10" width="17.7109375" style="4" bestFit="1" customWidth="1"/>
    <col min="11" max="11" width="3.5703125" style="4" bestFit="1" customWidth="1"/>
    <col min="12" max="12" width="5.42578125" style="4" bestFit="1" customWidth="1"/>
    <col min="13" max="13" width="9.5703125" style="4" bestFit="1" customWidth="1"/>
    <col min="14" max="14" width="9.85546875" style="4" bestFit="1" customWidth="1"/>
    <col min="15" max="16384" width="8.7109375" style="4"/>
  </cols>
  <sheetData>
    <row r="1" spans="1:14" x14ac:dyDescent="0.25">
      <c r="A1" s="3" t="s">
        <v>0</v>
      </c>
      <c r="B1" s="3" t="s">
        <v>215</v>
      </c>
    </row>
    <row r="2" spans="1:14" x14ac:dyDescent="0.25">
      <c r="A2" s="5" t="s">
        <v>1</v>
      </c>
      <c r="B2" s="4" t="s">
        <v>117</v>
      </c>
    </row>
    <row r="3" spans="1:14" x14ac:dyDescent="0.25">
      <c r="A3" s="5" t="s">
        <v>2</v>
      </c>
      <c r="B3" s="4" t="s">
        <v>118</v>
      </c>
    </row>
    <row r="4" spans="1:14" x14ac:dyDescent="0.25">
      <c r="A4" s="5" t="s">
        <v>4</v>
      </c>
      <c r="B4" s="4">
        <v>1</v>
      </c>
    </row>
    <row r="5" spans="1:14" x14ac:dyDescent="0.25">
      <c r="A5" s="5" t="s">
        <v>5</v>
      </c>
      <c r="B5" s="4" t="s">
        <v>6</v>
      </c>
    </row>
    <row r="6" spans="1:14" x14ac:dyDescent="0.25">
      <c r="A6" s="5" t="s">
        <v>7</v>
      </c>
      <c r="B6" s="10" t="s">
        <v>8</v>
      </c>
    </row>
    <row r="7" spans="1:14" x14ac:dyDescent="0.25">
      <c r="A7" s="5" t="s">
        <v>9</v>
      </c>
    </row>
    <row r="8" spans="1:14" x14ac:dyDescent="0.25">
      <c r="A8" s="3" t="s">
        <v>10</v>
      </c>
      <c r="B8" s="3" t="s">
        <v>1</v>
      </c>
      <c r="C8" s="3" t="s">
        <v>2</v>
      </c>
      <c r="D8" s="3" t="s">
        <v>4</v>
      </c>
      <c r="E8" s="3" t="s">
        <v>5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  <c r="N8" s="3" t="s">
        <v>19</v>
      </c>
    </row>
    <row r="9" spans="1:14" x14ac:dyDescent="0.25">
      <c r="A9" s="4" t="str">
        <f>B1</f>
        <v>[M] Copper (Cu) ore mining (Cobalt production)</v>
      </c>
      <c r="B9" s="4" t="str">
        <f>B2</f>
        <v>Cu ore</v>
      </c>
      <c r="C9" s="4" t="str">
        <f>B3</f>
        <v>CD</v>
      </c>
      <c r="D9" s="4">
        <v>1</v>
      </c>
      <c r="E9" s="4" t="str">
        <f>B5</f>
        <v>kilogram</v>
      </c>
      <c r="F9" s="6" t="str">
        <f>Co_Market_GLO!B1</f>
        <v>Cobalt</v>
      </c>
      <c r="G9" s="4" t="s">
        <v>20</v>
      </c>
    </row>
    <row r="10" spans="1:14" x14ac:dyDescent="0.25">
      <c r="A10" s="4" t="s">
        <v>34</v>
      </c>
      <c r="B10" s="4" t="s">
        <v>35</v>
      </c>
      <c r="C10" s="4" t="s">
        <v>28</v>
      </c>
      <c r="D10" s="4">
        <v>0.58679999999999999</v>
      </c>
      <c r="E10" s="4" t="s">
        <v>33</v>
      </c>
      <c r="F10" s="4" t="s">
        <v>77</v>
      </c>
      <c r="G10" s="4" t="s">
        <v>21</v>
      </c>
      <c r="J10" s="4" t="s">
        <v>22</v>
      </c>
    </row>
    <row r="11" spans="1:14" x14ac:dyDescent="0.25">
      <c r="A11" s="4" t="s">
        <v>48</v>
      </c>
      <c r="D11" s="4">
        <v>1.71479073E-4</v>
      </c>
      <c r="E11" s="4" t="s">
        <v>49</v>
      </c>
      <c r="F11" s="4" t="s">
        <v>45</v>
      </c>
      <c r="G11" s="4" t="s">
        <v>46</v>
      </c>
      <c r="H11" s="4" t="s">
        <v>47</v>
      </c>
      <c r="J11" s="4" t="s">
        <v>22</v>
      </c>
    </row>
    <row r="12" spans="1:14" x14ac:dyDescent="0.25">
      <c r="A12" s="4" t="s">
        <v>119</v>
      </c>
      <c r="D12" s="4">
        <v>1.4400000000000001E-3</v>
      </c>
      <c r="E12" s="4" t="s">
        <v>6</v>
      </c>
      <c r="F12" s="4" t="s">
        <v>45</v>
      </c>
      <c r="G12" s="4" t="s">
        <v>46</v>
      </c>
      <c r="H12" s="4" t="s">
        <v>76</v>
      </c>
      <c r="J12" s="4" t="s">
        <v>22</v>
      </c>
    </row>
    <row r="13" spans="1:14" x14ac:dyDescent="0.25">
      <c r="A13" s="4" t="s">
        <v>120</v>
      </c>
      <c r="D13" s="4">
        <v>1.4799999999999999E-4</v>
      </c>
      <c r="E13" s="4" t="s">
        <v>6</v>
      </c>
      <c r="F13" s="4" t="s">
        <v>45</v>
      </c>
      <c r="G13" s="4" t="s">
        <v>46</v>
      </c>
      <c r="H13" s="4" t="s">
        <v>76</v>
      </c>
      <c r="J13" s="4" t="s">
        <v>22</v>
      </c>
    </row>
    <row r="14" spans="1:14" s="10" customFormat="1" x14ac:dyDescent="0.25">
      <c r="A14" s="10" t="s">
        <v>55</v>
      </c>
      <c r="D14" s="10">
        <v>3.2000000000000002E-3</v>
      </c>
      <c r="E14" s="10" t="s">
        <v>6</v>
      </c>
      <c r="F14" s="10" t="s">
        <v>45</v>
      </c>
      <c r="G14" s="10" t="s">
        <v>46</v>
      </c>
      <c r="H14" s="10" t="s">
        <v>47</v>
      </c>
      <c r="J14" s="10" t="s">
        <v>22</v>
      </c>
    </row>
    <row r="15" spans="1:14" s="11" customFormat="1" x14ac:dyDescent="0.25"/>
    <row r="16" spans="1:14" x14ac:dyDescent="0.25">
      <c r="A16" s="3" t="s">
        <v>0</v>
      </c>
      <c r="B16" s="3" t="s">
        <v>221</v>
      </c>
    </row>
    <row r="17" spans="1:14" x14ac:dyDescent="0.25">
      <c r="A17" s="5" t="s">
        <v>1</v>
      </c>
      <c r="B17" s="4" t="s">
        <v>112</v>
      </c>
    </row>
    <row r="18" spans="1:14" x14ac:dyDescent="0.25">
      <c r="A18" s="5" t="s">
        <v>2</v>
      </c>
      <c r="B18" s="4" t="s">
        <v>118</v>
      </c>
    </row>
    <row r="19" spans="1:14" x14ac:dyDescent="0.25">
      <c r="A19" s="5" t="s">
        <v>4</v>
      </c>
      <c r="B19" s="4">
        <v>1</v>
      </c>
    </row>
    <row r="20" spans="1:14" x14ac:dyDescent="0.25">
      <c r="A20" s="5" t="s">
        <v>5</v>
      </c>
      <c r="B20" s="4" t="s">
        <v>6</v>
      </c>
    </row>
    <row r="21" spans="1:14" ht="45" x14ac:dyDescent="0.25">
      <c r="A21" s="5" t="s">
        <v>7</v>
      </c>
      <c r="B21" s="1" t="s">
        <v>138</v>
      </c>
    </row>
    <row r="22" spans="1:14" x14ac:dyDescent="0.25">
      <c r="A22" s="5" t="s">
        <v>9</v>
      </c>
    </row>
    <row r="23" spans="1:14" x14ac:dyDescent="0.25">
      <c r="A23" s="3" t="s">
        <v>10</v>
      </c>
      <c r="B23" s="3" t="s">
        <v>1</v>
      </c>
      <c r="C23" s="3" t="s">
        <v>2</v>
      </c>
      <c r="D23" s="3" t="s">
        <v>4</v>
      </c>
      <c r="E23" s="3" t="s">
        <v>5</v>
      </c>
      <c r="F23" s="3" t="s">
        <v>11</v>
      </c>
      <c r="G23" s="3" t="s">
        <v>12</v>
      </c>
      <c r="H23" s="3" t="s">
        <v>13</v>
      </c>
      <c r="I23" s="3" t="s">
        <v>14</v>
      </c>
      <c r="J23" s="3" t="s">
        <v>15</v>
      </c>
      <c r="K23" s="3" t="s">
        <v>16</v>
      </c>
      <c r="L23" s="3" t="s">
        <v>17</v>
      </c>
      <c r="M23" s="3" t="s">
        <v>18</v>
      </c>
      <c r="N23" s="3" t="s">
        <v>19</v>
      </c>
    </row>
    <row r="24" spans="1:14" x14ac:dyDescent="0.25">
      <c r="A24" s="4" t="str">
        <f>B16</f>
        <v>[C+P] Cobalt hydroxide (Co(OH)2) production - Hydrometallurgy</v>
      </c>
      <c r="B24" s="4" t="str">
        <f>B17</f>
        <v>Co(OH)2</v>
      </c>
      <c r="C24" s="4" t="str">
        <f>B18</f>
        <v>CD</v>
      </c>
      <c r="D24" s="4">
        <v>1</v>
      </c>
      <c r="E24" s="4" t="s">
        <v>6</v>
      </c>
      <c r="F24" s="6" t="str">
        <f>F9</f>
        <v>Cobalt</v>
      </c>
      <c r="G24" s="4" t="s">
        <v>20</v>
      </c>
    </row>
    <row r="25" spans="1:14" x14ac:dyDescent="0.25">
      <c r="A25" s="4" t="s">
        <v>51</v>
      </c>
      <c r="B25" s="4" t="s">
        <v>27</v>
      </c>
      <c r="C25" s="4" t="s">
        <v>118</v>
      </c>
      <c r="D25" s="4">
        <v>8.345257017438195</v>
      </c>
      <c r="E25" s="4" t="s">
        <v>29</v>
      </c>
      <c r="F25" s="4" t="s">
        <v>77</v>
      </c>
      <c r="G25" s="4" t="s">
        <v>21</v>
      </c>
      <c r="J25" s="4" t="s">
        <v>22</v>
      </c>
    </row>
    <row r="26" spans="1:14" x14ac:dyDescent="0.25">
      <c r="A26" s="4" t="s">
        <v>43</v>
      </c>
      <c r="B26" s="4" t="s">
        <v>44</v>
      </c>
      <c r="C26" s="4" t="s">
        <v>28</v>
      </c>
      <c r="D26" s="4">
        <v>3.060899828890101</v>
      </c>
      <c r="E26" s="4" t="s">
        <v>6</v>
      </c>
      <c r="F26" s="4" t="s">
        <v>77</v>
      </c>
      <c r="G26" s="4" t="s">
        <v>21</v>
      </c>
      <c r="J26" s="4" t="s">
        <v>22</v>
      </c>
    </row>
    <row r="27" spans="1:14" x14ac:dyDescent="0.25">
      <c r="A27" s="4" t="s">
        <v>39</v>
      </c>
      <c r="B27" s="4" t="s">
        <v>40</v>
      </c>
      <c r="C27" s="4" t="s">
        <v>25</v>
      </c>
      <c r="D27" s="4">
        <v>3.9822131217477423</v>
      </c>
      <c r="E27" s="4" t="s">
        <v>6</v>
      </c>
      <c r="F27" s="4" t="s">
        <v>77</v>
      </c>
      <c r="G27" s="4" t="s">
        <v>21</v>
      </c>
      <c r="J27" s="4" t="s">
        <v>22</v>
      </c>
    </row>
    <row r="28" spans="1:14" x14ac:dyDescent="0.25">
      <c r="A28" s="4" t="s">
        <v>121</v>
      </c>
      <c r="B28" s="4" t="s">
        <v>122</v>
      </c>
      <c r="C28" s="4" t="s">
        <v>25</v>
      </c>
      <c r="D28" s="4">
        <v>1.4502388085170885</v>
      </c>
      <c r="E28" s="4" t="s">
        <v>6</v>
      </c>
      <c r="F28" s="4" t="s">
        <v>77</v>
      </c>
      <c r="G28" s="4" t="s">
        <v>21</v>
      </c>
      <c r="J28" s="4" t="s">
        <v>22</v>
      </c>
    </row>
    <row r="29" spans="1:14" x14ac:dyDescent="0.25">
      <c r="A29" s="4" t="s">
        <v>68</v>
      </c>
      <c r="B29" s="4" t="s">
        <v>69</v>
      </c>
      <c r="C29" s="4" t="s">
        <v>25</v>
      </c>
      <c r="D29" s="4">
        <v>0.1747492270028054</v>
      </c>
      <c r="E29" s="4" t="s">
        <v>6</v>
      </c>
      <c r="F29" s="4" t="s">
        <v>77</v>
      </c>
      <c r="G29" s="4" t="s">
        <v>21</v>
      </c>
      <c r="J29" s="4" t="s">
        <v>22</v>
      </c>
    </row>
    <row r="30" spans="1:14" s="10" customFormat="1" x14ac:dyDescent="0.25">
      <c r="A30" s="10" t="s">
        <v>123</v>
      </c>
      <c r="B30" s="10" t="s">
        <v>124</v>
      </c>
      <c r="C30" s="10" t="s">
        <v>28</v>
      </c>
      <c r="D30" s="10">
        <v>9.0348717948717946E-2</v>
      </c>
      <c r="E30" s="10" t="s">
        <v>6</v>
      </c>
      <c r="F30" s="10" t="s">
        <v>77</v>
      </c>
      <c r="G30" s="10" t="s">
        <v>21</v>
      </c>
      <c r="J30" s="10" t="s">
        <v>22</v>
      </c>
    </row>
    <row r="31" spans="1:14" x14ac:dyDescent="0.25">
      <c r="A31" s="4" t="s">
        <v>48</v>
      </c>
      <c r="D31" s="4">
        <v>0.1446280227817289</v>
      </c>
      <c r="E31" s="4" t="s">
        <v>49</v>
      </c>
      <c r="F31" s="4" t="s">
        <v>45</v>
      </c>
      <c r="G31" s="4" t="s">
        <v>46</v>
      </c>
      <c r="H31" s="4" t="s">
        <v>47</v>
      </c>
      <c r="J31" s="4" t="s">
        <v>22</v>
      </c>
    </row>
    <row r="32" spans="1:14" x14ac:dyDescent="0.25">
      <c r="A32" s="4" t="s">
        <v>125</v>
      </c>
      <c r="D32" s="4">
        <v>2.7920252309287196E-2</v>
      </c>
      <c r="E32" s="4" t="s">
        <v>6</v>
      </c>
      <c r="F32" s="4" t="s">
        <v>45</v>
      </c>
      <c r="G32" s="4" t="s">
        <v>46</v>
      </c>
      <c r="H32" s="4" t="s">
        <v>76</v>
      </c>
      <c r="J32" s="4" t="s">
        <v>22</v>
      </c>
    </row>
    <row r="33" spans="1:14" s="11" customFormat="1" x14ac:dyDescent="0.25"/>
    <row r="34" spans="1:14" x14ac:dyDescent="0.25">
      <c r="A34" s="13" t="s">
        <v>0</v>
      </c>
      <c r="B34" s="13" t="s">
        <v>216</v>
      </c>
    </row>
    <row r="35" spans="1:14" x14ac:dyDescent="0.25">
      <c r="A35" s="5" t="s">
        <v>1</v>
      </c>
      <c r="B35" s="4" t="s">
        <v>140</v>
      </c>
    </row>
    <row r="36" spans="1:14" x14ac:dyDescent="0.25">
      <c r="A36" s="5" t="s">
        <v>2</v>
      </c>
      <c r="B36" s="4" t="s">
        <v>141</v>
      </c>
    </row>
    <row r="37" spans="1:14" x14ac:dyDescent="0.25">
      <c r="A37" s="5" t="s">
        <v>4</v>
      </c>
      <c r="B37" s="4">
        <v>1</v>
      </c>
    </row>
    <row r="38" spans="1:14" x14ac:dyDescent="0.25">
      <c r="A38" s="5" t="s">
        <v>5</v>
      </c>
      <c r="B38" s="4" t="s">
        <v>6</v>
      </c>
    </row>
    <row r="39" spans="1:14" x14ac:dyDescent="0.25">
      <c r="A39" s="5" t="s">
        <v>7</v>
      </c>
      <c r="B39" s="4" t="s">
        <v>8</v>
      </c>
    </row>
    <row r="40" spans="1:14" x14ac:dyDescent="0.25">
      <c r="A40" s="5" t="s">
        <v>9</v>
      </c>
    </row>
    <row r="41" spans="1:14" x14ac:dyDescent="0.25">
      <c r="A41" s="13" t="s">
        <v>10</v>
      </c>
      <c r="B41" s="13" t="s">
        <v>1</v>
      </c>
      <c r="C41" s="13" t="s">
        <v>2</v>
      </c>
      <c r="D41" s="13" t="s">
        <v>4</v>
      </c>
      <c r="E41" s="13" t="s">
        <v>5</v>
      </c>
      <c r="F41" s="13" t="s">
        <v>11</v>
      </c>
      <c r="G41" s="13" t="s">
        <v>12</v>
      </c>
      <c r="H41" s="13" t="s">
        <v>13</v>
      </c>
      <c r="I41" s="13" t="s">
        <v>14</v>
      </c>
      <c r="J41" s="13" t="s">
        <v>15</v>
      </c>
      <c r="K41" s="13" t="s">
        <v>16</v>
      </c>
      <c r="L41" s="13" t="s">
        <v>17</v>
      </c>
      <c r="M41" s="13" t="s">
        <v>18</v>
      </c>
      <c r="N41" s="13" t="s">
        <v>19</v>
      </c>
    </row>
    <row r="42" spans="1:14" x14ac:dyDescent="0.25">
      <c r="A42" s="4" t="str">
        <f>B34</f>
        <v>[P] Cobalt sulfate (CoSO4) production (Tongxiang)</v>
      </c>
      <c r="B42" s="4" t="str">
        <f>B35</f>
        <v>CoSO4</v>
      </c>
      <c r="C42" s="4" t="str">
        <f>B36</f>
        <v>CN</v>
      </c>
      <c r="D42" s="4">
        <v>1</v>
      </c>
      <c r="E42" s="4" t="str">
        <f>B38</f>
        <v>kilogram</v>
      </c>
      <c r="F42" s="6" t="str">
        <f>F24</f>
        <v>Cobalt</v>
      </c>
      <c r="G42" s="4" t="s">
        <v>20</v>
      </c>
    </row>
    <row r="43" spans="1:14" x14ac:dyDescent="0.25">
      <c r="A43" s="4" t="s">
        <v>52</v>
      </c>
      <c r="B43" s="4" t="s">
        <v>53</v>
      </c>
      <c r="C43" s="4" t="s">
        <v>141</v>
      </c>
      <c r="D43" s="4">
        <v>3.5072393888888893E-2</v>
      </c>
      <c r="E43" s="4" t="s">
        <v>49</v>
      </c>
      <c r="F43" s="4" t="s">
        <v>77</v>
      </c>
      <c r="G43" s="4" t="s">
        <v>21</v>
      </c>
      <c r="J43" s="4" t="s">
        <v>217</v>
      </c>
    </row>
    <row r="44" spans="1:14" x14ac:dyDescent="0.25">
      <c r="A44" s="4" t="s">
        <v>218</v>
      </c>
      <c r="B44" s="4" t="s">
        <v>219</v>
      </c>
      <c r="C44" s="4" t="s">
        <v>25</v>
      </c>
      <c r="D44" s="4">
        <v>3.2008193111111112</v>
      </c>
      <c r="E44" s="4" t="s">
        <v>6</v>
      </c>
      <c r="F44" s="4" t="s">
        <v>77</v>
      </c>
      <c r="G44" s="4" t="s">
        <v>21</v>
      </c>
      <c r="J44" s="4" t="s">
        <v>217</v>
      </c>
    </row>
    <row r="45" spans="1:14" x14ac:dyDescent="0.25">
      <c r="A45" s="4" t="s">
        <v>26</v>
      </c>
      <c r="B45" s="4" t="s">
        <v>27</v>
      </c>
      <c r="C45" s="4" t="s">
        <v>141</v>
      </c>
      <c r="D45" s="4">
        <v>1.269868</v>
      </c>
      <c r="E45" s="4" t="s">
        <v>29</v>
      </c>
      <c r="F45" s="4" t="s">
        <v>77</v>
      </c>
      <c r="G45" s="4" t="s">
        <v>21</v>
      </c>
      <c r="J45" s="4" t="s">
        <v>217</v>
      </c>
    </row>
    <row r="46" spans="1:14" x14ac:dyDescent="0.25">
      <c r="A46" s="4" t="s">
        <v>68</v>
      </c>
      <c r="B46" s="4" t="s">
        <v>69</v>
      </c>
      <c r="C46" s="4" t="s">
        <v>25</v>
      </c>
      <c r="D46" s="4">
        <v>3.2497383777777782</v>
      </c>
      <c r="E46" s="4" t="s">
        <v>6</v>
      </c>
      <c r="F46" s="4" t="s">
        <v>77</v>
      </c>
      <c r="G46" s="4" t="s">
        <v>21</v>
      </c>
      <c r="J46" s="4" t="s">
        <v>217</v>
      </c>
    </row>
    <row r="47" spans="1:14" x14ac:dyDescent="0.25">
      <c r="A47" s="4" t="s">
        <v>66</v>
      </c>
      <c r="B47" s="4" t="s">
        <v>67</v>
      </c>
      <c r="C47" s="4" t="s">
        <v>25</v>
      </c>
      <c r="D47" s="4">
        <v>0.99688440000000011</v>
      </c>
      <c r="E47" s="4" t="s">
        <v>6</v>
      </c>
      <c r="F47" s="4" t="s">
        <v>77</v>
      </c>
      <c r="G47" s="4" t="s">
        <v>21</v>
      </c>
      <c r="J47" s="4" t="s">
        <v>217</v>
      </c>
    </row>
    <row r="48" spans="1:14" x14ac:dyDescent="0.25">
      <c r="A48" s="4" t="s">
        <v>148</v>
      </c>
      <c r="B48" s="4" t="s">
        <v>149</v>
      </c>
      <c r="C48" s="4" t="s">
        <v>25</v>
      </c>
      <c r="D48" s="4">
        <v>1.786264088888889</v>
      </c>
      <c r="E48" s="4" t="s">
        <v>6</v>
      </c>
      <c r="F48" s="4" t="s">
        <v>77</v>
      </c>
      <c r="G48" s="4" t="s">
        <v>21</v>
      </c>
      <c r="J48" s="4" t="s">
        <v>217</v>
      </c>
    </row>
    <row r="49" spans="1:10" x14ac:dyDescent="0.25">
      <c r="A49" s="4" t="s">
        <v>39</v>
      </c>
      <c r="B49" s="4" t="s">
        <v>40</v>
      </c>
      <c r="C49" s="4" t="s">
        <v>25</v>
      </c>
      <c r="D49" s="4">
        <v>2.12912E-2</v>
      </c>
      <c r="E49" s="4" t="s">
        <v>6</v>
      </c>
      <c r="F49" s="4" t="s">
        <v>77</v>
      </c>
      <c r="G49" s="4" t="s">
        <v>21</v>
      </c>
      <c r="J49" s="4" t="s">
        <v>217</v>
      </c>
    </row>
    <row r="50" spans="1:10" x14ac:dyDescent="0.25">
      <c r="A50" s="4" t="s">
        <v>121</v>
      </c>
      <c r="B50" s="4" t="s">
        <v>122</v>
      </c>
      <c r="C50" s="4" t="s">
        <v>25</v>
      </c>
      <c r="D50" s="4">
        <v>8.5333777777777779E-3</v>
      </c>
      <c r="E50" s="4" t="s">
        <v>6</v>
      </c>
      <c r="F50" s="4" t="s">
        <v>77</v>
      </c>
      <c r="G50" s="4" t="s">
        <v>21</v>
      </c>
      <c r="J50" s="4" t="s">
        <v>217</v>
      </c>
    </row>
    <row r="51" spans="1:10" x14ac:dyDescent="0.25">
      <c r="A51" s="4" t="s">
        <v>153</v>
      </c>
      <c r="B51" s="4" t="s">
        <v>154</v>
      </c>
      <c r="C51" s="4" t="s">
        <v>25</v>
      </c>
      <c r="D51" s="4">
        <v>1.7869400000000001E-2</v>
      </c>
      <c r="E51" s="4" t="s">
        <v>6</v>
      </c>
      <c r="F51" s="4" t="s">
        <v>77</v>
      </c>
      <c r="G51" s="4" t="s">
        <v>21</v>
      </c>
      <c r="J51" s="4" t="s">
        <v>217</v>
      </c>
    </row>
    <row r="52" spans="1:10" x14ac:dyDescent="0.25">
      <c r="A52" s="4" t="s">
        <v>70</v>
      </c>
      <c r="B52" s="4" t="s">
        <v>71</v>
      </c>
      <c r="C52" s="4" t="s">
        <v>28</v>
      </c>
      <c r="D52" s="4">
        <v>1.563044444444445E-3</v>
      </c>
      <c r="E52" s="4" t="s">
        <v>6</v>
      </c>
      <c r="F52" s="4" t="s">
        <v>77</v>
      </c>
      <c r="G52" s="4" t="s">
        <v>21</v>
      </c>
      <c r="J52" s="4" t="s">
        <v>217</v>
      </c>
    </row>
    <row r="53" spans="1:10" x14ac:dyDescent="0.25">
      <c r="A53" s="4" t="s">
        <v>70</v>
      </c>
      <c r="B53" s="4" t="s">
        <v>71</v>
      </c>
      <c r="C53" s="4" t="s">
        <v>28</v>
      </c>
      <c r="D53" s="4">
        <v>1.7320222222222219E-3</v>
      </c>
      <c r="E53" s="4" t="s">
        <v>6</v>
      </c>
      <c r="F53" s="4" t="s">
        <v>77</v>
      </c>
      <c r="G53" s="4" t="s">
        <v>21</v>
      </c>
      <c r="J53" s="4" t="s">
        <v>217</v>
      </c>
    </row>
    <row r="54" spans="1:10" x14ac:dyDescent="0.25">
      <c r="A54" s="4" t="s">
        <v>174</v>
      </c>
      <c r="B54" s="4" t="s">
        <v>175</v>
      </c>
      <c r="C54" s="4" t="s">
        <v>25</v>
      </c>
      <c r="D54" s="4">
        <v>3.0415999999999999E-2</v>
      </c>
      <c r="E54" s="4" t="s">
        <v>6</v>
      </c>
      <c r="F54" s="4" t="s">
        <v>77</v>
      </c>
      <c r="G54" s="4" t="s">
        <v>21</v>
      </c>
      <c r="J54" s="4" t="s">
        <v>217</v>
      </c>
    </row>
    <row r="55" spans="1:10" x14ac:dyDescent="0.25">
      <c r="A55" s="4" t="s">
        <v>151</v>
      </c>
      <c r="B55" s="4" t="s">
        <v>152</v>
      </c>
      <c r="C55" s="4" t="s">
        <v>25</v>
      </c>
      <c r="D55" s="4">
        <v>0.21823480000000001</v>
      </c>
      <c r="E55" s="4" t="s">
        <v>6</v>
      </c>
      <c r="F55" s="4" t="s">
        <v>77</v>
      </c>
      <c r="G55" s="4" t="s">
        <v>21</v>
      </c>
      <c r="J55" s="4" t="s">
        <v>217</v>
      </c>
    </row>
    <row r="56" spans="1:10" x14ac:dyDescent="0.25">
      <c r="A56" s="4" t="s">
        <v>146</v>
      </c>
      <c r="B56" s="4" t="s">
        <v>147</v>
      </c>
      <c r="C56" s="4" t="s">
        <v>28</v>
      </c>
      <c r="D56" s="4">
        <v>3.3626577777777777E-2</v>
      </c>
      <c r="E56" s="4" t="s">
        <v>6</v>
      </c>
      <c r="F56" s="4" t="s">
        <v>77</v>
      </c>
      <c r="G56" s="4" t="s">
        <v>21</v>
      </c>
      <c r="J56" s="4" t="s">
        <v>217</v>
      </c>
    </row>
    <row r="57" spans="1:10" x14ac:dyDescent="0.25">
      <c r="A57" s="4" t="s">
        <v>48</v>
      </c>
      <c r="D57" s="4">
        <v>2.0770199266666671E-2</v>
      </c>
      <c r="E57" s="4" t="s">
        <v>49</v>
      </c>
      <c r="F57" s="4" t="s">
        <v>45</v>
      </c>
      <c r="G57" s="4" t="s">
        <v>46</v>
      </c>
      <c r="H57" s="4" t="s">
        <v>47</v>
      </c>
      <c r="J57" s="4" t="s">
        <v>217</v>
      </c>
    </row>
    <row r="58" spans="1:10" s="9" customFormat="1" x14ac:dyDescent="0.25"/>
    <row r="59" spans="1:10" x14ac:dyDescent="0.25">
      <c r="A59" s="3" t="s">
        <v>0</v>
      </c>
      <c r="B59" s="3" t="s">
        <v>220</v>
      </c>
    </row>
    <row r="60" spans="1:10" x14ac:dyDescent="0.25">
      <c r="A60" s="5" t="s">
        <v>1</v>
      </c>
      <c r="B60" s="4" t="s">
        <v>140</v>
      </c>
    </row>
    <row r="61" spans="1:10" x14ac:dyDescent="0.25">
      <c r="A61" s="5" t="s">
        <v>2</v>
      </c>
      <c r="B61" s="4" t="s">
        <v>141</v>
      </c>
    </row>
    <row r="62" spans="1:10" x14ac:dyDescent="0.25">
      <c r="A62" s="5" t="s">
        <v>4</v>
      </c>
      <c r="B62" s="4">
        <v>1</v>
      </c>
    </row>
    <row r="63" spans="1:10" x14ac:dyDescent="0.25">
      <c r="A63" s="5" t="s">
        <v>5</v>
      </c>
      <c r="B63" s="4" t="s">
        <v>6</v>
      </c>
    </row>
    <row r="64" spans="1:10" x14ac:dyDescent="0.25">
      <c r="A64" s="5" t="s">
        <v>7</v>
      </c>
      <c r="B64" s="8" t="s">
        <v>139</v>
      </c>
    </row>
    <row r="65" spans="1:14" x14ac:dyDescent="0.25">
      <c r="A65" s="5" t="s">
        <v>9</v>
      </c>
    </row>
    <row r="66" spans="1:14" x14ac:dyDescent="0.25">
      <c r="A66" s="3" t="s">
        <v>10</v>
      </c>
      <c r="B66" s="3" t="s">
        <v>1</v>
      </c>
      <c r="C66" s="3" t="s">
        <v>2</v>
      </c>
      <c r="D66" s="3" t="s">
        <v>4</v>
      </c>
      <c r="E66" s="3" t="s">
        <v>5</v>
      </c>
      <c r="F66" s="3" t="s">
        <v>11</v>
      </c>
      <c r="G66" s="3" t="s">
        <v>12</v>
      </c>
      <c r="H66" s="3" t="s">
        <v>13</v>
      </c>
      <c r="I66" s="3" t="s">
        <v>14</v>
      </c>
      <c r="J66" s="3" t="s">
        <v>15</v>
      </c>
      <c r="K66" s="3" t="s">
        <v>16</v>
      </c>
      <c r="L66" s="3" t="s">
        <v>17</v>
      </c>
      <c r="M66" s="3" t="s">
        <v>18</v>
      </c>
      <c r="N66" s="3" t="s">
        <v>19</v>
      </c>
    </row>
    <row r="67" spans="1:14" x14ac:dyDescent="0.25">
      <c r="A67" s="4" t="str">
        <f>B59</f>
        <v>Cu/Co ore mining in DRC and CoSO4 production in China/Tongxiang</v>
      </c>
      <c r="B67" s="4" t="str">
        <f>B60</f>
        <v>CoSO4</v>
      </c>
      <c r="C67" s="4" t="s">
        <v>141</v>
      </c>
      <c r="D67" s="4">
        <v>1</v>
      </c>
      <c r="E67" s="4" t="str">
        <f>B63</f>
        <v>kilogram</v>
      </c>
      <c r="F67" s="6" t="str">
        <f>F42</f>
        <v>Cobalt</v>
      </c>
      <c r="G67" s="4" t="s">
        <v>20</v>
      </c>
    </row>
    <row r="68" spans="1:14" x14ac:dyDescent="0.25">
      <c r="A68" s="4" t="str">
        <f>A42</f>
        <v>[P] Cobalt sulfate (CoSO4) production (Tongxiang)</v>
      </c>
      <c r="B68" s="4" t="str">
        <f>B42</f>
        <v>CoSO4</v>
      </c>
      <c r="C68" s="4" t="str">
        <f>C42</f>
        <v>CN</v>
      </c>
      <c r="D68" s="4">
        <v>1</v>
      </c>
      <c r="E68" s="4" t="str">
        <f>E42</f>
        <v>kilogram</v>
      </c>
      <c r="F68" s="6" t="str">
        <f>F42</f>
        <v>Cobalt</v>
      </c>
      <c r="G68" s="4" t="s">
        <v>21</v>
      </c>
    </row>
    <row r="69" spans="1:14" x14ac:dyDescent="0.25">
      <c r="A69" s="4" t="str">
        <f>A24</f>
        <v>[C+P] Cobalt hydroxide (Co(OH)2) production - Hydrometallurgy</v>
      </c>
      <c r="B69" s="4" t="str">
        <f>B24</f>
        <v>Co(OH)2</v>
      </c>
      <c r="C69" s="4" t="str">
        <f>C24</f>
        <v>CD</v>
      </c>
      <c r="D69" s="15">
        <v>1.086273644444445</v>
      </c>
      <c r="E69" s="4" t="str">
        <f>E24</f>
        <v>kilogram</v>
      </c>
      <c r="F69" s="6" t="str">
        <f>F24</f>
        <v>Cobalt</v>
      </c>
      <c r="G69" s="4" t="s">
        <v>21</v>
      </c>
    </row>
    <row r="70" spans="1:14" x14ac:dyDescent="0.25">
      <c r="A70" s="4" t="str">
        <f>A9</f>
        <v>[M] Copper (Cu) ore mining (Cobalt production)</v>
      </c>
      <c r="B70" s="4" t="str">
        <f>B9</f>
        <v>Cu ore</v>
      </c>
      <c r="C70" s="4" t="str">
        <f>C9</f>
        <v>CD</v>
      </c>
      <c r="D70" s="8">
        <v>101.82744081101781</v>
      </c>
      <c r="E70" s="4" t="str">
        <f>E9</f>
        <v>kilogram</v>
      </c>
      <c r="F70" s="6" t="str">
        <f>F9</f>
        <v>Cobalt</v>
      </c>
      <c r="G70" s="4" t="s">
        <v>21</v>
      </c>
    </row>
    <row r="71" spans="1:14" s="9" customFormat="1" x14ac:dyDescent="0.25"/>
    <row r="72" spans="1:14" x14ac:dyDescent="0.25">
      <c r="A72" s="3" t="s">
        <v>0</v>
      </c>
      <c r="B72" s="3" t="s">
        <v>222</v>
      </c>
    </row>
    <row r="73" spans="1:14" x14ac:dyDescent="0.25">
      <c r="A73" s="5" t="s">
        <v>1</v>
      </c>
      <c r="B73" s="4" t="s">
        <v>213</v>
      </c>
    </row>
    <row r="74" spans="1:14" x14ac:dyDescent="0.25">
      <c r="A74" s="5" t="s">
        <v>2</v>
      </c>
      <c r="B74" s="4" t="s">
        <v>141</v>
      </c>
    </row>
    <row r="75" spans="1:14" x14ac:dyDescent="0.25">
      <c r="A75" s="5" t="s">
        <v>4</v>
      </c>
      <c r="B75" s="4">
        <v>1</v>
      </c>
    </row>
    <row r="76" spans="1:14" x14ac:dyDescent="0.25">
      <c r="A76" s="5" t="s">
        <v>5</v>
      </c>
      <c r="B76" s="4" t="s">
        <v>6</v>
      </c>
    </row>
    <row r="77" spans="1:14" x14ac:dyDescent="0.25">
      <c r="A77" s="5" t="s">
        <v>7</v>
      </c>
      <c r="B77" s="8" t="s">
        <v>223</v>
      </c>
    </row>
    <row r="78" spans="1:14" x14ac:dyDescent="0.25">
      <c r="A78" s="5" t="s">
        <v>9</v>
      </c>
    </row>
    <row r="79" spans="1:14" x14ac:dyDescent="0.25">
      <c r="A79" s="3" t="s">
        <v>10</v>
      </c>
      <c r="B79" s="3" t="s">
        <v>1</v>
      </c>
      <c r="C79" s="3" t="s">
        <v>2</v>
      </c>
      <c r="D79" s="3" t="s">
        <v>4</v>
      </c>
      <c r="E79" s="3" t="s">
        <v>5</v>
      </c>
      <c r="F79" s="3" t="s">
        <v>11</v>
      </c>
      <c r="G79" s="3" t="s">
        <v>12</v>
      </c>
      <c r="H79" s="3" t="s">
        <v>13</v>
      </c>
      <c r="I79" s="3" t="s">
        <v>14</v>
      </c>
      <c r="J79" s="3" t="s">
        <v>15</v>
      </c>
      <c r="K79" s="3" t="s">
        <v>16</v>
      </c>
      <c r="L79" s="3" t="s">
        <v>17</v>
      </c>
      <c r="M79" s="3" t="s">
        <v>18</v>
      </c>
      <c r="N79" s="3" t="s">
        <v>19</v>
      </c>
    </row>
    <row r="80" spans="1:14" x14ac:dyDescent="0.25">
      <c r="A80" s="4" t="str">
        <f>B72</f>
        <v>Cu/Co ore mining in DRC and CoSO4 production in China/Tongxiang (Co content)</v>
      </c>
      <c r="B80" s="4" t="str">
        <f>B73</f>
        <v>CoSO4 (Co content)</v>
      </c>
      <c r="C80" s="4" t="s">
        <v>141</v>
      </c>
      <c r="D80" s="4">
        <v>1</v>
      </c>
      <c r="E80" s="4" t="str">
        <f>B76</f>
        <v>kilogram</v>
      </c>
      <c r="F80" s="6" t="str">
        <f>F67</f>
        <v>Cobalt</v>
      </c>
      <c r="G80" s="4" t="s">
        <v>20</v>
      </c>
    </row>
    <row r="81" spans="1:7" x14ac:dyDescent="0.25">
      <c r="A81" s="4" t="str">
        <f>A68</f>
        <v>[P] Cobalt sulfate (CoSO4) production (Tongxiang)</v>
      </c>
      <c r="B81" s="4" t="str">
        <f t="shared" ref="B81:F81" si="0">B68</f>
        <v>CoSO4</v>
      </c>
      <c r="C81" s="4" t="str">
        <f t="shared" si="0"/>
        <v>CN</v>
      </c>
      <c r="D81" s="4">
        <v>2.6301946344029457</v>
      </c>
      <c r="E81" s="4" t="str">
        <f t="shared" si="0"/>
        <v>kilogram</v>
      </c>
      <c r="F81" s="6" t="str">
        <f t="shared" si="0"/>
        <v>Cobalt</v>
      </c>
      <c r="G81" s="4" t="s">
        <v>21</v>
      </c>
    </row>
    <row r="82" spans="1:7" x14ac:dyDescent="0.25">
      <c r="A82" s="4" t="str">
        <f t="shared" ref="A82:F82" si="1">A69</f>
        <v>[C+P] Cobalt hydroxide (Co(OH)2) production - Hydrometallurgy</v>
      </c>
      <c r="B82" s="4" t="str">
        <f t="shared" si="1"/>
        <v>Co(OH)2</v>
      </c>
      <c r="C82" s="4" t="str">
        <f t="shared" si="1"/>
        <v>CD</v>
      </c>
      <c r="D82" s="15">
        <v>2.857111111111112</v>
      </c>
      <c r="E82" s="4" t="str">
        <f t="shared" si="1"/>
        <v>kilogram</v>
      </c>
      <c r="F82" s="6" t="str">
        <f t="shared" si="1"/>
        <v>Cobalt</v>
      </c>
      <c r="G82" s="4" t="s">
        <v>21</v>
      </c>
    </row>
    <row r="83" spans="1:7" x14ac:dyDescent="0.25">
      <c r="A83" s="4" t="str">
        <f t="shared" ref="A83:F83" si="2">A70</f>
        <v>[M] Copper (Cu) ore mining (Cobalt production)</v>
      </c>
      <c r="B83" s="4" t="str">
        <f t="shared" si="2"/>
        <v>Cu ore</v>
      </c>
      <c r="C83" s="4" t="str">
        <f t="shared" si="2"/>
        <v>CD</v>
      </c>
      <c r="D83" s="8">
        <v>267.82598845612256</v>
      </c>
      <c r="E83" s="4" t="str">
        <f t="shared" si="2"/>
        <v>kilogram</v>
      </c>
      <c r="F83" s="6" t="str">
        <f t="shared" si="2"/>
        <v>Cobalt</v>
      </c>
      <c r="G83" s="4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7E26-1958-400B-9D96-50D80A1C45A9}">
  <sheetPr>
    <tabColor theme="8" tint="0.39997558519241921"/>
  </sheetPr>
  <dimension ref="A1:N48"/>
  <sheetViews>
    <sheetView tabSelected="1" topLeftCell="A22" workbookViewId="0">
      <selection activeCell="B37" sqref="B37"/>
    </sheetView>
  </sheetViews>
  <sheetFormatPr baseColWidth="10" defaultColWidth="9.140625" defaultRowHeight="15" x14ac:dyDescent="0.25"/>
  <cols>
    <col min="1" max="2" width="70.85546875" style="4" bestFit="1" customWidth="1"/>
    <col min="3" max="3" width="8.140625" style="4" bestFit="1" customWidth="1"/>
    <col min="4" max="4" width="12" style="4" bestFit="1" customWidth="1"/>
    <col min="5" max="5" width="12.85546875" style="4" bestFit="1" customWidth="1"/>
    <col min="6" max="6" width="19.7109375" style="4" bestFit="1" customWidth="1"/>
    <col min="7" max="7" width="13.28515625" style="4" bestFit="1" customWidth="1"/>
    <col min="8" max="8" width="25.28515625" style="4" bestFit="1" customWidth="1"/>
    <col min="9" max="9" width="15.5703125" style="4" bestFit="1" customWidth="1"/>
    <col min="10" max="10" width="9.7109375" style="4" bestFit="1" customWidth="1"/>
    <col min="11" max="11" width="3.5703125" style="4" bestFit="1" customWidth="1"/>
    <col min="12" max="12" width="5.42578125" style="4" bestFit="1" customWidth="1"/>
    <col min="13" max="13" width="9.5703125" style="4" bestFit="1" customWidth="1"/>
    <col min="14" max="14" width="9.85546875" style="4" bestFit="1" customWidth="1"/>
    <col min="15" max="16384" width="9.140625" style="4"/>
  </cols>
  <sheetData>
    <row r="1" spans="1:14" x14ac:dyDescent="0.25">
      <c r="A1" s="3" t="s">
        <v>0</v>
      </c>
      <c r="B1" s="3" t="s">
        <v>224</v>
      </c>
    </row>
    <row r="2" spans="1:14" x14ac:dyDescent="0.25">
      <c r="A2" s="5" t="s">
        <v>1</v>
      </c>
      <c r="B2" s="4" t="s">
        <v>225</v>
      </c>
    </row>
    <row r="3" spans="1:14" x14ac:dyDescent="0.25">
      <c r="A3" s="5" t="s">
        <v>2</v>
      </c>
      <c r="B3" s="4" t="s">
        <v>141</v>
      </c>
    </row>
    <row r="4" spans="1:14" x14ac:dyDescent="0.25">
      <c r="A4" s="5" t="s">
        <v>4</v>
      </c>
      <c r="B4" s="4">
        <v>1</v>
      </c>
    </row>
    <row r="5" spans="1:14" x14ac:dyDescent="0.25">
      <c r="A5" s="5" t="s">
        <v>5</v>
      </c>
      <c r="B5" s="4" t="s">
        <v>6</v>
      </c>
    </row>
    <row r="6" spans="1:14" x14ac:dyDescent="0.25">
      <c r="A6" s="5" t="s">
        <v>7</v>
      </c>
      <c r="B6" s="4" t="s">
        <v>8</v>
      </c>
    </row>
    <row r="7" spans="1:14" x14ac:dyDescent="0.25">
      <c r="A7" s="5" t="s">
        <v>9</v>
      </c>
    </row>
    <row r="8" spans="1:14" x14ac:dyDescent="0.25">
      <c r="A8" s="3" t="s">
        <v>10</v>
      </c>
      <c r="B8" s="3" t="s">
        <v>1</v>
      </c>
      <c r="C8" s="3" t="s">
        <v>2</v>
      </c>
      <c r="D8" s="3" t="s">
        <v>4</v>
      </c>
      <c r="E8" s="3" t="s">
        <v>5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  <c r="N8" s="3" t="s">
        <v>19</v>
      </c>
    </row>
    <row r="9" spans="1:14" x14ac:dyDescent="0.25">
      <c r="A9" s="4" t="str">
        <f>B1</f>
        <v>[P] Cobalt (II,III) oxide (Co3O4) production (Quzhou)</v>
      </c>
      <c r="B9" s="4" t="str">
        <f>B2</f>
        <v>Co3O4</v>
      </c>
      <c r="C9" s="4" t="str">
        <f>B3</f>
        <v>CN</v>
      </c>
      <c r="D9" s="4">
        <v>1</v>
      </c>
      <c r="E9" s="4" t="str">
        <f>B5</f>
        <v>kilogram</v>
      </c>
      <c r="F9" s="6" t="str">
        <f>Co_Market_GLO!B1</f>
        <v>Cobalt</v>
      </c>
      <c r="G9" s="4" t="s">
        <v>20</v>
      </c>
    </row>
    <row r="10" spans="1:14" x14ac:dyDescent="0.25">
      <c r="A10" s="4" t="s">
        <v>52</v>
      </c>
      <c r="B10" s="4" t="s">
        <v>53</v>
      </c>
      <c r="C10" s="4" t="s">
        <v>141</v>
      </c>
      <c r="D10" s="15">
        <v>5.2442857142857152E-2</v>
      </c>
      <c r="E10" s="4" t="s">
        <v>49</v>
      </c>
      <c r="F10" s="4" t="s">
        <v>77</v>
      </c>
      <c r="G10" s="4" t="s">
        <v>21</v>
      </c>
      <c r="J10" s="4" t="s">
        <v>226</v>
      </c>
    </row>
    <row r="11" spans="1:14" x14ac:dyDescent="0.25">
      <c r="A11" s="4" t="s">
        <v>218</v>
      </c>
      <c r="B11" s="4" t="s">
        <v>219</v>
      </c>
      <c r="C11" s="4" t="s">
        <v>25</v>
      </c>
      <c r="D11" s="15">
        <v>4.1954285714285717</v>
      </c>
      <c r="E11" s="4" t="s">
        <v>6</v>
      </c>
      <c r="F11" s="4" t="s">
        <v>77</v>
      </c>
      <c r="G11" s="4" t="s">
        <v>21</v>
      </c>
      <c r="J11" s="4" t="s">
        <v>226</v>
      </c>
    </row>
    <row r="12" spans="1:14" x14ac:dyDescent="0.25">
      <c r="A12" s="4" t="s">
        <v>26</v>
      </c>
      <c r="B12" s="4" t="s">
        <v>27</v>
      </c>
      <c r="C12" s="4" t="s">
        <v>141</v>
      </c>
      <c r="D12" s="15">
        <v>2.517257142857143E-2</v>
      </c>
      <c r="E12" s="4" t="s">
        <v>29</v>
      </c>
      <c r="F12" s="4" t="s">
        <v>77</v>
      </c>
      <c r="G12" s="4" t="s">
        <v>21</v>
      </c>
      <c r="J12" s="4" t="s">
        <v>226</v>
      </c>
    </row>
    <row r="13" spans="1:14" x14ac:dyDescent="0.25">
      <c r="A13" s="4" t="s">
        <v>227</v>
      </c>
      <c r="B13" s="4" t="s">
        <v>228</v>
      </c>
      <c r="C13" s="4" t="s">
        <v>28</v>
      </c>
      <c r="D13" s="4">
        <v>1.6666339999999999</v>
      </c>
      <c r="E13" s="4" t="s">
        <v>6</v>
      </c>
      <c r="F13" s="4" t="s">
        <v>77</v>
      </c>
      <c r="G13" s="4" t="s">
        <v>21</v>
      </c>
      <c r="J13" s="4" t="s">
        <v>226</v>
      </c>
    </row>
    <row r="14" spans="1:14" x14ac:dyDescent="0.25">
      <c r="A14" s="4" t="s">
        <v>68</v>
      </c>
      <c r="B14" s="4" t="s">
        <v>69</v>
      </c>
      <c r="C14" s="4" t="s">
        <v>25</v>
      </c>
      <c r="D14" s="4">
        <v>1.4683999999999999</v>
      </c>
      <c r="E14" s="4" t="s">
        <v>6</v>
      </c>
      <c r="F14" s="4" t="s">
        <v>77</v>
      </c>
      <c r="G14" s="4" t="s">
        <v>21</v>
      </c>
      <c r="J14" s="4" t="s">
        <v>226</v>
      </c>
    </row>
    <row r="15" spans="1:14" x14ac:dyDescent="0.25">
      <c r="A15" s="4" t="s">
        <v>229</v>
      </c>
      <c r="B15" s="4" t="s">
        <v>230</v>
      </c>
      <c r="C15" s="4" t="s">
        <v>28</v>
      </c>
      <c r="D15" s="4">
        <v>2.517257142857143E-3</v>
      </c>
      <c r="E15" s="4" t="s">
        <v>6</v>
      </c>
      <c r="F15" s="4" t="s">
        <v>77</v>
      </c>
      <c r="G15" s="4" t="s">
        <v>21</v>
      </c>
      <c r="J15" s="4" t="s">
        <v>226</v>
      </c>
    </row>
    <row r="16" spans="1:14" x14ac:dyDescent="0.25">
      <c r="A16" s="4" t="s">
        <v>151</v>
      </c>
      <c r="B16" s="4" t="s">
        <v>152</v>
      </c>
      <c r="C16" s="4" t="s">
        <v>25</v>
      </c>
      <c r="D16" s="4">
        <v>1.3582700000000001</v>
      </c>
      <c r="E16" s="4" t="s">
        <v>6</v>
      </c>
      <c r="F16" s="4" t="s">
        <v>77</v>
      </c>
      <c r="G16" s="4" t="s">
        <v>21</v>
      </c>
      <c r="J16" s="4" t="s">
        <v>226</v>
      </c>
    </row>
    <row r="17" spans="1:14" x14ac:dyDescent="0.25">
      <c r="A17" s="4" t="s">
        <v>48</v>
      </c>
      <c r="D17" s="4">
        <v>1.0069028571428572E-2</v>
      </c>
      <c r="E17" s="4" t="s">
        <v>49</v>
      </c>
      <c r="F17" s="4" t="s">
        <v>45</v>
      </c>
      <c r="G17" s="4" t="s">
        <v>46</v>
      </c>
      <c r="H17" s="4" t="s">
        <v>47</v>
      </c>
      <c r="J17" s="4" t="s">
        <v>226</v>
      </c>
    </row>
    <row r="18" spans="1:14" x14ac:dyDescent="0.25">
      <c r="A18" s="4" t="s">
        <v>85</v>
      </c>
      <c r="D18" s="4">
        <v>0.92672296377008989</v>
      </c>
      <c r="E18" s="4" t="s">
        <v>6</v>
      </c>
      <c r="F18" s="4" t="s">
        <v>45</v>
      </c>
      <c r="G18" s="4" t="s">
        <v>46</v>
      </c>
      <c r="H18" s="4" t="s">
        <v>76</v>
      </c>
      <c r="J18" s="4" t="s">
        <v>226</v>
      </c>
    </row>
    <row r="19" spans="1:14" s="9" customFormat="1" x14ac:dyDescent="0.25"/>
    <row r="20" spans="1:14" x14ac:dyDescent="0.25">
      <c r="A20" s="3" t="s">
        <v>0</v>
      </c>
      <c r="B20" s="3" t="s">
        <v>231</v>
      </c>
    </row>
    <row r="21" spans="1:14" x14ac:dyDescent="0.25">
      <c r="A21" s="5" t="s">
        <v>1</v>
      </c>
      <c r="B21" s="4" t="s">
        <v>225</v>
      </c>
    </row>
    <row r="22" spans="1:14" x14ac:dyDescent="0.25">
      <c r="A22" s="5" t="s">
        <v>2</v>
      </c>
      <c r="B22" s="4" t="s">
        <v>141</v>
      </c>
    </row>
    <row r="23" spans="1:14" x14ac:dyDescent="0.25">
      <c r="A23" s="5" t="s">
        <v>4</v>
      </c>
      <c r="B23" s="4">
        <v>1</v>
      </c>
    </row>
    <row r="24" spans="1:14" x14ac:dyDescent="0.25">
      <c r="A24" s="5" t="s">
        <v>5</v>
      </c>
      <c r="B24" s="4" t="s">
        <v>6</v>
      </c>
    </row>
    <row r="25" spans="1:14" x14ac:dyDescent="0.25">
      <c r="A25" s="5" t="s">
        <v>7</v>
      </c>
      <c r="B25" s="8" t="s">
        <v>139</v>
      </c>
    </row>
    <row r="26" spans="1:14" x14ac:dyDescent="0.25">
      <c r="A26" s="5" t="s">
        <v>9</v>
      </c>
    </row>
    <row r="27" spans="1:14" x14ac:dyDescent="0.25">
      <c r="A27" s="3" t="s">
        <v>10</v>
      </c>
      <c r="B27" s="3" t="s">
        <v>1</v>
      </c>
      <c r="C27" s="3" t="s">
        <v>2</v>
      </c>
      <c r="D27" s="3" t="s">
        <v>4</v>
      </c>
      <c r="E27" s="3" t="s">
        <v>5</v>
      </c>
      <c r="F27" s="3" t="s">
        <v>11</v>
      </c>
      <c r="G27" s="3" t="s">
        <v>12</v>
      </c>
      <c r="H27" s="3" t="s">
        <v>13</v>
      </c>
      <c r="I27" s="3" t="s">
        <v>14</v>
      </c>
      <c r="J27" s="3" t="s">
        <v>15</v>
      </c>
      <c r="K27" s="3" t="s">
        <v>16</v>
      </c>
      <c r="L27" s="3" t="s">
        <v>17</v>
      </c>
      <c r="M27" s="3" t="s">
        <v>18</v>
      </c>
      <c r="N27" s="3" t="s">
        <v>19</v>
      </c>
    </row>
    <row r="28" spans="1:14" x14ac:dyDescent="0.25">
      <c r="A28" s="4" t="str">
        <f>B20</f>
        <v>Cu/Co ore mining in DRC and Co3O4 production in China/Quzhou</v>
      </c>
      <c r="B28" s="4" t="str">
        <f>B21</f>
        <v>Co3O4</v>
      </c>
      <c r="C28" s="4" t="s">
        <v>141</v>
      </c>
      <c r="D28" s="4">
        <v>1</v>
      </c>
      <c r="E28" s="4" t="str">
        <f>B24</f>
        <v>kilogram</v>
      </c>
      <c r="F28" s="6" t="str">
        <f>F9</f>
        <v>Cobalt</v>
      </c>
      <c r="G28" s="4" t="s">
        <v>20</v>
      </c>
    </row>
    <row r="29" spans="1:14" x14ac:dyDescent="0.25">
      <c r="A29" s="4" t="str">
        <f>A9</f>
        <v>[P] Cobalt (II,III) oxide (Co3O4) production (Quzhou)</v>
      </c>
      <c r="B29" s="4" t="str">
        <f>B9</f>
        <v>Co3O4</v>
      </c>
      <c r="C29" s="4" t="str">
        <f>C9</f>
        <v>CN</v>
      </c>
      <c r="D29" s="4">
        <v>1</v>
      </c>
      <c r="E29" s="4" t="str">
        <f>E9</f>
        <v>kilogram</v>
      </c>
      <c r="F29" s="6" t="str">
        <f>F9</f>
        <v>Cobalt</v>
      </c>
      <c r="G29" s="4" t="s">
        <v>21</v>
      </c>
    </row>
    <row r="30" spans="1:14" x14ac:dyDescent="0.25">
      <c r="A30" s="4" t="str">
        <f>'PR2_CoSO4_CD-CN_Tongxiang'!A42</f>
        <v>[P] Cobalt sulfate (CoSO4) production (Tongxiang)</v>
      </c>
      <c r="B30" s="4" t="str">
        <f>'PR2_CoSO4_CD-CN_Tongxiang'!B42</f>
        <v>CoSO4</v>
      </c>
      <c r="C30" s="4" t="str">
        <f>'PR2_CoSO4_CD-CN_Tongxiang'!C42</f>
        <v>CN</v>
      </c>
      <c r="D30" s="4">
        <v>1.490426</v>
      </c>
      <c r="E30" s="4" t="str">
        <f>'PR2_CoSO4_CD-CN_Tongxiang'!E42</f>
        <v>kilogram</v>
      </c>
      <c r="F30" s="6" t="str">
        <f>'PR2_CoSO4_CD-CN_Tongxiang'!F42</f>
        <v>Cobalt</v>
      </c>
      <c r="G30" s="4" t="s">
        <v>21</v>
      </c>
    </row>
    <row r="31" spans="1:14" x14ac:dyDescent="0.25">
      <c r="A31" s="4" t="str">
        <f>'PR2_CoSO4_CD-CN_Tongxiang'!A24</f>
        <v>[C+P] Cobalt hydroxide (Co(OH)2) production - Hydrometallurgy</v>
      </c>
      <c r="B31" s="4" t="str">
        <f>'PR2_CoSO4_CD-CN_Tongxiang'!B24</f>
        <v>Co(OH)2</v>
      </c>
      <c r="C31" s="4" t="str">
        <f>'PR2_CoSO4_CD-CN_Tongxiang'!C24</f>
        <v>CD</v>
      </c>
      <c r="D31" s="4">
        <v>1.6190104827947565</v>
      </c>
      <c r="E31" s="4" t="str">
        <f>'PR2_CoSO4_CD-CN_Tongxiang'!E24</f>
        <v>kilogram</v>
      </c>
      <c r="F31" s="6" t="str">
        <f>'PR2_CoSO4_CD-CN_Tongxiang'!F24</f>
        <v>Cobalt</v>
      </c>
      <c r="G31" s="4" t="s">
        <v>21</v>
      </c>
    </row>
    <row r="32" spans="1:14" x14ac:dyDescent="0.25">
      <c r="A32" s="4" t="str">
        <f>'PR2_CoSO4_CD-CN_Tongxiang'!A9</f>
        <v>[M] Copper (Cu) ore mining (Cobalt production)</v>
      </c>
      <c r="B32" s="4" t="str">
        <f>'PR2_CoSO4_CD-CN_Tongxiang'!B9</f>
        <v>Cu ore</v>
      </c>
      <c r="C32" s="4" t="str">
        <f>'PR2_CoSO4_CD-CN_Tongxiang'!C9</f>
        <v>CD</v>
      </c>
      <c r="D32" s="8">
        <v>164.85969410920043</v>
      </c>
      <c r="E32" s="4" t="str">
        <f>'PR2_CoSO4_CD-CN_Tongxiang'!E9</f>
        <v>kilogram</v>
      </c>
      <c r="F32" s="6" t="str">
        <f>'PR2_CoSO4_CD-CN_Tongxiang'!F9</f>
        <v>Cobalt</v>
      </c>
      <c r="G32" s="4" t="s">
        <v>21</v>
      </c>
    </row>
    <row r="33" spans="1:14" s="9" customFormat="1" x14ac:dyDescent="0.25"/>
    <row r="34" spans="1:14" x14ac:dyDescent="0.25">
      <c r="A34" s="3" t="s">
        <v>0</v>
      </c>
      <c r="B34" s="3" t="s">
        <v>232</v>
      </c>
    </row>
    <row r="35" spans="1:14" x14ac:dyDescent="0.25">
      <c r="A35" s="5" t="s">
        <v>1</v>
      </c>
      <c r="B35" s="4" t="s">
        <v>233</v>
      </c>
    </row>
    <row r="36" spans="1:14" x14ac:dyDescent="0.25">
      <c r="A36" s="5" t="s">
        <v>2</v>
      </c>
      <c r="B36" s="4" t="s">
        <v>141</v>
      </c>
    </row>
    <row r="37" spans="1:14" x14ac:dyDescent="0.25">
      <c r="A37" s="5" t="s">
        <v>4</v>
      </c>
      <c r="B37" s="4">
        <v>1</v>
      </c>
    </row>
    <row r="38" spans="1:14" x14ac:dyDescent="0.25">
      <c r="A38" s="5" t="s">
        <v>5</v>
      </c>
      <c r="B38" s="4" t="s">
        <v>6</v>
      </c>
    </row>
    <row r="39" spans="1:14" ht="30" x14ac:dyDescent="0.25">
      <c r="A39" s="5" t="s">
        <v>7</v>
      </c>
      <c r="B39" s="14" t="s">
        <v>234</v>
      </c>
    </row>
    <row r="40" spans="1:14" x14ac:dyDescent="0.25">
      <c r="A40" s="5" t="s">
        <v>9</v>
      </c>
    </row>
    <row r="41" spans="1:14" x14ac:dyDescent="0.25">
      <c r="A41" s="3" t="s">
        <v>10</v>
      </c>
      <c r="B41" s="3" t="s">
        <v>1</v>
      </c>
      <c r="C41" s="3" t="s">
        <v>2</v>
      </c>
      <c r="D41" s="3" t="s">
        <v>4</v>
      </c>
      <c r="E41" s="3" t="s">
        <v>5</v>
      </c>
      <c r="F41" s="3" t="s">
        <v>11</v>
      </c>
      <c r="G41" s="3" t="s">
        <v>12</v>
      </c>
      <c r="H41" s="3" t="s">
        <v>13</v>
      </c>
      <c r="I41" s="3" t="s">
        <v>14</v>
      </c>
      <c r="J41" s="3" t="s">
        <v>15</v>
      </c>
      <c r="K41" s="3" t="s">
        <v>16</v>
      </c>
      <c r="L41" s="3" t="s">
        <v>17</v>
      </c>
      <c r="M41" s="3" t="s">
        <v>18</v>
      </c>
      <c r="N41" s="3" t="s">
        <v>19</v>
      </c>
    </row>
    <row r="42" spans="1:14" x14ac:dyDescent="0.25">
      <c r="A42" s="4" t="str">
        <f>B34</f>
        <v>Cu/Co ore mining in DRC and Co3O4 production in China/Quzhou (Co content)</v>
      </c>
      <c r="B42" s="4" t="str">
        <f>B35</f>
        <v>Co3O4 (Co content)</v>
      </c>
      <c r="C42" s="4" t="s">
        <v>141</v>
      </c>
      <c r="D42" s="4">
        <v>1</v>
      </c>
      <c r="E42" s="4" t="str">
        <f>B38</f>
        <v>kilogram</v>
      </c>
      <c r="F42" s="6" t="str">
        <f>F28</f>
        <v>Cobalt</v>
      </c>
      <c r="G42" s="4" t="s">
        <v>20</v>
      </c>
    </row>
    <row r="43" spans="1:14" x14ac:dyDescent="0.25">
      <c r="A43" s="4" t="str">
        <f>A29</f>
        <v>[P] Cobalt (II,III) oxide (Co3O4) production (Quzhou)</v>
      </c>
      <c r="B43" s="4" t="str">
        <f t="shared" ref="B43:F43" si="0">B29</f>
        <v>Co3O4</v>
      </c>
      <c r="C43" s="4" t="str">
        <f t="shared" si="0"/>
        <v>CN</v>
      </c>
      <c r="D43" s="4">
        <v>1.3620266957232363</v>
      </c>
      <c r="E43" s="4" t="str">
        <f t="shared" si="0"/>
        <v>kilogram</v>
      </c>
      <c r="F43" s="6" t="str">
        <f t="shared" si="0"/>
        <v>Cobalt</v>
      </c>
      <c r="G43" s="4" t="s">
        <v>21</v>
      </c>
    </row>
    <row r="44" spans="1:14" x14ac:dyDescent="0.25">
      <c r="A44" s="4" t="str">
        <f t="shared" ref="A44:F44" si="1">A30</f>
        <v>[P] Cobalt sulfate (CoSO4) production (Tongxiang)</v>
      </c>
      <c r="B44" s="4" t="str">
        <f t="shared" si="1"/>
        <v>CoSO4</v>
      </c>
      <c r="C44" s="4" t="str">
        <f t="shared" si="1"/>
        <v>CN</v>
      </c>
      <c r="D44" s="4">
        <v>2.0300000000000002</v>
      </c>
      <c r="E44" s="4" t="str">
        <f t="shared" si="1"/>
        <v>kilogram</v>
      </c>
      <c r="F44" s="6" t="str">
        <f t="shared" si="1"/>
        <v>Cobalt</v>
      </c>
      <c r="G44" s="4" t="s">
        <v>21</v>
      </c>
    </row>
    <row r="45" spans="1:14" x14ac:dyDescent="0.25">
      <c r="A45" s="4" t="str">
        <f t="shared" ref="A45:F45" si="2">A31</f>
        <v>[C+P] Cobalt hydroxide (Co(OH)2) production - Hydrometallurgy</v>
      </c>
      <c r="B45" s="4" t="str">
        <f t="shared" si="2"/>
        <v>Co(OH)2</v>
      </c>
      <c r="C45" s="4" t="str">
        <f t="shared" si="2"/>
        <v>CD</v>
      </c>
      <c r="D45" s="4">
        <v>2.2051354982222238</v>
      </c>
      <c r="E45" s="4" t="str">
        <f t="shared" si="2"/>
        <v>kilogram</v>
      </c>
      <c r="F45" s="6" t="str">
        <f t="shared" si="2"/>
        <v>Cobalt</v>
      </c>
      <c r="G45" s="4" t="s">
        <v>21</v>
      </c>
    </row>
    <row r="46" spans="1:14" x14ac:dyDescent="0.25">
      <c r="A46" s="4" t="str">
        <f t="shared" ref="A46:F46" si="3">A32</f>
        <v>[M] Copper (Cu) ore mining (Cobalt production)</v>
      </c>
      <c r="B46" s="4" t="str">
        <f t="shared" si="3"/>
        <v>Cu ore</v>
      </c>
      <c r="C46" s="4" t="str">
        <f t="shared" si="3"/>
        <v>CD</v>
      </c>
      <c r="D46" s="8">
        <v>224.54330442549775</v>
      </c>
      <c r="E46" s="4" t="str">
        <f t="shared" si="3"/>
        <v>kilogram</v>
      </c>
      <c r="F46" s="6" t="str">
        <f t="shared" si="3"/>
        <v>Cobalt</v>
      </c>
      <c r="G46" s="4" t="s">
        <v>21</v>
      </c>
    </row>
    <row r="47" spans="1:14" x14ac:dyDescent="0.25">
      <c r="F47" s="6"/>
    </row>
    <row r="48" spans="1:14" x14ac:dyDescent="0.25">
      <c r="F48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3F8D-74F1-45E2-B58C-765CEE130E2D}">
  <sheetPr>
    <tabColor theme="8" tint="0.39997558519241921"/>
  </sheetPr>
  <dimension ref="A1:N24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58.42578125" style="4" bestFit="1" customWidth="1"/>
    <col min="2" max="2" width="39.85546875" style="4" bestFit="1" customWidth="1"/>
    <col min="3" max="3" width="11" style="4" bestFit="1" customWidth="1"/>
    <col min="4" max="4" width="12" style="4" bestFit="1" customWidth="1"/>
    <col min="5" max="5" width="12.85546875" style="4" bestFit="1" customWidth="1"/>
    <col min="6" max="6" width="19.7109375" style="4" bestFit="1" customWidth="1"/>
    <col min="7" max="7" width="13.28515625" style="4" bestFit="1" customWidth="1"/>
    <col min="8" max="8" width="10.140625" style="4" bestFit="1" customWidth="1"/>
    <col min="9" max="9" width="15.5703125" style="4" bestFit="1" customWidth="1"/>
    <col min="10" max="10" width="9.7109375" style="4" bestFit="1" customWidth="1"/>
    <col min="11" max="11" width="3.5703125" style="4" bestFit="1" customWidth="1"/>
    <col min="12" max="12" width="5.42578125" style="4" bestFit="1" customWidth="1"/>
    <col min="13" max="13" width="9.5703125" style="4" bestFit="1" customWidth="1"/>
    <col min="14" max="14" width="9.85546875" style="4" bestFit="1" customWidth="1"/>
    <col min="15" max="16384" width="9.140625" style="4"/>
  </cols>
  <sheetData>
    <row r="1" spans="1:14" x14ac:dyDescent="0.25">
      <c r="A1" s="3" t="s">
        <v>0</v>
      </c>
      <c r="B1" s="3" t="s">
        <v>235</v>
      </c>
    </row>
    <row r="2" spans="1:14" x14ac:dyDescent="0.25">
      <c r="A2" s="5" t="s">
        <v>1</v>
      </c>
      <c r="B2" s="4" t="s">
        <v>236</v>
      </c>
    </row>
    <row r="3" spans="1:14" x14ac:dyDescent="0.25">
      <c r="A3" s="5" t="s">
        <v>2</v>
      </c>
      <c r="B3" s="4" t="s">
        <v>28</v>
      </c>
    </row>
    <row r="4" spans="1:14" x14ac:dyDescent="0.25">
      <c r="A4" s="5" t="s">
        <v>4</v>
      </c>
      <c r="B4" s="4">
        <v>1</v>
      </c>
    </row>
    <row r="5" spans="1:14" x14ac:dyDescent="0.25">
      <c r="A5" s="5" t="s">
        <v>5</v>
      </c>
      <c r="B5" s="4" t="s">
        <v>6</v>
      </c>
    </row>
    <row r="6" spans="1:14" x14ac:dyDescent="0.25">
      <c r="A6" s="5" t="s">
        <v>7</v>
      </c>
      <c r="B6" s="4" t="s">
        <v>8</v>
      </c>
    </row>
    <row r="7" spans="1:14" x14ac:dyDescent="0.25">
      <c r="A7" s="5" t="s">
        <v>9</v>
      </c>
    </row>
    <row r="8" spans="1:14" x14ac:dyDescent="0.25">
      <c r="A8" s="3" t="s">
        <v>10</v>
      </c>
      <c r="B8" s="3" t="s">
        <v>1</v>
      </c>
      <c r="C8" s="3" t="s">
        <v>2</v>
      </c>
      <c r="D8" s="3" t="s">
        <v>4</v>
      </c>
      <c r="E8" s="3" t="s">
        <v>5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  <c r="N8" s="3" t="s">
        <v>19</v>
      </c>
    </row>
    <row r="9" spans="1:14" x14ac:dyDescent="0.25">
      <c r="A9" s="4" t="str">
        <f>B1</f>
        <v>[R] Cobalt (Co) metal production</v>
      </c>
      <c r="B9" s="4" t="str">
        <f>B2</f>
        <v>Co metal</v>
      </c>
      <c r="C9" s="4" t="str">
        <f>B3</f>
        <v>GLO</v>
      </c>
      <c r="D9" s="4">
        <v>1</v>
      </c>
      <c r="E9" s="4" t="str">
        <f>B5</f>
        <v>kilogram</v>
      </c>
      <c r="F9" s="6" t="str">
        <f>Co_Market_GLO!B1</f>
        <v>Cobalt</v>
      </c>
      <c r="G9" s="4" t="s">
        <v>20</v>
      </c>
    </row>
    <row r="10" spans="1:14" x14ac:dyDescent="0.25">
      <c r="A10" s="4" t="s">
        <v>26</v>
      </c>
      <c r="B10" s="4" t="s">
        <v>27</v>
      </c>
      <c r="C10" s="4" t="s">
        <v>141</v>
      </c>
      <c r="D10" s="4">
        <v>3.4</v>
      </c>
      <c r="E10" s="4" t="s">
        <v>29</v>
      </c>
      <c r="F10" s="4" t="s">
        <v>77</v>
      </c>
      <c r="G10" s="4" t="s">
        <v>21</v>
      </c>
      <c r="J10" s="4" t="s">
        <v>237</v>
      </c>
    </row>
    <row r="11" spans="1:14" s="9" customFormat="1" x14ac:dyDescent="0.25"/>
    <row r="12" spans="1:14" x14ac:dyDescent="0.25">
      <c r="A12" s="3" t="s">
        <v>0</v>
      </c>
      <c r="B12" s="3" t="s">
        <v>238</v>
      </c>
    </row>
    <row r="13" spans="1:14" x14ac:dyDescent="0.25">
      <c r="A13" s="5" t="s">
        <v>1</v>
      </c>
      <c r="B13" s="4" t="s">
        <v>236</v>
      </c>
    </row>
    <row r="14" spans="1:14" x14ac:dyDescent="0.25">
      <c r="A14" s="5" t="s">
        <v>2</v>
      </c>
      <c r="B14" s="4" t="s">
        <v>141</v>
      </c>
    </row>
    <row r="15" spans="1:14" x14ac:dyDescent="0.25">
      <c r="A15" s="5" t="s">
        <v>4</v>
      </c>
      <c r="B15" s="4">
        <v>1</v>
      </c>
    </row>
    <row r="16" spans="1:14" x14ac:dyDescent="0.25">
      <c r="A16" s="5" t="s">
        <v>5</v>
      </c>
      <c r="B16" s="4" t="s">
        <v>6</v>
      </c>
    </row>
    <row r="17" spans="1:14" x14ac:dyDescent="0.25">
      <c r="A17" s="5" t="s">
        <v>7</v>
      </c>
      <c r="B17" s="8" t="s">
        <v>139</v>
      </c>
    </row>
    <row r="18" spans="1:14" x14ac:dyDescent="0.25">
      <c r="A18" s="5" t="s">
        <v>9</v>
      </c>
    </row>
    <row r="19" spans="1:14" x14ac:dyDescent="0.25">
      <c r="A19" s="3" t="s">
        <v>10</v>
      </c>
      <c r="B19" s="3" t="s">
        <v>1</v>
      </c>
      <c r="C19" s="3" t="s">
        <v>2</v>
      </c>
      <c r="D19" s="3" t="s">
        <v>4</v>
      </c>
      <c r="E19" s="3" t="s">
        <v>5</v>
      </c>
      <c r="F19" s="3" t="s">
        <v>11</v>
      </c>
      <c r="G19" s="3" t="s">
        <v>12</v>
      </c>
      <c r="H19" s="3" t="s">
        <v>13</v>
      </c>
      <c r="I19" s="3" t="s">
        <v>14</v>
      </c>
      <c r="J19" s="3" t="s">
        <v>15</v>
      </c>
      <c r="K19" s="3" t="s">
        <v>16</v>
      </c>
      <c r="L19" s="3" t="s">
        <v>17</v>
      </c>
      <c r="M19" s="3" t="s">
        <v>18</v>
      </c>
      <c r="N19" s="3" t="s">
        <v>19</v>
      </c>
    </row>
    <row r="20" spans="1:14" x14ac:dyDescent="0.25">
      <c r="A20" s="4" t="str">
        <f>B12</f>
        <v>Cu/Co ore mining in DRC and Co production</v>
      </c>
      <c r="B20" s="4" t="str">
        <f>B13</f>
        <v>Co metal</v>
      </c>
      <c r="C20" s="4" t="s">
        <v>141</v>
      </c>
      <c r="D20" s="4">
        <v>1</v>
      </c>
      <c r="E20" s="4" t="str">
        <f>B16</f>
        <v>kilogram</v>
      </c>
      <c r="F20" s="6" t="str">
        <f>F9</f>
        <v>Cobalt</v>
      </c>
      <c r="G20" s="4" t="s">
        <v>20</v>
      </c>
    </row>
    <row r="21" spans="1:14" x14ac:dyDescent="0.25">
      <c r="A21" s="4" t="str">
        <f>A9</f>
        <v>[R] Cobalt (Co) metal production</v>
      </c>
      <c r="B21" s="4" t="str">
        <f>B9</f>
        <v>Co metal</v>
      </c>
      <c r="C21" s="4" t="str">
        <f>C9</f>
        <v>GLO</v>
      </c>
      <c r="D21" s="4">
        <v>1</v>
      </c>
      <c r="E21" s="4" t="str">
        <f>E9</f>
        <v>kilogram</v>
      </c>
      <c r="F21" s="6" t="str">
        <f>F9</f>
        <v>Cobalt</v>
      </c>
      <c r="G21" s="4" t="s">
        <v>21</v>
      </c>
    </row>
    <row r="22" spans="1:14" x14ac:dyDescent="0.25">
      <c r="A22" s="4" t="str">
        <f>'PR2_CoSO4_CD-CN_Tongxiang'!A68</f>
        <v>[P] Cobalt sulfate (CoSO4) production (Tongxiang)</v>
      </c>
      <c r="B22" s="4" t="str">
        <f>'PR2_CoSO4_CD-CN_Tongxiang'!B68</f>
        <v>CoSO4</v>
      </c>
      <c r="C22" s="4" t="str">
        <f>'PR2_CoSO4_CD-CN_Tongxiang'!C68</f>
        <v>CN</v>
      </c>
      <c r="D22" s="4">
        <v>2.63</v>
      </c>
      <c r="E22" s="4" t="str">
        <f>'PR2_CoSO4_CD-CN_Tongxiang'!E68</f>
        <v>kilogram</v>
      </c>
      <c r="F22" s="6" t="str">
        <f>'PR2_CoSO4_CD-CN_Tongxiang'!F68</f>
        <v>Cobalt</v>
      </c>
      <c r="G22" s="4" t="s">
        <v>21</v>
      </c>
    </row>
    <row r="23" spans="1:14" x14ac:dyDescent="0.25">
      <c r="A23" s="4" t="str">
        <f>'PR2_CoSO4_CD-CN_Tongxiang'!A69</f>
        <v>[C+P] Cobalt hydroxide (Co(OH)2) production - Hydrometallurgy</v>
      </c>
      <c r="B23" s="4" t="str">
        <f>'PR2_CoSO4_CD-CN_Tongxiang'!B69</f>
        <v>Co(OH)2</v>
      </c>
      <c r="C23" s="4" t="str">
        <f>'PR2_CoSO4_CD-CN_Tongxiang'!C69</f>
        <v>CD</v>
      </c>
      <c r="D23" s="4">
        <v>2.8568996848888903</v>
      </c>
      <c r="E23" s="4" t="str">
        <f>'PR2_CoSO4_CD-CN_Tongxiang'!E69</f>
        <v>kilogram</v>
      </c>
      <c r="F23" s="6" t="str">
        <f>'PR2_CoSO4_CD-CN_Tongxiang'!F69</f>
        <v>Cobalt</v>
      </c>
      <c r="G23" s="4" t="s">
        <v>21</v>
      </c>
    </row>
    <row r="24" spans="1:14" x14ac:dyDescent="0.25">
      <c r="A24" s="4" t="str">
        <f>'PR2_CoSO4_CD-CN_Tongxiang'!A70</f>
        <v>[M] Copper (Cu) ore mining (Cobalt production)</v>
      </c>
      <c r="B24" s="4" t="str">
        <f>'PR2_CoSO4_CD-CN_Tongxiang'!B70</f>
        <v>Cu ore</v>
      </c>
      <c r="C24" s="4" t="str">
        <f>'PR2_CoSO4_CD-CN_Tongxiang'!C70</f>
        <v>CD</v>
      </c>
      <c r="D24" s="8">
        <v>290.9107835660389</v>
      </c>
      <c r="E24" s="4" t="str">
        <f>'PR2_CoSO4_CD-CN_Tongxiang'!E70</f>
        <v>kilogram</v>
      </c>
      <c r="F24" s="6" t="str">
        <f>'PR2_CoSO4_CD-CN_Tongxiang'!F70</f>
        <v>Cobalt</v>
      </c>
      <c r="G24" s="4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A7FD-CB8D-40C7-A4A6-D58023F739DE}">
  <sheetPr>
    <tabColor theme="8" tint="0.39997558519241921"/>
  </sheetPr>
  <dimension ref="A1:N29"/>
  <sheetViews>
    <sheetView zoomScaleNormal="100" workbookViewId="0">
      <selection sqref="A1:XFD1048576"/>
    </sheetView>
  </sheetViews>
  <sheetFormatPr baseColWidth="10" defaultColWidth="8.85546875" defaultRowHeight="15" x14ac:dyDescent="0.25"/>
  <cols>
    <col min="1" max="2" width="77.28515625" style="4" bestFit="1" customWidth="1"/>
    <col min="3" max="3" width="8.140625" style="4" bestFit="1" customWidth="1"/>
    <col min="4" max="4" width="12.7109375" style="4" bestFit="1" customWidth="1"/>
    <col min="5" max="5" width="13.140625" style="4" bestFit="1" customWidth="1"/>
    <col min="6" max="6" width="19.7109375" style="4" bestFit="1" customWidth="1"/>
    <col min="7" max="7" width="13.28515625" style="4" bestFit="1" customWidth="1"/>
    <col min="8" max="8" width="25.28515625" style="4" bestFit="1" customWidth="1"/>
    <col min="9" max="9" width="15.5703125" style="4" bestFit="1" customWidth="1"/>
    <col min="10" max="10" width="9.7109375" style="4" bestFit="1" customWidth="1"/>
    <col min="11" max="11" width="3.5703125" style="4" bestFit="1" customWidth="1"/>
    <col min="12" max="12" width="5.42578125" style="4" bestFit="1" customWidth="1"/>
    <col min="13" max="13" width="9.5703125" style="4" bestFit="1" customWidth="1"/>
    <col min="14" max="14" width="9.85546875" style="4" bestFit="1" customWidth="1"/>
    <col min="15" max="16384" width="8.85546875" style="4"/>
  </cols>
  <sheetData>
    <row r="1" spans="1:14" x14ac:dyDescent="0.25">
      <c r="A1" s="2" t="s">
        <v>0</v>
      </c>
      <c r="B1" s="3" t="s">
        <v>89</v>
      </c>
    </row>
    <row r="2" spans="1:14" x14ac:dyDescent="0.25">
      <c r="A2" s="5" t="s">
        <v>1</v>
      </c>
      <c r="B2" s="4" t="s">
        <v>90</v>
      </c>
    </row>
    <row r="3" spans="1:14" x14ac:dyDescent="0.25">
      <c r="A3" s="5" t="s">
        <v>2</v>
      </c>
      <c r="B3" s="4" t="s">
        <v>3</v>
      </c>
    </row>
    <row r="4" spans="1:14" x14ac:dyDescent="0.25">
      <c r="A4" s="5" t="s">
        <v>4</v>
      </c>
      <c r="B4" s="4">
        <v>1</v>
      </c>
    </row>
    <row r="5" spans="1:14" x14ac:dyDescent="0.25">
      <c r="A5" s="5" t="s">
        <v>5</v>
      </c>
      <c r="B5" s="4" t="s">
        <v>6</v>
      </c>
    </row>
    <row r="6" spans="1:14" ht="45" x14ac:dyDescent="0.25">
      <c r="A6" s="5" t="s">
        <v>7</v>
      </c>
      <c r="B6" s="1" t="s">
        <v>130</v>
      </c>
    </row>
    <row r="7" spans="1:14" x14ac:dyDescent="0.25">
      <c r="A7" s="5" t="s">
        <v>9</v>
      </c>
    </row>
    <row r="8" spans="1:14" x14ac:dyDescent="0.25">
      <c r="A8" s="2" t="s">
        <v>10</v>
      </c>
      <c r="B8" s="2" t="s">
        <v>1</v>
      </c>
      <c r="C8" s="2" t="s">
        <v>2</v>
      </c>
      <c r="D8" s="2" t="s">
        <v>4</v>
      </c>
      <c r="E8" s="2" t="s">
        <v>5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  <c r="N8" s="2" t="s">
        <v>19</v>
      </c>
    </row>
    <row r="9" spans="1:14" x14ac:dyDescent="0.25">
      <c r="A9" s="4" t="str">
        <f>B1</f>
        <v>[M+C+P+R] Cobalt (Co) production - High Pressure Acid Leaching (HPAL)</v>
      </c>
      <c r="B9" s="4" t="str">
        <f>B2</f>
        <v>Co</v>
      </c>
      <c r="C9" s="4" t="str">
        <f>B3</f>
        <v>AU</v>
      </c>
      <c r="D9" s="4">
        <v>1</v>
      </c>
      <c r="E9" s="4" t="str">
        <f>B5</f>
        <v>kilogram</v>
      </c>
      <c r="F9" s="6" t="str">
        <f>Co_Market_GLO!B1</f>
        <v>Cobalt</v>
      </c>
      <c r="G9" s="4" t="s">
        <v>20</v>
      </c>
    </row>
    <row r="10" spans="1:14" s="7" customFormat="1" x14ac:dyDescent="0.25">
      <c r="A10" s="7" t="s">
        <v>23</v>
      </c>
      <c r="B10" s="7" t="s">
        <v>24</v>
      </c>
      <c r="C10" s="7" t="s">
        <v>25</v>
      </c>
      <c r="D10" s="8">
        <v>-4.8228571428571421</v>
      </c>
      <c r="E10" s="7" t="s">
        <v>6</v>
      </c>
      <c r="F10" s="7" t="s">
        <v>77</v>
      </c>
      <c r="G10" s="7" t="s">
        <v>21</v>
      </c>
      <c r="J10" s="7" t="s">
        <v>22</v>
      </c>
    </row>
    <row r="11" spans="1:14" x14ac:dyDescent="0.25">
      <c r="A11" s="4" t="s">
        <v>26</v>
      </c>
      <c r="B11" s="4" t="s">
        <v>27</v>
      </c>
      <c r="C11" s="4" t="s">
        <v>28</v>
      </c>
      <c r="D11" s="8">
        <v>22.910528577434008</v>
      </c>
      <c r="E11" s="4" t="s">
        <v>29</v>
      </c>
      <c r="F11" s="4" t="s">
        <v>77</v>
      </c>
      <c r="G11" s="4" t="s">
        <v>21</v>
      </c>
      <c r="J11" s="4" t="s">
        <v>30</v>
      </c>
    </row>
    <row r="12" spans="1:14" x14ac:dyDescent="0.25">
      <c r="A12" s="4" t="s">
        <v>31</v>
      </c>
      <c r="B12" s="4" t="s">
        <v>32</v>
      </c>
      <c r="C12" s="4" t="s">
        <v>28</v>
      </c>
      <c r="D12" s="8">
        <v>67.838075117782097</v>
      </c>
      <c r="E12" s="4" t="s">
        <v>33</v>
      </c>
      <c r="F12" s="4" t="s">
        <v>77</v>
      </c>
      <c r="G12" s="4" t="s">
        <v>21</v>
      </c>
      <c r="J12" s="4" t="s">
        <v>30</v>
      </c>
    </row>
    <row r="13" spans="1:14" x14ac:dyDescent="0.25">
      <c r="A13" s="4" t="s">
        <v>34</v>
      </c>
      <c r="B13" s="4" t="s">
        <v>35</v>
      </c>
      <c r="C13" s="4" t="s">
        <v>28</v>
      </c>
      <c r="D13" s="8">
        <v>17.093545371623517</v>
      </c>
      <c r="E13" s="4" t="s">
        <v>33</v>
      </c>
      <c r="F13" s="4" t="s">
        <v>77</v>
      </c>
      <c r="G13" s="4" t="s">
        <v>21</v>
      </c>
      <c r="J13" s="4" t="s">
        <v>30</v>
      </c>
    </row>
    <row r="14" spans="1:14" x14ac:dyDescent="0.25">
      <c r="A14" s="4" t="s">
        <v>36</v>
      </c>
      <c r="B14" s="4" t="s">
        <v>37</v>
      </c>
      <c r="C14" s="4" t="s">
        <v>25</v>
      </c>
      <c r="D14" s="8">
        <v>2.2910528577434008</v>
      </c>
      <c r="E14" s="4" t="s">
        <v>38</v>
      </c>
      <c r="F14" s="4" t="s">
        <v>77</v>
      </c>
      <c r="G14" s="4" t="s">
        <v>21</v>
      </c>
      <c r="J14" s="4" t="s">
        <v>30</v>
      </c>
    </row>
    <row r="15" spans="1:14" x14ac:dyDescent="0.25">
      <c r="A15" s="4" t="s">
        <v>39</v>
      </c>
      <c r="B15" s="4" t="s">
        <v>40</v>
      </c>
      <c r="C15" s="4" t="s">
        <v>25</v>
      </c>
      <c r="D15" s="8">
        <v>36.106993038035995</v>
      </c>
      <c r="E15" s="4" t="s">
        <v>6</v>
      </c>
      <c r="F15" s="4" t="s">
        <v>77</v>
      </c>
      <c r="G15" s="4" t="s">
        <v>21</v>
      </c>
      <c r="J15" s="4" t="s">
        <v>30</v>
      </c>
    </row>
    <row r="16" spans="1:14" x14ac:dyDescent="0.25">
      <c r="A16" s="4" t="s">
        <v>41</v>
      </c>
      <c r="B16" s="4" t="s">
        <v>42</v>
      </c>
      <c r="C16" s="4" t="s">
        <v>25</v>
      </c>
      <c r="D16" s="8">
        <v>0.16953791147301164</v>
      </c>
      <c r="E16" s="4" t="s">
        <v>6</v>
      </c>
      <c r="F16" s="4" t="s">
        <v>77</v>
      </c>
      <c r="G16" s="4" t="s">
        <v>21</v>
      </c>
      <c r="J16" s="4" t="s">
        <v>22</v>
      </c>
    </row>
    <row r="17" spans="1:14" x14ac:dyDescent="0.25">
      <c r="A17" s="4" t="s">
        <v>43</v>
      </c>
      <c r="B17" s="4" t="s">
        <v>44</v>
      </c>
      <c r="C17" s="4" t="s">
        <v>28</v>
      </c>
      <c r="D17" s="8">
        <v>30.21898719363546</v>
      </c>
      <c r="E17" s="4" t="s">
        <v>6</v>
      </c>
      <c r="F17" s="4" t="s">
        <v>77</v>
      </c>
      <c r="G17" s="4" t="s">
        <v>21</v>
      </c>
      <c r="J17" s="4" t="s">
        <v>22</v>
      </c>
    </row>
    <row r="18" spans="1:14" x14ac:dyDescent="0.25">
      <c r="A18" s="4" t="s">
        <v>48</v>
      </c>
      <c r="D18" s="8">
        <v>3.1868545251210705</v>
      </c>
      <c r="E18" s="4" t="s">
        <v>49</v>
      </c>
      <c r="F18" s="4" t="s">
        <v>45</v>
      </c>
      <c r="G18" s="4" t="s">
        <v>46</v>
      </c>
      <c r="H18" s="4" t="s">
        <v>47</v>
      </c>
      <c r="J18" s="4" t="s">
        <v>30</v>
      </c>
    </row>
    <row r="19" spans="1:14" s="9" customFormat="1" x14ac:dyDescent="0.25"/>
    <row r="20" spans="1:14" x14ac:dyDescent="0.25">
      <c r="A20" s="2" t="s">
        <v>0</v>
      </c>
      <c r="B20" s="3" t="s">
        <v>91</v>
      </c>
    </row>
    <row r="21" spans="1:14" x14ac:dyDescent="0.25">
      <c r="A21" s="5" t="s">
        <v>1</v>
      </c>
      <c r="B21" s="4" t="s">
        <v>90</v>
      </c>
    </row>
    <row r="22" spans="1:14" x14ac:dyDescent="0.25">
      <c r="A22" s="5" t="s">
        <v>2</v>
      </c>
      <c r="B22" s="4" t="s">
        <v>3</v>
      </c>
    </row>
    <row r="23" spans="1:14" x14ac:dyDescent="0.25">
      <c r="A23" s="5" t="s">
        <v>4</v>
      </c>
      <c r="B23" s="4">
        <v>1</v>
      </c>
    </row>
    <row r="24" spans="1:14" x14ac:dyDescent="0.25">
      <c r="A24" s="5" t="s">
        <v>5</v>
      </c>
      <c r="B24" s="4" t="s">
        <v>6</v>
      </c>
    </row>
    <row r="25" spans="1:14" x14ac:dyDescent="0.25">
      <c r="A25" s="5" t="s">
        <v>7</v>
      </c>
      <c r="B25" s="10" t="s">
        <v>8</v>
      </c>
    </row>
    <row r="26" spans="1:14" x14ac:dyDescent="0.25">
      <c r="A26" s="5" t="s">
        <v>9</v>
      </c>
    </row>
    <row r="27" spans="1:14" x14ac:dyDescent="0.25">
      <c r="A27" s="2" t="s">
        <v>10</v>
      </c>
      <c r="B27" s="2" t="s">
        <v>1</v>
      </c>
      <c r="C27" s="2" t="s">
        <v>2</v>
      </c>
      <c r="D27" s="2" t="s">
        <v>4</v>
      </c>
      <c r="E27" s="2" t="s">
        <v>5</v>
      </c>
      <c r="F27" s="2" t="s">
        <v>11</v>
      </c>
      <c r="G27" s="2" t="s">
        <v>12</v>
      </c>
      <c r="H27" s="2" t="s">
        <v>13</v>
      </c>
      <c r="I27" s="2" t="s">
        <v>14</v>
      </c>
      <c r="J27" s="2" t="s">
        <v>15</v>
      </c>
      <c r="K27" s="2" t="s">
        <v>16</v>
      </c>
      <c r="L27" s="2" t="s">
        <v>17</v>
      </c>
      <c r="M27" s="2" t="s">
        <v>18</v>
      </c>
      <c r="N27" s="2" t="s">
        <v>19</v>
      </c>
    </row>
    <row r="28" spans="1:14" x14ac:dyDescent="0.25">
      <c r="A28" s="4" t="str">
        <f>B20</f>
        <v>Co recovery from laterite ore mining and Ni class 1 production in Australia from HPAL</v>
      </c>
      <c r="B28" s="4" t="str">
        <f>B21</f>
        <v>Co</v>
      </c>
      <c r="C28" s="4" t="str">
        <f>B22</f>
        <v>AU</v>
      </c>
      <c r="D28" s="4">
        <v>1</v>
      </c>
      <c r="E28" s="4" t="str">
        <f>B24</f>
        <v>kilogram</v>
      </c>
      <c r="F28" s="6" t="str">
        <f>F9</f>
        <v>Cobalt</v>
      </c>
      <c r="G28" s="4" t="s">
        <v>20</v>
      </c>
    </row>
    <row r="29" spans="1:14" x14ac:dyDescent="0.25">
      <c r="A29" s="4" t="str">
        <f>A9</f>
        <v>[M+C+P+R] Cobalt (Co) production - High Pressure Acid Leaching (HPAL)</v>
      </c>
      <c r="B29" s="4" t="str">
        <f t="shared" ref="B29:F29" si="0">B9</f>
        <v>Co</v>
      </c>
      <c r="C29" s="4" t="str">
        <f t="shared" si="0"/>
        <v>AU</v>
      </c>
      <c r="D29" s="4">
        <v>1</v>
      </c>
      <c r="E29" s="4" t="str">
        <f t="shared" si="0"/>
        <v>kilogram</v>
      </c>
      <c r="F29" s="6" t="str">
        <f t="shared" si="0"/>
        <v>Cobalt</v>
      </c>
      <c r="G29" s="4" t="s">
        <v>21</v>
      </c>
    </row>
  </sheetData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7DF3-0010-454D-94FA-839502F5F6F6}">
  <sheetPr>
    <tabColor theme="8" tint="0.39997558519241921"/>
  </sheetPr>
  <dimension ref="A1:N51"/>
  <sheetViews>
    <sheetView topLeftCell="A35" workbookViewId="0">
      <selection sqref="A1:XFD1048576"/>
    </sheetView>
  </sheetViews>
  <sheetFormatPr baseColWidth="10" defaultColWidth="8.85546875" defaultRowHeight="15" x14ac:dyDescent="0.25"/>
  <cols>
    <col min="1" max="2" width="88.28515625" style="4" bestFit="1" customWidth="1"/>
    <col min="3" max="3" width="8.140625" style="4" bestFit="1" customWidth="1"/>
    <col min="4" max="4" width="12" style="4" bestFit="1" customWidth="1"/>
    <col min="5" max="5" width="12.85546875" style="4" bestFit="1" customWidth="1"/>
    <col min="6" max="6" width="19.7109375" style="4" bestFit="1" customWidth="1"/>
    <col min="7" max="7" width="13.28515625" style="4" bestFit="1" customWidth="1"/>
    <col min="8" max="8" width="25.28515625" style="4" bestFit="1" customWidth="1"/>
    <col min="9" max="9" width="15.5703125" style="4" bestFit="1" customWidth="1"/>
    <col min="10" max="10" width="17.7109375" style="4" bestFit="1" customWidth="1"/>
    <col min="11" max="11" width="3.5703125" style="4" bestFit="1" customWidth="1"/>
    <col min="12" max="12" width="5.42578125" style="4" bestFit="1" customWidth="1"/>
    <col min="13" max="13" width="9.5703125" style="4" bestFit="1" customWidth="1"/>
    <col min="14" max="14" width="9.85546875" style="4" bestFit="1" customWidth="1"/>
    <col min="15" max="16384" width="8.85546875" style="4"/>
  </cols>
  <sheetData>
    <row r="1" spans="1:14" x14ac:dyDescent="0.25">
      <c r="A1" s="2" t="s">
        <v>0</v>
      </c>
      <c r="B1" s="3" t="s">
        <v>78</v>
      </c>
    </row>
    <row r="2" spans="1:14" x14ac:dyDescent="0.25">
      <c r="A2" s="5" t="s">
        <v>1</v>
      </c>
      <c r="B2" s="4" t="s">
        <v>79</v>
      </c>
    </row>
    <row r="3" spans="1:14" x14ac:dyDescent="0.25">
      <c r="A3" s="5" t="s">
        <v>2</v>
      </c>
      <c r="B3" s="4" t="s">
        <v>3</v>
      </c>
    </row>
    <row r="4" spans="1:14" x14ac:dyDescent="0.25">
      <c r="A4" s="5" t="s">
        <v>4</v>
      </c>
      <c r="B4" s="4">
        <v>1</v>
      </c>
    </row>
    <row r="5" spans="1:14" x14ac:dyDescent="0.25">
      <c r="A5" s="5" t="s">
        <v>5</v>
      </c>
      <c r="B5" s="4" t="s">
        <v>6</v>
      </c>
    </row>
    <row r="6" spans="1:14" ht="45" x14ac:dyDescent="0.25">
      <c r="A6" s="5" t="s">
        <v>7</v>
      </c>
      <c r="B6" s="12" t="s">
        <v>131</v>
      </c>
    </row>
    <row r="7" spans="1:14" x14ac:dyDescent="0.25">
      <c r="A7" s="5" t="s">
        <v>9</v>
      </c>
    </row>
    <row r="8" spans="1:14" x14ac:dyDescent="0.25">
      <c r="A8" s="2" t="s">
        <v>10</v>
      </c>
      <c r="B8" s="2" t="s">
        <v>1</v>
      </c>
      <c r="C8" s="2" t="s">
        <v>2</v>
      </c>
      <c r="D8" s="2" t="s">
        <v>4</v>
      </c>
      <c r="E8" s="2" t="s">
        <v>5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  <c r="N8" s="2" t="s">
        <v>19</v>
      </c>
    </row>
    <row r="9" spans="1:14" x14ac:dyDescent="0.25">
      <c r="A9" s="4" t="str">
        <f>B1</f>
        <v>[M+C] Nickel (Ni) ore mining and concentration</v>
      </c>
      <c r="B9" s="4" t="str">
        <f>B2</f>
        <v>Ni concentrate</v>
      </c>
      <c r="C9" s="4" t="str">
        <f>B3</f>
        <v>AU</v>
      </c>
      <c r="D9" s="4">
        <v>1</v>
      </c>
      <c r="E9" s="4" t="str">
        <f>B5</f>
        <v>kilogram</v>
      </c>
      <c r="F9" s="6" t="str">
        <f>Co_Market_GLO!B1</f>
        <v>Cobalt</v>
      </c>
      <c r="G9" s="4" t="s">
        <v>20</v>
      </c>
    </row>
    <row r="10" spans="1:14" x14ac:dyDescent="0.25">
      <c r="A10" s="4" t="s">
        <v>34</v>
      </c>
      <c r="B10" s="4" t="s">
        <v>35</v>
      </c>
      <c r="C10" s="4" t="s">
        <v>28</v>
      </c>
      <c r="D10" s="4">
        <v>235.57450905168074</v>
      </c>
      <c r="E10" s="4" t="s">
        <v>33</v>
      </c>
      <c r="F10" s="4" t="s">
        <v>77</v>
      </c>
      <c r="G10" s="4" t="s">
        <v>21</v>
      </c>
      <c r="J10" s="4" t="s">
        <v>50</v>
      </c>
    </row>
    <row r="11" spans="1:14" x14ac:dyDescent="0.25">
      <c r="A11" s="4" t="s">
        <v>51</v>
      </c>
      <c r="B11" s="4" t="s">
        <v>27</v>
      </c>
      <c r="C11" s="4" t="s">
        <v>3</v>
      </c>
      <c r="D11" s="4">
        <v>142.27952491137225</v>
      </c>
      <c r="E11" s="4" t="s">
        <v>29</v>
      </c>
      <c r="F11" s="4" t="s">
        <v>77</v>
      </c>
      <c r="G11" s="4" t="s">
        <v>21</v>
      </c>
      <c r="J11" s="4" t="s">
        <v>50</v>
      </c>
    </row>
    <row r="12" spans="1:14" x14ac:dyDescent="0.25">
      <c r="A12" s="4" t="s">
        <v>51</v>
      </c>
      <c r="B12" s="4" t="s">
        <v>27</v>
      </c>
      <c r="C12" s="4" t="s">
        <v>3</v>
      </c>
      <c r="D12" s="4">
        <v>190.95245918898144</v>
      </c>
      <c r="E12" s="4" t="s">
        <v>29</v>
      </c>
      <c r="F12" s="4" t="s">
        <v>77</v>
      </c>
      <c r="G12" s="4" t="s">
        <v>21</v>
      </c>
      <c r="J12" s="4" t="s">
        <v>50</v>
      </c>
    </row>
    <row r="13" spans="1:14" x14ac:dyDescent="0.25">
      <c r="A13" s="4" t="s">
        <v>52</v>
      </c>
      <c r="B13" s="4" t="s">
        <v>53</v>
      </c>
      <c r="C13" s="4" t="s">
        <v>25</v>
      </c>
      <c r="D13" s="4">
        <v>13.905704741919751</v>
      </c>
      <c r="E13" s="4" t="s">
        <v>49</v>
      </c>
      <c r="F13" s="4" t="s">
        <v>77</v>
      </c>
      <c r="G13" s="4" t="s">
        <v>21</v>
      </c>
      <c r="J13" s="4" t="s">
        <v>54</v>
      </c>
    </row>
    <row r="14" spans="1:14" x14ac:dyDescent="0.25">
      <c r="A14" s="4" t="s">
        <v>55</v>
      </c>
      <c r="D14" s="4">
        <v>4.468125509645569</v>
      </c>
      <c r="E14" s="4" t="s">
        <v>6</v>
      </c>
      <c r="F14" s="4" t="s">
        <v>45</v>
      </c>
      <c r="G14" s="4" t="s">
        <v>46</v>
      </c>
      <c r="H14" s="4" t="s">
        <v>47</v>
      </c>
      <c r="J14" s="4" t="s">
        <v>50</v>
      </c>
    </row>
    <row r="15" spans="1:14" s="11" customFormat="1" x14ac:dyDescent="0.25"/>
    <row r="16" spans="1:14" x14ac:dyDescent="0.25">
      <c r="A16" s="2" t="s">
        <v>0</v>
      </c>
      <c r="B16" s="3" t="s">
        <v>93</v>
      </c>
    </row>
    <row r="17" spans="1:14" x14ac:dyDescent="0.25">
      <c r="A17" s="5" t="s">
        <v>1</v>
      </c>
      <c r="B17" s="4" t="s">
        <v>90</v>
      </c>
    </row>
    <row r="18" spans="1:14" x14ac:dyDescent="0.25">
      <c r="A18" s="5" t="s">
        <v>2</v>
      </c>
      <c r="B18" s="4" t="s">
        <v>3</v>
      </c>
    </row>
    <row r="19" spans="1:14" x14ac:dyDescent="0.25">
      <c r="A19" s="5" t="s">
        <v>4</v>
      </c>
      <c r="B19" s="4">
        <v>1</v>
      </c>
    </row>
    <row r="20" spans="1:14" x14ac:dyDescent="0.25">
      <c r="A20" s="5" t="s">
        <v>5</v>
      </c>
      <c r="B20" s="4" t="s">
        <v>6</v>
      </c>
    </row>
    <row r="21" spans="1:14" ht="14.45" customHeight="1" x14ac:dyDescent="0.25">
      <c r="A21" s="5" t="s">
        <v>7</v>
      </c>
      <c r="B21" s="1" t="s">
        <v>132</v>
      </c>
    </row>
    <row r="22" spans="1:14" x14ac:dyDescent="0.25">
      <c r="A22" s="5" t="s">
        <v>9</v>
      </c>
    </row>
    <row r="23" spans="1:14" x14ac:dyDescent="0.25">
      <c r="A23" s="2" t="s">
        <v>10</v>
      </c>
      <c r="B23" s="2" t="s">
        <v>1</v>
      </c>
      <c r="C23" s="2" t="s">
        <v>2</v>
      </c>
      <c r="D23" s="2" t="s">
        <v>4</v>
      </c>
      <c r="E23" s="2" t="s">
        <v>5</v>
      </c>
      <c r="F23" s="2" t="s">
        <v>11</v>
      </c>
      <c r="G23" s="2" t="s">
        <v>12</v>
      </c>
      <c r="H23" s="2" t="s">
        <v>13</v>
      </c>
      <c r="I23" s="2" t="s">
        <v>14</v>
      </c>
      <c r="J23" s="2" t="s">
        <v>15</v>
      </c>
      <c r="K23" s="2" t="s">
        <v>16</v>
      </c>
      <c r="L23" s="2" t="s">
        <v>17</v>
      </c>
      <c r="M23" s="2" t="s">
        <v>18</v>
      </c>
      <c r="N23" s="2" t="s">
        <v>19</v>
      </c>
    </row>
    <row r="24" spans="1:14" x14ac:dyDescent="0.25">
      <c r="A24" s="4" t="str">
        <f>B16</f>
        <v>[P+R] Cobalt (Co) production - Flash Smelting</v>
      </c>
      <c r="B24" s="4" t="str">
        <f>B17</f>
        <v>Co</v>
      </c>
      <c r="C24" s="4" t="str">
        <f>B18</f>
        <v>AU</v>
      </c>
      <c r="D24" s="4">
        <v>1</v>
      </c>
      <c r="E24" s="4" t="s">
        <v>6</v>
      </c>
      <c r="F24" s="6" t="str">
        <f>F9</f>
        <v>Cobalt</v>
      </c>
      <c r="G24" s="4" t="s">
        <v>20</v>
      </c>
    </row>
    <row r="25" spans="1:14" x14ac:dyDescent="0.25">
      <c r="A25" s="4" t="s">
        <v>34</v>
      </c>
      <c r="B25" s="4" t="s">
        <v>35</v>
      </c>
      <c r="C25" s="4" t="s">
        <v>28</v>
      </c>
      <c r="D25" s="8">
        <v>37.232177325555838</v>
      </c>
      <c r="E25" s="4" t="s">
        <v>33</v>
      </c>
      <c r="F25" s="4" t="s">
        <v>77</v>
      </c>
      <c r="G25" s="4" t="s">
        <v>21</v>
      </c>
      <c r="J25" s="4" t="s">
        <v>50</v>
      </c>
    </row>
    <row r="26" spans="1:14" x14ac:dyDescent="0.25">
      <c r="A26" s="4" t="s">
        <v>34</v>
      </c>
      <c r="B26" s="4" t="s">
        <v>35</v>
      </c>
      <c r="C26" s="4" t="s">
        <v>28</v>
      </c>
      <c r="D26" s="8">
        <v>59.571483720889347</v>
      </c>
      <c r="E26" s="4" t="s">
        <v>33</v>
      </c>
      <c r="F26" s="4" t="s">
        <v>77</v>
      </c>
      <c r="G26" s="4" t="s">
        <v>21</v>
      </c>
      <c r="J26" s="4" t="s">
        <v>54</v>
      </c>
    </row>
    <row r="27" spans="1:14" x14ac:dyDescent="0.25">
      <c r="A27" s="4" t="s">
        <v>56</v>
      </c>
      <c r="B27" s="4" t="s">
        <v>57</v>
      </c>
      <c r="C27" s="4" t="s">
        <v>3</v>
      </c>
      <c r="D27" s="8">
        <v>3.7507971231671071</v>
      </c>
      <c r="E27" s="4" t="s">
        <v>6</v>
      </c>
      <c r="F27" s="4" t="s">
        <v>77</v>
      </c>
      <c r="G27" s="4" t="s">
        <v>21</v>
      </c>
      <c r="J27" s="4" t="s">
        <v>54</v>
      </c>
    </row>
    <row r="28" spans="1:14" x14ac:dyDescent="0.25">
      <c r="A28" s="4" t="s">
        <v>58</v>
      </c>
      <c r="B28" s="4" t="s">
        <v>59</v>
      </c>
      <c r="C28" s="4" t="s">
        <v>25</v>
      </c>
      <c r="D28" s="8">
        <v>92.455310460028429</v>
      </c>
      <c r="E28" s="4" t="s">
        <v>49</v>
      </c>
      <c r="F28" s="4" t="s">
        <v>77</v>
      </c>
      <c r="G28" s="4" t="s">
        <v>21</v>
      </c>
      <c r="J28" s="4" t="s">
        <v>54</v>
      </c>
    </row>
    <row r="29" spans="1:14" x14ac:dyDescent="0.25">
      <c r="A29" s="4" t="s">
        <v>58</v>
      </c>
      <c r="B29" s="4" t="s">
        <v>59</v>
      </c>
      <c r="C29" s="4" t="s">
        <v>25</v>
      </c>
      <c r="D29" s="8">
        <v>3.1440505297136045</v>
      </c>
      <c r="E29" s="4" t="s">
        <v>49</v>
      </c>
      <c r="F29" s="4" t="s">
        <v>77</v>
      </c>
      <c r="G29" s="4" t="s">
        <v>21</v>
      </c>
      <c r="J29" s="4" t="s">
        <v>54</v>
      </c>
    </row>
    <row r="30" spans="1:14" x14ac:dyDescent="0.25">
      <c r="A30" s="4" t="s">
        <v>60</v>
      </c>
      <c r="B30" s="4" t="s">
        <v>61</v>
      </c>
      <c r="C30" s="4" t="s">
        <v>28</v>
      </c>
      <c r="D30" s="8">
        <v>20.555839135788364</v>
      </c>
      <c r="E30" s="4" t="s">
        <v>6</v>
      </c>
      <c r="F30" s="4" t="s">
        <v>77</v>
      </c>
      <c r="G30" s="4" t="s">
        <v>21</v>
      </c>
      <c r="J30" s="4" t="s">
        <v>54</v>
      </c>
    </row>
    <row r="31" spans="1:14" x14ac:dyDescent="0.25">
      <c r="A31" s="4" t="s">
        <v>58</v>
      </c>
      <c r="B31" s="4" t="s">
        <v>59</v>
      </c>
      <c r="C31" s="4" t="s">
        <v>25</v>
      </c>
      <c r="D31" s="8">
        <v>22.633486561856419</v>
      </c>
      <c r="E31" s="4" t="s">
        <v>49</v>
      </c>
      <c r="F31" s="4" t="s">
        <v>77</v>
      </c>
      <c r="G31" s="4" t="s">
        <v>21</v>
      </c>
      <c r="J31" s="4" t="s">
        <v>54</v>
      </c>
    </row>
    <row r="32" spans="1:14" x14ac:dyDescent="0.25">
      <c r="A32" s="4" t="s">
        <v>60</v>
      </c>
      <c r="B32" s="4" t="s">
        <v>61</v>
      </c>
      <c r="C32" s="4" t="s">
        <v>28</v>
      </c>
      <c r="D32" s="8">
        <v>2.6935871497253978</v>
      </c>
      <c r="E32" s="4" t="s">
        <v>6</v>
      </c>
      <c r="F32" s="4" t="s">
        <v>77</v>
      </c>
      <c r="G32" s="4" t="s">
        <v>21</v>
      </c>
      <c r="J32" s="4" t="s">
        <v>54</v>
      </c>
    </row>
    <row r="33" spans="1:14" x14ac:dyDescent="0.25">
      <c r="A33" s="4" t="s">
        <v>34</v>
      </c>
      <c r="B33" s="4" t="s">
        <v>35</v>
      </c>
      <c r="C33" s="4" t="s">
        <v>28</v>
      </c>
      <c r="D33" s="8">
        <v>9.5148897609753824</v>
      </c>
      <c r="E33" s="4" t="s">
        <v>33</v>
      </c>
      <c r="F33" s="4" t="s">
        <v>77</v>
      </c>
      <c r="G33" s="4" t="s">
        <v>21</v>
      </c>
      <c r="J33" s="4" t="s">
        <v>50</v>
      </c>
    </row>
    <row r="34" spans="1:14" x14ac:dyDescent="0.25">
      <c r="A34" s="4" t="s">
        <v>62</v>
      </c>
      <c r="B34" s="4" t="s">
        <v>63</v>
      </c>
      <c r="C34" s="4" t="s">
        <v>25</v>
      </c>
      <c r="D34" s="8">
        <v>83.083833530232965</v>
      </c>
      <c r="E34" s="4" t="s">
        <v>33</v>
      </c>
      <c r="F34" s="4" t="s">
        <v>77</v>
      </c>
      <c r="G34" s="4" t="s">
        <v>21</v>
      </c>
      <c r="J34" s="4" t="s">
        <v>54</v>
      </c>
    </row>
    <row r="35" spans="1:14" x14ac:dyDescent="0.25">
      <c r="A35" s="4" t="s">
        <v>51</v>
      </c>
      <c r="B35" s="4" t="s">
        <v>27</v>
      </c>
      <c r="C35" s="4" t="s">
        <v>3</v>
      </c>
      <c r="D35" s="8">
        <v>6.3892254916694595</v>
      </c>
      <c r="E35" s="4" t="s">
        <v>29</v>
      </c>
      <c r="F35" s="4" t="s">
        <v>77</v>
      </c>
      <c r="G35" s="4" t="s">
        <v>21</v>
      </c>
      <c r="J35" s="4" t="s">
        <v>54</v>
      </c>
    </row>
    <row r="36" spans="1:14" x14ac:dyDescent="0.25">
      <c r="A36" s="4" t="s">
        <v>41</v>
      </c>
      <c r="B36" s="4" t="s">
        <v>42</v>
      </c>
      <c r="C36" s="4" t="s">
        <v>25</v>
      </c>
      <c r="D36" s="8">
        <v>5.8560239398466845</v>
      </c>
      <c r="E36" s="4" t="s">
        <v>6</v>
      </c>
      <c r="F36" s="4" t="s">
        <v>77</v>
      </c>
      <c r="G36" s="4" t="s">
        <v>21</v>
      </c>
      <c r="J36" s="4" t="s">
        <v>50</v>
      </c>
    </row>
    <row r="37" spans="1:14" x14ac:dyDescent="0.25">
      <c r="A37" s="4" t="s">
        <v>64</v>
      </c>
      <c r="B37" s="4" t="s">
        <v>65</v>
      </c>
      <c r="C37" s="4" t="s">
        <v>25</v>
      </c>
      <c r="D37" s="8">
        <v>0.64351911426886643</v>
      </c>
      <c r="E37" s="4" t="s">
        <v>6</v>
      </c>
      <c r="F37" s="4" t="s">
        <v>77</v>
      </c>
      <c r="G37" s="4" t="s">
        <v>21</v>
      </c>
      <c r="J37" s="4" t="s">
        <v>50</v>
      </c>
    </row>
    <row r="38" spans="1:14" x14ac:dyDescent="0.25">
      <c r="A38" s="4" t="s">
        <v>51</v>
      </c>
      <c r="B38" s="4" t="s">
        <v>27</v>
      </c>
      <c r="C38" s="4" t="s">
        <v>3</v>
      </c>
      <c r="D38" s="8">
        <v>26.660077591138752</v>
      </c>
      <c r="E38" s="4" t="s">
        <v>29</v>
      </c>
      <c r="F38" s="4" t="s">
        <v>77</v>
      </c>
      <c r="G38" s="4" t="s">
        <v>21</v>
      </c>
      <c r="J38" s="4" t="s">
        <v>50</v>
      </c>
    </row>
    <row r="39" spans="1:14" x14ac:dyDescent="0.25">
      <c r="A39" s="4" t="s">
        <v>52</v>
      </c>
      <c r="B39" s="4" t="s">
        <v>53</v>
      </c>
      <c r="C39" s="4" t="s">
        <v>25</v>
      </c>
      <c r="D39" s="8">
        <v>4.6278342522736748</v>
      </c>
      <c r="E39" s="4" t="s">
        <v>49</v>
      </c>
      <c r="F39" s="4" t="s">
        <v>77</v>
      </c>
      <c r="G39" s="4" t="s">
        <v>21</v>
      </c>
      <c r="J39" s="4" t="s">
        <v>50</v>
      </c>
    </row>
    <row r="40" spans="1:14" s="9" customFormat="1" x14ac:dyDescent="0.25"/>
    <row r="41" spans="1:14" x14ac:dyDescent="0.25">
      <c r="A41" s="2" t="s">
        <v>0</v>
      </c>
      <c r="B41" s="3" t="s">
        <v>94</v>
      </c>
    </row>
    <row r="42" spans="1:14" x14ac:dyDescent="0.25">
      <c r="A42" s="5" t="s">
        <v>1</v>
      </c>
      <c r="B42" s="4" t="s">
        <v>90</v>
      </c>
    </row>
    <row r="43" spans="1:14" x14ac:dyDescent="0.25">
      <c r="A43" s="5" t="s">
        <v>2</v>
      </c>
      <c r="B43" s="4" t="s">
        <v>3</v>
      </c>
    </row>
    <row r="44" spans="1:14" x14ac:dyDescent="0.25">
      <c r="A44" s="5" t="s">
        <v>4</v>
      </c>
      <c r="B44" s="4">
        <v>1</v>
      </c>
    </row>
    <row r="45" spans="1:14" x14ac:dyDescent="0.25">
      <c r="A45" s="5" t="s">
        <v>5</v>
      </c>
      <c r="B45" s="4" t="s">
        <v>6</v>
      </c>
    </row>
    <row r="46" spans="1:14" x14ac:dyDescent="0.25">
      <c r="A46" s="5" t="s">
        <v>7</v>
      </c>
      <c r="B46" s="8" t="s">
        <v>133</v>
      </c>
    </row>
    <row r="47" spans="1:14" x14ac:dyDescent="0.25">
      <c r="A47" s="5" t="s">
        <v>9</v>
      </c>
    </row>
    <row r="48" spans="1:14" x14ac:dyDescent="0.25">
      <c r="A48" s="2" t="s">
        <v>10</v>
      </c>
      <c r="B48" s="2" t="s">
        <v>1</v>
      </c>
      <c r="C48" s="2" t="s">
        <v>2</v>
      </c>
      <c r="D48" s="2" t="s">
        <v>4</v>
      </c>
      <c r="E48" s="2" t="s">
        <v>5</v>
      </c>
      <c r="F48" s="2" t="s">
        <v>11</v>
      </c>
      <c r="G48" s="2" t="s">
        <v>12</v>
      </c>
      <c r="H48" s="2" t="s">
        <v>13</v>
      </c>
      <c r="I48" s="2" t="s">
        <v>14</v>
      </c>
      <c r="J48" s="2" t="s">
        <v>15</v>
      </c>
      <c r="K48" s="2" t="s">
        <v>16</v>
      </c>
      <c r="L48" s="2" t="s">
        <v>17</v>
      </c>
      <c r="M48" s="2" t="s">
        <v>18</v>
      </c>
      <c r="N48" s="2" t="s">
        <v>19</v>
      </c>
    </row>
    <row r="49" spans="1:7" x14ac:dyDescent="0.25">
      <c r="A49" s="4" t="str">
        <f>B41</f>
        <v>Co recovery from sulfide ore mining and Ni class 1 production in Australia through Flash Smelting</v>
      </c>
      <c r="B49" s="4" t="str">
        <f>B42</f>
        <v>Co</v>
      </c>
      <c r="C49" s="4" t="str">
        <f>B43</f>
        <v>AU</v>
      </c>
      <c r="D49" s="4">
        <v>1</v>
      </c>
      <c r="E49" s="4" t="str">
        <f>B45</f>
        <v>kilogram</v>
      </c>
      <c r="F49" s="6" t="str">
        <f>F24</f>
        <v>Cobalt</v>
      </c>
      <c r="G49" s="4" t="s">
        <v>20</v>
      </c>
    </row>
    <row r="50" spans="1:7" x14ac:dyDescent="0.25">
      <c r="A50" s="4" t="str">
        <f>A24</f>
        <v>[P+R] Cobalt (Co) production - Flash Smelting</v>
      </c>
      <c r="B50" s="4" t="str">
        <f t="shared" ref="B50:F50" si="0">B24</f>
        <v>Co</v>
      </c>
      <c r="C50" s="4" t="str">
        <f t="shared" si="0"/>
        <v>AU</v>
      </c>
      <c r="D50" s="4">
        <v>1</v>
      </c>
      <c r="E50" s="4" t="str">
        <f t="shared" si="0"/>
        <v>kilogram</v>
      </c>
      <c r="F50" s="6" t="str">
        <f t="shared" si="0"/>
        <v>Cobalt</v>
      </c>
      <c r="G50" s="4" t="s">
        <v>21</v>
      </c>
    </row>
    <row r="51" spans="1:7" x14ac:dyDescent="0.25">
      <c r="A51" s="4" t="str">
        <f>A9</f>
        <v>[M+C] Nickel (Ni) ore mining and concentration</v>
      </c>
      <c r="B51" s="4" t="str">
        <f t="shared" ref="B51:C51" si="1">B9</f>
        <v>Ni concentrate</v>
      </c>
      <c r="C51" s="4" t="str">
        <f t="shared" si="1"/>
        <v>AU</v>
      </c>
      <c r="D51" s="8">
        <v>0.14751185223905217</v>
      </c>
      <c r="E51" s="4" t="str">
        <f t="shared" ref="E51:F51" si="2">E9</f>
        <v>kilogram</v>
      </c>
      <c r="F51" s="6" t="str">
        <f t="shared" si="2"/>
        <v>Cobalt</v>
      </c>
      <c r="G51" s="4" t="s">
        <v>21</v>
      </c>
    </row>
  </sheetData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E388-DBF2-4779-A0E6-3F38A8F61845}">
  <sheetPr>
    <tabColor theme="8" tint="0.39997558519241921"/>
  </sheetPr>
  <dimension ref="A1:N123"/>
  <sheetViews>
    <sheetView topLeftCell="A111" workbookViewId="0">
      <selection activeCell="B112" sqref="B112"/>
    </sheetView>
  </sheetViews>
  <sheetFormatPr baseColWidth="10" defaultColWidth="8.7109375" defaultRowHeight="15" x14ac:dyDescent="0.25"/>
  <cols>
    <col min="1" max="2" width="70.7109375" style="4" bestFit="1" customWidth="1"/>
    <col min="3" max="3" width="25.85546875" style="4" bestFit="1" customWidth="1"/>
    <col min="4" max="4" width="12.7109375" style="4" bestFit="1" customWidth="1"/>
    <col min="5" max="5" width="12.85546875" style="4" bestFit="1" customWidth="1"/>
    <col min="6" max="6" width="19.7109375" style="4" bestFit="1" customWidth="1"/>
    <col min="7" max="7" width="13.28515625" style="4" bestFit="1" customWidth="1"/>
    <col min="8" max="8" width="10.140625" style="4" bestFit="1" customWidth="1"/>
    <col min="9" max="9" width="15.5703125" style="4" bestFit="1" customWidth="1"/>
    <col min="10" max="10" width="17.7109375" style="4" bestFit="1" customWidth="1"/>
    <col min="11" max="11" width="3.5703125" style="4" bestFit="1" customWidth="1"/>
    <col min="12" max="12" width="5.42578125" style="4" bestFit="1" customWidth="1"/>
    <col min="13" max="13" width="9.5703125" style="4" bestFit="1" customWidth="1"/>
    <col min="14" max="14" width="9.85546875" style="4" bestFit="1" customWidth="1"/>
    <col min="15" max="16384" width="8.7109375" style="4"/>
  </cols>
  <sheetData>
    <row r="1" spans="1:14" x14ac:dyDescent="0.25">
      <c r="A1" s="3" t="s">
        <v>0</v>
      </c>
      <c r="B1" s="3" t="s">
        <v>95</v>
      </c>
    </row>
    <row r="2" spans="1:14" x14ac:dyDescent="0.25">
      <c r="A2" s="5" t="s">
        <v>1</v>
      </c>
      <c r="B2" s="4" t="s">
        <v>96</v>
      </c>
    </row>
    <row r="3" spans="1:14" x14ac:dyDescent="0.25">
      <c r="A3" s="5" t="s">
        <v>2</v>
      </c>
      <c r="B3" s="4" t="s">
        <v>253</v>
      </c>
    </row>
    <row r="4" spans="1:14" x14ac:dyDescent="0.25">
      <c r="A4" s="5" t="s">
        <v>4</v>
      </c>
      <c r="B4" s="4">
        <v>1</v>
      </c>
    </row>
    <row r="5" spans="1:14" x14ac:dyDescent="0.25">
      <c r="A5" s="5" t="s">
        <v>5</v>
      </c>
      <c r="B5" s="4" t="s">
        <v>6</v>
      </c>
    </row>
    <row r="6" spans="1:14" x14ac:dyDescent="0.25">
      <c r="A6" s="5" t="s">
        <v>7</v>
      </c>
      <c r="B6" s="10" t="s">
        <v>8</v>
      </c>
    </row>
    <row r="7" spans="1:14" x14ac:dyDescent="0.25">
      <c r="A7" s="5" t="s">
        <v>9</v>
      </c>
    </row>
    <row r="8" spans="1:14" x14ac:dyDescent="0.25">
      <c r="A8" s="3" t="s">
        <v>10</v>
      </c>
      <c r="B8" s="3" t="s">
        <v>1</v>
      </c>
      <c r="C8" s="3" t="s">
        <v>2</v>
      </c>
      <c r="D8" s="3" t="s">
        <v>4</v>
      </c>
      <c r="E8" s="3" t="s">
        <v>5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  <c r="N8" s="3" t="s">
        <v>19</v>
      </c>
    </row>
    <row r="9" spans="1:14" x14ac:dyDescent="0.25">
      <c r="A9" s="4" t="str">
        <f>B1</f>
        <v>[P] Scrap oxidation</v>
      </c>
      <c r="B9" s="4" t="str">
        <f>B2</f>
        <v>Oxidized scrap</v>
      </c>
      <c r="C9" s="4" t="str">
        <f>B3</f>
        <v>Europe witout Switzerland</v>
      </c>
      <c r="D9" s="4">
        <v>1</v>
      </c>
      <c r="E9" s="4" t="str">
        <f>B5</f>
        <v>kilogram</v>
      </c>
      <c r="F9" s="6" t="str">
        <f>Co_Market_GLO!B1</f>
        <v>Cobalt</v>
      </c>
      <c r="G9" s="4" t="s">
        <v>20</v>
      </c>
    </row>
    <row r="10" spans="1:14" x14ac:dyDescent="0.25">
      <c r="A10" s="4" t="s">
        <v>58</v>
      </c>
      <c r="B10" s="4" t="s">
        <v>59</v>
      </c>
      <c r="C10" s="4" t="s">
        <v>97</v>
      </c>
      <c r="D10" s="4">
        <v>0.25315091723266886</v>
      </c>
      <c r="E10" s="4" t="s">
        <v>49</v>
      </c>
      <c r="F10" s="4" t="s">
        <v>77</v>
      </c>
      <c r="G10" s="4" t="s">
        <v>21</v>
      </c>
      <c r="J10" s="4" t="s">
        <v>98</v>
      </c>
    </row>
    <row r="11" spans="1:14" x14ac:dyDescent="0.25">
      <c r="A11" s="4" t="s">
        <v>80</v>
      </c>
      <c r="B11" s="4" t="s">
        <v>81</v>
      </c>
      <c r="C11" s="4" t="s">
        <v>97</v>
      </c>
      <c r="D11" s="4">
        <v>15.29988253062595</v>
      </c>
      <c r="E11" s="4" t="s">
        <v>33</v>
      </c>
      <c r="F11" s="4" t="s">
        <v>77</v>
      </c>
      <c r="G11" s="4" t="s">
        <v>21</v>
      </c>
      <c r="J11" s="4" t="s">
        <v>98</v>
      </c>
    </row>
    <row r="12" spans="1:14" x14ac:dyDescent="0.25">
      <c r="A12" s="4" t="s">
        <v>26</v>
      </c>
      <c r="B12" s="4" t="s">
        <v>27</v>
      </c>
      <c r="C12" s="4" t="s">
        <v>97</v>
      </c>
      <c r="D12" s="4">
        <v>0.30700552240308782</v>
      </c>
      <c r="E12" s="4" t="s">
        <v>29</v>
      </c>
      <c r="F12" s="4" t="s">
        <v>77</v>
      </c>
      <c r="G12" s="4" t="s">
        <v>21</v>
      </c>
      <c r="J12" s="4" t="s">
        <v>98</v>
      </c>
    </row>
    <row r="13" spans="1:14" x14ac:dyDescent="0.25">
      <c r="A13" s="4" t="s">
        <v>99</v>
      </c>
      <c r="D13" s="4">
        <v>0.1683168316831683</v>
      </c>
      <c r="E13" s="4" t="s">
        <v>6</v>
      </c>
      <c r="F13" s="4" t="s">
        <v>45</v>
      </c>
      <c r="G13" s="4" t="s">
        <v>46</v>
      </c>
      <c r="H13" s="4" t="s">
        <v>76</v>
      </c>
      <c r="J13" s="4" t="s">
        <v>98</v>
      </c>
    </row>
    <row r="14" spans="1:14" x14ac:dyDescent="0.25">
      <c r="A14" s="4" t="s">
        <v>74</v>
      </c>
      <c r="D14" s="4">
        <v>1.8998993119650951</v>
      </c>
      <c r="E14" s="4" t="s">
        <v>6</v>
      </c>
      <c r="F14" s="4" t="s">
        <v>45</v>
      </c>
      <c r="G14" s="4" t="s">
        <v>46</v>
      </c>
      <c r="H14" s="4" t="s">
        <v>76</v>
      </c>
      <c r="J14" s="4" t="s">
        <v>98</v>
      </c>
    </row>
    <row r="15" spans="1:14" x14ac:dyDescent="0.25">
      <c r="A15" s="4" t="s">
        <v>85</v>
      </c>
      <c r="D15" s="4">
        <v>0.1737707669071992</v>
      </c>
      <c r="E15" s="4" t="s">
        <v>6</v>
      </c>
      <c r="F15" s="4" t="s">
        <v>45</v>
      </c>
      <c r="G15" s="4" t="s">
        <v>46</v>
      </c>
      <c r="H15" s="4" t="s">
        <v>76</v>
      </c>
      <c r="J15" s="4" t="s">
        <v>98</v>
      </c>
    </row>
    <row r="16" spans="1:14" s="11" customFormat="1" x14ac:dyDescent="0.25"/>
    <row r="17" spans="1:14" x14ac:dyDescent="0.25">
      <c r="A17" s="3" t="s">
        <v>0</v>
      </c>
      <c r="B17" s="3" t="s">
        <v>100</v>
      </c>
    </row>
    <row r="18" spans="1:14" x14ac:dyDescent="0.25">
      <c r="A18" s="5" t="s">
        <v>1</v>
      </c>
      <c r="B18" s="4" t="s">
        <v>134</v>
      </c>
    </row>
    <row r="19" spans="1:14" x14ac:dyDescent="0.25">
      <c r="A19" s="5" t="s">
        <v>2</v>
      </c>
      <c r="B19" s="4" t="s">
        <v>253</v>
      </c>
    </row>
    <row r="20" spans="1:14" x14ac:dyDescent="0.25">
      <c r="A20" s="5" t="s">
        <v>4</v>
      </c>
      <c r="B20" s="4">
        <v>1</v>
      </c>
    </row>
    <row r="21" spans="1:14" x14ac:dyDescent="0.25">
      <c r="A21" s="5" t="s">
        <v>5</v>
      </c>
      <c r="B21" s="4" t="s">
        <v>6</v>
      </c>
    </row>
    <row r="22" spans="1:14" ht="30" x14ac:dyDescent="0.25">
      <c r="A22" s="5" t="s">
        <v>7</v>
      </c>
      <c r="B22" s="1" t="s">
        <v>115</v>
      </c>
    </row>
    <row r="23" spans="1:14" x14ac:dyDescent="0.25">
      <c r="A23" s="5" t="s">
        <v>9</v>
      </c>
    </row>
    <row r="24" spans="1:14" x14ac:dyDescent="0.25">
      <c r="A24" s="3" t="s">
        <v>10</v>
      </c>
      <c r="B24" s="3" t="s">
        <v>1</v>
      </c>
      <c r="C24" s="3" t="s">
        <v>2</v>
      </c>
      <c r="D24" s="3" t="s">
        <v>4</v>
      </c>
      <c r="E24" s="3" t="s">
        <v>5</v>
      </c>
      <c r="F24" s="3" t="s">
        <v>11</v>
      </c>
      <c r="G24" s="3" t="s">
        <v>12</v>
      </c>
      <c r="H24" s="3" t="s">
        <v>13</v>
      </c>
      <c r="I24" s="3" t="s">
        <v>14</v>
      </c>
      <c r="J24" s="3" t="s">
        <v>15</v>
      </c>
      <c r="K24" s="3" t="s">
        <v>16</v>
      </c>
      <c r="L24" s="3" t="s">
        <v>17</v>
      </c>
      <c r="M24" s="3" t="s">
        <v>18</v>
      </c>
      <c r="N24" s="3" t="s">
        <v>19</v>
      </c>
    </row>
    <row r="25" spans="1:14" x14ac:dyDescent="0.25">
      <c r="A25" s="4" t="str">
        <f>B17</f>
        <v>[P] Alkali leaching</v>
      </c>
      <c r="B25" s="4" t="str">
        <f>B18</f>
        <v>Cobalt (Co) sludge</v>
      </c>
      <c r="C25" s="4" t="str">
        <f>B19</f>
        <v>Europe witout Switzerland</v>
      </c>
      <c r="D25" s="4">
        <v>1</v>
      </c>
      <c r="E25" s="4" t="str">
        <f>B21</f>
        <v>kilogram</v>
      </c>
      <c r="F25" s="6" t="str">
        <f>F9</f>
        <v>Cobalt</v>
      </c>
      <c r="G25" s="4" t="s">
        <v>20</v>
      </c>
    </row>
    <row r="26" spans="1:14" x14ac:dyDescent="0.25">
      <c r="A26" s="4" t="s">
        <v>84</v>
      </c>
      <c r="B26" s="4" t="s">
        <v>75</v>
      </c>
      <c r="C26" s="4" t="s">
        <v>97</v>
      </c>
      <c r="D26" s="8">
        <v>0.23320908059371151</v>
      </c>
      <c r="E26" s="4" t="s">
        <v>6</v>
      </c>
      <c r="F26" s="4" t="s">
        <v>77</v>
      </c>
      <c r="G26" s="4" t="s">
        <v>21</v>
      </c>
      <c r="J26" s="4" t="s">
        <v>98</v>
      </c>
    </row>
    <row r="27" spans="1:14" x14ac:dyDescent="0.25">
      <c r="A27" s="4" t="s">
        <v>68</v>
      </c>
      <c r="B27" s="4" t="s">
        <v>69</v>
      </c>
      <c r="C27" s="4" t="s">
        <v>97</v>
      </c>
      <c r="D27" s="8">
        <v>0.10542328300811614</v>
      </c>
      <c r="E27" s="4" t="s">
        <v>6</v>
      </c>
      <c r="F27" s="4" t="s">
        <v>77</v>
      </c>
      <c r="G27" s="4" t="s">
        <v>21</v>
      </c>
      <c r="J27" s="4" t="s">
        <v>98</v>
      </c>
    </row>
    <row r="28" spans="1:14" x14ac:dyDescent="0.25">
      <c r="A28" s="4" t="s">
        <v>26</v>
      </c>
      <c r="B28" s="4" t="s">
        <v>27</v>
      </c>
      <c r="C28" s="4" t="s">
        <v>97</v>
      </c>
      <c r="D28" s="8">
        <v>5.6255913807107767E-2</v>
      </c>
      <c r="E28" s="4" t="s">
        <v>29</v>
      </c>
      <c r="F28" s="4" t="s">
        <v>77</v>
      </c>
      <c r="G28" s="4" t="s">
        <v>21</v>
      </c>
      <c r="J28" s="4" t="s">
        <v>98</v>
      </c>
    </row>
    <row r="29" spans="1:14" x14ac:dyDescent="0.25">
      <c r="A29" s="4" t="s">
        <v>86</v>
      </c>
      <c r="D29" s="8">
        <v>2.452454701137688E-5</v>
      </c>
      <c r="E29" s="4" t="s">
        <v>49</v>
      </c>
      <c r="F29" s="4" t="s">
        <v>45</v>
      </c>
      <c r="G29" s="4" t="s">
        <v>46</v>
      </c>
      <c r="H29" s="4" t="s">
        <v>76</v>
      </c>
      <c r="J29" s="4" t="s">
        <v>98</v>
      </c>
    </row>
    <row r="30" spans="1:14" s="11" customFormat="1" x14ac:dyDescent="0.25"/>
    <row r="31" spans="1:14" x14ac:dyDescent="0.25">
      <c r="A31" s="3" t="s">
        <v>0</v>
      </c>
      <c r="B31" s="3" t="s">
        <v>108</v>
      </c>
    </row>
    <row r="32" spans="1:14" x14ac:dyDescent="0.25">
      <c r="A32" s="5" t="s">
        <v>1</v>
      </c>
      <c r="B32" s="4" t="s">
        <v>109</v>
      </c>
    </row>
    <row r="33" spans="1:14" x14ac:dyDescent="0.25">
      <c r="A33" s="5" t="s">
        <v>2</v>
      </c>
      <c r="B33" s="4" t="s">
        <v>253</v>
      </c>
    </row>
    <row r="34" spans="1:14" x14ac:dyDescent="0.25">
      <c r="A34" s="5" t="s">
        <v>4</v>
      </c>
      <c r="B34" s="4">
        <v>1</v>
      </c>
    </row>
    <row r="35" spans="1:14" x14ac:dyDescent="0.25">
      <c r="A35" s="5" t="s">
        <v>5</v>
      </c>
      <c r="B35" s="4" t="s">
        <v>6</v>
      </c>
    </row>
    <row r="36" spans="1:14" x14ac:dyDescent="0.25">
      <c r="A36" s="5" t="s">
        <v>7</v>
      </c>
      <c r="B36" s="10" t="s">
        <v>8</v>
      </c>
    </row>
    <row r="37" spans="1:14" x14ac:dyDescent="0.25">
      <c r="A37" s="5" t="s">
        <v>9</v>
      </c>
    </row>
    <row r="38" spans="1:14" x14ac:dyDescent="0.25">
      <c r="A38" s="3" t="s">
        <v>10</v>
      </c>
      <c r="B38" s="3" t="s">
        <v>1</v>
      </c>
      <c r="C38" s="3" t="s">
        <v>2</v>
      </c>
      <c r="D38" s="3" t="s">
        <v>4</v>
      </c>
      <c r="E38" s="3" t="s">
        <v>5</v>
      </c>
      <c r="F38" s="3" t="s">
        <v>11</v>
      </c>
      <c r="G38" s="3" t="s">
        <v>12</v>
      </c>
      <c r="H38" s="3" t="s">
        <v>13</v>
      </c>
      <c r="I38" s="3" t="s">
        <v>14</v>
      </c>
      <c r="J38" s="3" t="s">
        <v>15</v>
      </c>
      <c r="K38" s="3" t="s">
        <v>16</v>
      </c>
      <c r="L38" s="3" t="s">
        <v>17</v>
      </c>
      <c r="M38" s="3" t="s">
        <v>18</v>
      </c>
      <c r="N38" s="3" t="s">
        <v>19</v>
      </c>
    </row>
    <row r="39" spans="1:14" x14ac:dyDescent="0.25">
      <c r="A39" s="4" t="str">
        <f>B31</f>
        <v>[P] Acid leaching</v>
      </c>
      <c r="B39" s="4" t="str">
        <f>B32</f>
        <v>Co solution</v>
      </c>
      <c r="C39" s="4" t="str">
        <f>B33</f>
        <v>Europe witout Switzerland</v>
      </c>
      <c r="D39" s="4">
        <v>1</v>
      </c>
      <c r="E39" s="4" t="str">
        <f>B35</f>
        <v>kilogram</v>
      </c>
      <c r="F39" s="6" t="str">
        <f>F25</f>
        <v>Cobalt</v>
      </c>
      <c r="G39" s="4" t="s">
        <v>20</v>
      </c>
    </row>
    <row r="40" spans="1:14" x14ac:dyDescent="0.25">
      <c r="A40" s="4" t="s">
        <v>84</v>
      </c>
      <c r="B40" s="4" t="s">
        <v>75</v>
      </c>
      <c r="C40" s="4" t="s">
        <v>97</v>
      </c>
      <c r="D40" s="4">
        <v>0.7953277285916226</v>
      </c>
      <c r="E40" s="4" t="s">
        <v>6</v>
      </c>
      <c r="F40" s="4" t="s">
        <v>77</v>
      </c>
      <c r="G40" s="4" t="s">
        <v>21</v>
      </c>
      <c r="J40" s="4" t="s">
        <v>98</v>
      </c>
    </row>
    <row r="41" spans="1:14" x14ac:dyDescent="0.25">
      <c r="A41" s="4" t="s">
        <v>66</v>
      </c>
      <c r="B41" s="4" t="s">
        <v>67</v>
      </c>
      <c r="C41" s="4" t="s">
        <v>97</v>
      </c>
      <c r="D41" s="4">
        <v>0.19986112144433699</v>
      </c>
      <c r="E41" s="4" t="s">
        <v>6</v>
      </c>
      <c r="F41" s="4" t="s">
        <v>77</v>
      </c>
      <c r="G41" s="4" t="s">
        <v>21</v>
      </c>
      <c r="J41" s="4" t="s">
        <v>98</v>
      </c>
    </row>
    <row r="42" spans="1:14" x14ac:dyDescent="0.25">
      <c r="A42" s="4" t="s">
        <v>82</v>
      </c>
      <c r="B42" s="4" t="s">
        <v>83</v>
      </c>
      <c r="C42" s="4" t="s">
        <v>97</v>
      </c>
      <c r="D42" s="4">
        <v>1.034149244847854E-2</v>
      </c>
      <c r="E42" s="4" t="s">
        <v>6</v>
      </c>
      <c r="F42" s="4" t="s">
        <v>77</v>
      </c>
      <c r="G42" s="4" t="s">
        <v>21</v>
      </c>
      <c r="J42" s="4" t="s">
        <v>98</v>
      </c>
    </row>
    <row r="43" spans="1:14" x14ac:dyDescent="0.25">
      <c r="A43" s="4" t="s">
        <v>26</v>
      </c>
      <c r="B43" s="4" t="s">
        <v>27</v>
      </c>
      <c r="C43" s="4" t="s">
        <v>97</v>
      </c>
      <c r="D43" s="4">
        <v>1.3426315551918261E-2</v>
      </c>
      <c r="E43" s="4" t="s">
        <v>29</v>
      </c>
      <c r="F43" s="4" t="s">
        <v>77</v>
      </c>
      <c r="G43" s="4" t="s">
        <v>21</v>
      </c>
      <c r="J43" s="4" t="s">
        <v>98</v>
      </c>
    </row>
    <row r="44" spans="1:14" x14ac:dyDescent="0.25">
      <c r="A44" s="4" t="s">
        <v>101</v>
      </c>
      <c r="B44" s="4" t="s">
        <v>102</v>
      </c>
      <c r="C44" s="4" t="s">
        <v>25</v>
      </c>
      <c r="D44" s="4">
        <v>-5.3319445477767027E-2</v>
      </c>
      <c r="E44" s="4" t="s">
        <v>6</v>
      </c>
      <c r="F44" s="4" t="s">
        <v>77</v>
      </c>
      <c r="G44" s="4" t="s">
        <v>21</v>
      </c>
      <c r="J44" s="4" t="s">
        <v>98</v>
      </c>
    </row>
    <row r="45" spans="1:14" x14ac:dyDescent="0.25">
      <c r="A45" s="4" t="s">
        <v>86</v>
      </c>
      <c r="D45" s="4">
        <v>2.6287726607643279E-6</v>
      </c>
      <c r="E45" s="4" t="s">
        <v>49</v>
      </c>
      <c r="F45" s="4" t="s">
        <v>45</v>
      </c>
      <c r="G45" s="4" t="s">
        <v>46</v>
      </c>
      <c r="H45" s="4" t="s">
        <v>76</v>
      </c>
      <c r="J45" s="4" t="s">
        <v>98</v>
      </c>
    </row>
    <row r="46" spans="1:14" s="11" customFormat="1" x14ac:dyDescent="0.25"/>
    <row r="47" spans="1:14" x14ac:dyDescent="0.25">
      <c r="A47" s="3" t="s">
        <v>0</v>
      </c>
      <c r="B47" s="3" t="s">
        <v>110</v>
      </c>
    </row>
    <row r="48" spans="1:14" x14ac:dyDescent="0.25">
      <c r="A48" s="5" t="s">
        <v>1</v>
      </c>
      <c r="B48" s="4" t="s">
        <v>109</v>
      </c>
    </row>
    <row r="49" spans="1:14" x14ac:dyDescent="0.25">
      <c r="A49" s="5" t="s">
        <v>2</v>
      </c>
      <c r="B49" s="4" t="s">
        <v>253</v>
      </c>
    </row>
    <row r="50" spans="1:14" x14ac:dyDescent="0.25">
      <c r="A50" s="5" t="s">
        <v>4</v>
      </c>
      <c r="B50" s="4">
        <v>1</v>
      </c>
    </row>
    <row r="51" spans="1:14" x14ac:dyDescent="0.25">
      <c r="A51" s="5" t="s">
        <v>5</v>
      </c>
      <c r="B51" s="4" t="s">
        <v>6</v>
      </c>
    </row>
    <row r="52" spans="1:14" x14ac:dyDescent="0.25">
      <c r="A52" s="5" t="s">
        <v>7</v>
      </c>
      <c r="B52" s="10" t="s">
        <v>8</v>
      </c>
    </row>
    <row r="53" spans="1:14" x14ac:dyDescent="0.25">
      <c r="A53" s="5" t="s">
        <v>9</v>
      </c>
    </row>
    <row r="54" spans="1:14" x14ac:dyDescent="0.25">
      <c r="A54" s="3" t="s">
        <v>10</v>
      </c>
      <c r="B54" s="3" t="s">
        <v>1</v>
      </c>
      <c r="C54" s="3" t="s">
        <v>2</v>
      </c>
      <c r="D54" s="3" t="s">
        <v>4</v>
      </c>
      <c r="E54" s="3" t="s">
        <v>5</v>
      </c>
      <c r="F54" s="3" t="s">
        <v>11</v>
      </c>
      <c r="G54" s="3" t="s">
        <v>12</v>
      </c>
      <c r="H54" s="3" t="s">
        <v>13</v>
      </c>
      <c r="I54" s="3" t="s">
        <v>14</v>
      </c>
      <c r="J54" s="3" t="s">
        <v>15</v>
      </c>
      <c r="K54" s="3" t="s">
        <v>16</v>
      </c>
      <c r="L54" s="3" t="s">
        <v>17</v>
      </c>
      <c r="M54" s="3" t="s">
        <v>18</v>
      </c>
      <c r="N54" s="3" t="s">
        <v>19</v>
      </c>
    </row>
    <row r="55" spans="1:14" x14ac:dyDescent="0.25">
      <c r="A55" s="4" t="str">
        <f>B47</f>
        <v>[P] Cobalt (Co) solution purification</v>
      </c>
      <c r="B55" s="4" t="str">
        <f>B48</f>
        <v>Co solution</v>
      </c>
      <c r="C55" s="4" t="str">
        <f>B49</f>
        <v>Europe witout Switzerland</v>
      </c>
      <c r="D55" s="4">
        <v>1</v>
      </c>
      <c r="E55" s="4" t="str">
        <f>B51</f>
        <v>kilogram</v>
      </c>
      <c r="F55" s="6" t="str">
        <f>F39</f>
        <v>Cobalt</v>
      </c>
      <c r="G55" s="4" t="s">
        <v>20</v>
      </c>
    </row>
    <row r="56" spans="1:14" x14ac:dyDescent="0.25">
      <c r="A56" s="4" t="s">
        <v>84</v>
      </c>
      <c r="B56" s="4" t="s">
        <v>75</v>
      </c>
      <c r="C56" s="4" t="s">
        <v>97</v>
      </c>
      <c r="D56" s="4">
        <v>0.36423560630654789</v>
      </c>
      <c r="E56" s="4" t="s">
        <v>6</v>
      </c>
      <c r="F56" s="4" t="s">
        <v>77</v>
      </c>
      <c r="G56" s="4" t="s">
        <v>21</v>
      </c>
      <c r="J56" s="4" t="s">
        <v>98</v>
      </c>
    </row>
    <row r="57" spans="1:14" x14ac:dyDescent="0.25">
      <c r="A57" s="4" t="s">
        <v>68</v>
      </c>
      <c r="B57" s="4" t="s">
        <v>69</v>
      </c>
      <c r="C57" s="4" t="s">
        <v>97</v>
      </c>
      <c r="D57" s="4">
        <v>7.1125100568831423E-2</v>
      </c>
      <c r="E57" s="4" t="s">
        <v>6</v>
      </c>
      <c r="F57" s="4" t="s">
        <v>77</v>
      </c>
      <c r="G57" s="4" t="s">
        <v>21</v>
      </c>
      <c r="J57" s="4" t="s">
        <v>98</v>
      </c>
    </row>
    <row r="58" spans="1:14" x14ac:dyDescent="0.25">
      <c r="A58" s="4" t="s">
        <v>26</v>
      </c>
      <c r="B58" s="4" t="s">
        <v>27</v>
      </c>
      <c r="C58" s="4" t="s">
        <v>97</v>
      </c>
      <c r="D58" s="4">
        <v>4.8688684122122322E-2</v>
      </c>
      <c r="E58" s="4" t="s">
        <v>29</v>
      </c>
      <c r="F58" s="4" t="s">
        <v>77</v>
      </c>
      <c r="G58" s="4" t="s">
        <v>21</v>
      </c>
      <c r="J58" s="4" t="s">
        <v>98</v>
      </c>
    </row>
    <row r="59" spans="1:14" x14ac:dyDescent="0.25">
      <c r="A59" s="4" t="s">
        <v>101</v>
      </c>
      <c r="B59" s="4" t="s">
        <v>102</v>
      </c>
      <c r="C59" s="4" t="s">
        <v>25</v>
      </c>
      <c r="D59" s="4">
        <v>-7.1986110915070499E-4</v>
      </c>
      <c r="E59" s="4" t="s">
        <v>6</v>
      </c>
      <c r="F59" s="4" t="s">
        <v>77</v>
      </c>
      <c r="G59" s="4" t="s">
        <v>21</v>
      </c>
      <c r="J59" s="4" t="s">
        <v>98</v>
      </c>
    </row>
    <row r="60" spans="1:14" x14ac:dyDescent="0.25">
      <c r="A60" s="4" t="s">
        <v>86</v>
      </c>
      <c r="D60" s="4">
        <v>2.978248902564682E-6</v>
      </c>
      <c r="E60" s="4" t="s">
        <v>49</v>
      </c>
      <c r="F60" s="4" t="s">
        <v>45</v>
      </c>
      <c r="G60" s="4" t="s">
        <v>46</v>
      </c>
      <c r="H60" s="4" t="s">
        <v>76</v>
      </c>
      <c r="J60" s="4" t="s">
        <v>98</v>
      </c>
    </row>
    <row r="61" spans="1:14" s="11" customFormat="1" x14ac:dyDescent="0.25"/>
    <row r="62" spans="1:14" x14ac:dyDescent="0.25">
      <c r="A62" s="3" t="s">
        <v>0</v>
      </c>
      <c r="B62" s="3" t="s">
        <v>111</v>
      </c>
    </row>
    <row r="63" spans="1:14" x14ac:dyDescent="0.25">
      <c r="A63" s="5" t="s">
        <v>1</v>
      </c>
      <c r="B63" s="4" t="s">
        <v>135</v>
      </c>
    </row>
    <row r="64" spans="1:14" x14ac:dyDescent="0.25">
      <c r="A64" s="5" t="s">
        <v>2</v>
      </c>
      <c r="B64" s="4" t="s">
        <v>253</v>
      </c>
    </row>
    <row r="65" spans="1:14" x14ac:dyDescent="0.25">
      <c r="A65" s="5" t="s">
        <v>4</v>
      </c>
      <c r="B65" s="4">
        <v>1</v>
      </c>
    </row>
    <row r="66" spans="1:14" x14ac:dyDescent="0.25">
      <c r="A66" s="5" t="s">
        <v>5</v>
      </c>
      <c r="B66" s="4" t="s">
        <v>6</v>
      </c>
    </row>
    <row r="67" spans="1:14" x14ac:dyDescent="0.25">
      <c r="A67" s="5" t="s">
        <v>7</v>
      </c>
      <c r="B67" s="10" t="s">
        <v>8</v>
      </c>
    </row>
    <row r="68" spans="1:14" x14ac:dyDescent="0.25">
      <c r="A68" s="5" t="s">
        <v>9</v>
      </c>
    </row>
    <row r="69" spans="1:14" x14ac:dyDescent="0.25">
      <c r="A69" s="3" t="s">
        <v>10</v>
      </c>
      <c r="B69" s="3" t="s">
        <v>1</v>
      </c>
      <c r="C69" s="3" t="s">
        <v>2</v>
      </c>
      <c r="D69" s="3" t="s">
        <v>4</v>
      </c>
      <c r="E69" s="3" t="s">
        <v>5</v>
      </c>
      <c r="F69" s="3" t="s">
        <v>11</v>
      </c>
      <c r="G69" s="3" t="s">
        <v>12</v>
      </c>
      <c r="H69" s="3" t="s">
        <v>13</v>
      </c>
      <c r="I69" s="3" t="s">
        <v>14</v>
      </c>
      <c r="J69" s="3" t="s">
        <v>15</v>
      </c>
      <c r="K69" s="3" t="s">
        <v>16</v>
      </c>
      <c r="L69" s="3" t="s">
        <v>17</v>
      </c>
      <c r="M69" s="3" t="s">
        <v>18</v>
      </c>
      <c r="N69" s="3" t="s">
        <v>19</v>
      </c>
    </row>
    <row r="70" spans="1:14" x14ac:dyDescent="0.25">
      <c r="A70" s="4" t="str">
        <f>B62</f>
        <v>[P] Co precipitation</v>
      </c>
      <c r="B70" s="4" t="str">
        <f>B63</f>
        <v>Cobalt hydroxide (Co(OH)2)</v>
      </c>
      <c r="C70" s="4" t="str">
        <f>B64</f>
        <v>Europe witout Switzerland</v>
      </c>
      <c r="D70" s="4">
        <v>1</v>
      </c>
      <c r="E70" s="4" t="str">
        <f>B66</f>
        <v>kilogram</v>
      </c>
      <c r="F70" s="6" t="str">
        <f>F55</f>
        <v>Cobalt</v>
      </c>
      <c r="G70" s="4" t="s">
        <v>20</v>
      </c>
    </row>
    <row r="71" spans="1:14" x14ac:dyDescent="0.25">
      <c r="A71" s="4" t="s">
        <v>84</v>
      </c>
      <c r="B71" s="4" t="s">
        <v>75</v>
      </c>
      <c r="C71" s="4" t="s">
        <v>97</v>
      </c>
      <c r="D71" s="4">
        <v>6.0030413625304133</v>
      </c>
      <c r="E71" s="4" t="s">
        <v>6</v>
      </c>
      <c r="F71" s="4" t="s">
        <v>77</v>
      </c>
      <c r="G71" s="4" t="s">
        <v>21</v>
      </c>
      <c r="J71" s="4" t="s">
        <v>98</v>
      </c>
    </row>
    <row r="72" spans="1:14" x14ac:dyDescent="0.25">
      <c r="A72" s="4" t="s">
        <v>68</v>
      </c>
      <c r="B72" s="4" t="s">
        <v>69</v>
      </c>
      <c r="C72" s="4" t="s">
        <v>97</v>
      </c>
      <c r="D72" s="4">
        <v>0.86374695863746953</v>
      </c>
      <c r="E72" s="4" t="s">
        <v>6</v>
      </c>
      <c r="F72" s="4" t="s">
        <v>77</v>
      </c>
      <c r="G72" s="4" t="s">
        <v>21</v>
      </c>
      <c r="J72" s="4" t="s">
        <v>98</v>
      </c>
    </row>
    <row r="73" spans="1:14" x14ac:dyDescent="0.25">
      <c r="A73" s="4" t="s">
        <v>26</v>
      </c>
      <c r="B73" s="4" t="s">
        <v>27</v>
      </c>
      <c r="C73" s="4" t="s">
        <v>97</v>
      </c>
      <c r="D73" s="4">
        <v>3.4554974927007298</v>
      </c>
      <c r="E73" s="4" t="s">
        <v>29</v>
      </c>
      <c r="F73" s="4" t="s">
        <v>77</v>
      </c>
      <c r="G73" s="4" t="s">
        <v>21</v>
      </c>
      <c r="J73" s="4" t="s">
        <v>98</v>
      </c>
    </row>
    <row r="74" spans="1:14" x14ac:dyDescent="0.25">
      <c r="A74" s="4" t="str">
        <f>A85</f>
        <v>Effluent treatment</v>
      </c>
      <c r="B74" s="4" t="str">
        <f t="shared" ref="B74" si="0">B85</f>
        <v>Wastewater</v>
      </c>
      <c r="C74" s="4" t="s">
        <v>253</v>
      </c>
      <c r="D74" s="4">
        <v>49.996958637469596</v>
      </c>
      <c r="E74" s="4" t="str">
        <f t="shared" ref="E74:F74" si="1">E85</f>
        <v>cubic meter</v>
      </c>
      <c r="F74" s="6" t="str">
        <f t="shared" si="1"/>
        <v>Cobalt</v>
      </c>
      <c r="G74" s="4" t="s">
        <v>21</v>
      </c>
      <c r="J74" s="4" t="s">
        <v>98</v>
      </c>
    </row>
    <row r="75" spans="1:14" x14ac:dyDescent="0.25">
      <c r="A75" s="4" t="s">
        <v>86</v>
      </c>
      <c r="D75" s="4">
        <v>1.368613138686131E-4</v>
      </c>
      <c r="E75" s="4" t="s">
        <v>49</v>
      </c>
      <c r="F75" s="4" t="s">
        <v>45</v>
      </c>
      <c r="G75" s="4" t="s">
        <v>46</v>
      </c>
      <c r="H75" s="4" t="s">
        <v>76</v>
      </c>
      <c r="J75" s="4" t="s">
        <v>98</v>
      </c>
    </row>
    <row r="76" spans="1:14" s="11" customFormat="1" x14ac:dyDescent="0.25"/>
    <row r="77" spans="1:14" x14ac:dyDescent="0.25">
      <c r="A77" s="3" t="s">
        <v>0</v>
      </c>
      <c r="B77" s="3" t="s">
        <v>103</v>
      </c>
    </row>
    <row r="78" spans="1:14" x14ac:dyDescent="0.25">
      <c r="A78" s="5" t="s">
        <v>1</v>
      </c>
      <c r="B78" s="4" t="s">
        <v>104</v>
      </c>
    </row>
    <row r="79" spans="1:14" x14ac:dyDescent="0.25">
      <c r="A79" s="5" t="s">
        <v>2</v>
      </c>
      <c r="B79" s="4" t="s">
        <v>253</v>
      </c>
    </row>
    <row r="80" spans="1:14" x14ac:dyDescent="0.25">
      <c r="A80" s="5" t="s">
        <v>4</v>
      </c>
      <c r="B80" s="4">
        <v>1</v>
      </c>
    </row>
    <row r="81" spans="1:14" x14ac:dyDescent="0.25">
      <c r="A81" s="5" t="s">
        <v>5</v>
      </c>
      <c r="B81" s="4" t="s">
        <v>49</v>
      </c>
    </row>
    <row r="82" spans="1:14" x14ac:dyDescent="0.25">
      <c r="A82" s="5" t="s">
        <v>7</v>
      </c>
      <c r="B82" s="10" t="s">
        <v>8</v>
      </c>
    </row>
    <row r="83" spans="1:14" x14ac:dyDescent="0.25">
      <c r="A83" s="5" t="s">
        <v>9</v>
      </c>
    </row>
    <row r="84" spans="1:14" x14ac:dyDescent="0.25">
      <c r="A84" s="3" t="s">
        <v>10</v>
      </c>
      <c r="B84" s="3" t="s">
        <v>1</v>
      </c>
      <c r="C84" s="3" t="s">
        <v>2</v>
      </c>
      <c r="D84" s="3" t="s">
        <v>4</v>
      </c>
      <c r="E84" s="3" t="s">
        <v>5</v>
      </c>
      <c r="F84" s="3" t="s">
        <v>11</v>
      </c>
      <c r="G84" s="3" t="s">
        <v>12</v>
      </c>
      <c r="H84" s="3" t="s">
        <v>13</v>
      </c>
      <c r="I84" s="3" t="s">
        <v>14</v>
      </c>
      <c r="J84" s="3" t="s">
        <v>15</v>
      </c>
      <c r="K84" s="3" t="s">
        <v>16</v>
      </c>
      <c r="L84" s="3" t="s">
        <v>17</v>
      </c>
      <c r="M84" s="3" t="s">
        <v>18</v>
      </c>
      <c r="N84" s="3" t="s">
        <v>19</v>
      </c>
    </row>
    <row r="85" spans="1:14" x14ac:dyDescent="0.25">
      <c r="A85" s="4" t="str">
        <f>B77</f>
        <v>Effluent treatment</v>
      </c>
      <c r="B85" s="4" t="str">
        <f>B78</f>
        <v>Wastewater</v>
      </c>
      <c r="C85" s="4" t="str">
        <f>B79</f>
        <v>Europe witout Switzerland</v>
      </c>
      <c r="D85" s="4">
        <v>1</v>
      </c>
      <c r="E85" s="4" t="str">
        <f>B81</f>
        <v>cubic meter</v>
      </c>
      <c r="F85" s="6" t="str">
        <f>F70</f>
        <v>Cobalt</v>
      </c>
      <c r="G85" s="4" t="s">
        <v>20</v>
      </c>
    </row>
    <row r="86" spans="1:14" x14ac:dyDescent="0.25">
      <c r="A86" s="4" t="s">
        <v>87</v>
      </c>
      <c r="B86" s="4" t="s">
        <v>88</v>
      </c>
      <c r="C86" s="4" t="s">
        <v>28</v>
      </c>
      <c r="D86" s="4">
        <v>2.3407066542132718E-3</v>
      </c>
      <c r="E86" s="4" t="s">
        <v>6</v>
      </c>
      <c r="F86" s="4" t="s">
        <v>77</v>
      </c>
      <c r="G86" s="4" t="s">
        <v>21</v>
      </c>
      <c r="J86" s="4" t="s">
        <v>98</v>
      </c>
    </row>
    <row r="87" spans="1:14" x14ac:dyDescent="0.25">
      <c r="A87" s="4" t="s">
        <v>105</v>
      </c>
      <c r="B87" s="4" t="s">
        <v>106</v>
      </c>
      <c r="C87" s="4" t="s">
        <v>97</v>
      </c>
      <c r="D87" s="4">
        <v>7.8877827641980099E-3</v>
      </c>
      <c r="E87" s="4" t="s">
        <v>6</v>
      </c>
      <c r="F87" s="4" t="s">
        <v>77</v>
      </c>
      <c r="G87" s="4" t="s">
        <v>21</v>
      </c>
      <c r="J87" s="4" t="s">
        <v>98</v>
      </c>
    </row>
    <row r="88" spans="1:14" x14ac:dyDescent="0.25">
      <c r="A88" s="4" t="s">
        <v>66</v>
      </c>
      <c r="B88" s="4" t="s">
        <v>67</v>
      </c>
      <c r="C88" s="4" t="s">
        <v>97</v>
      </c>
      <c r="D88" s="4">
        <v>2.8082784700549011E-2</v>
      </c>
      <c r="E88" s="4" t="s">
        <v>6</v>
      </c>
      <c r="F88" s="4" t="s">
        <v>77</v>
      </c>
      <c r="G88" s="4" t="s">
        <v>21</v>
      </c>
      <c r="J88" s="4" t="s">
        <v>98</v>
      </c>
    </row>
    <row r="89" spans="1:14" x14ac:dyDescent="0.25">
      <c r="A89" s="4" t="s">
        <v>84</v>
      </c>
      <c r="B89" s="4" t="s">
        <v>75</v>
      </c>
      <c r="C89" s="4" t="s">
        <v>97</v>
      </c>
      <c r="D89" s="4">
        <v>0.18377110053078799</v>
      </c>
      <c r="E89" s="4" t="s">
        <v>6</v>
      </c>
      <c r="F89" s="4" t="s">
        <v>77</v>
      </c>
      <c r="G89" s="4" t="s">
        <v>21</v>
      </c>
      <c r="J89" s="4" t="s">
        <v>98</v>
      </c>
    </row>
    <row r="90" spans="1:14" x14ac:dyDescent="0.25">
      <c r="A90" s="4" t="s">
        <v>26</v>
      </c>
      <c r="B90" s="4" t="s">
        <v>27</v>
      </c>
      <c r="C90" s="4" t="s">
        <v>97</v>
      </c>
      <c r="D90" s="4">
        <v>4.1791360605508351E-2</v>
      </c>
      <c r="E90" s="4" t="s">
        <v>29</v>
      </c>
      <c r="F90" s="4" t="s">
        <v>77</v>
      </c>
      <c r="G90" s="4" t="s">
        <v>21</v>
      </c>
      <c r="J90" s="4" t="s">
        <v>98</v>
      </c>
    </row>
    <row r="91" spans="1:14" x14ac:dyDescent="0.25">
      <c r="A91" s="4" t="s">
        <v>72</v>
      </c>
      <c r="B91" s="4" t="s">
        <v>73</v>
      </c>
      <c r="C91" s="4" t="s">
        <v>107</v>
      </c>
      <c r="D91" s="4">
        <v>-9.6548169578786712E-4</v>
      </c>
      <c r="E91" s="4" t="s">
        <v>49</v>
      </c>
      <c r="F91" s="4" t="s">
        <v>77</v>
      </c>
      <c r="G91" s="4" t="s">
        <v>21</v>
      </c>
      <c r="J91" s="4" t="s">
        <v>98</v>
      </c>
    </row>
    <row r="92" spans="1:14" x14ac:dyDescent="0.25">
      <c r="A92" s="4" t="s">
        <v>101</v>
      </c>
      <c r="B92" s="4" t="s">
        <v>102</v>
      </c>
      <c r="C92" s="4" t="s">
        <v>25</v>
      </c>
      <c r="D92" s="4">
        <v>-0.12621021937717841</v>
      </c>
      <c r="E92" s="4" t="s">
        <v>6</v>
      </c>
      <c r="F92" s="4" t="s">
        <v>77</v>
      </c>
      <c r="G92" s="4" t="s">
        <v>21</v>
      </c>
      <c r="J92" s="4" t="s">
        <v>98</v>
      </c>
    </row>
    <row r="93" spans="1:14" x14ac:dyDescent="0.25">
      <c r="A93" s="4" t="s">
        <v>86</v>
      </c>
      <c r="D93" s="4">
        <v>7.2328405130191136E-6</v>
      </c>
      <c r="E93" s="4" t="s">
        <v>49</v>
      </c>
      <c r="F93" s="4" t="s">
        <v>45</v>
      </c>
      <c r="G93" s="4" t="s">
        <v>46</v>
      </c>
      <c r="H93" s="4" t="s">
        <v>76</v>
      </c>
      <c r="J93" s="4" t="s">
        <v>98</v>
      </c>
    </row>
    <row r="94" spans="1:14" s="9" customFormat="1" x14ac:dyDescent="0.25"/>
    <row r="95" spans="1:14" x14ac:dyDescent="0.25">
      <c r="A95" s="3" t="s">
        <v>0</v>
      </c>
      <c r="B95" s="3" t="s">
        <v>113</v>
      </c>
    </row>
    <row r="96" spans="1:14" x14ac:dyDescent="0.25">
      <c r="A96" s="5" t="s">
        <v>1</v>
      </c>
      <c r="B96" s="4" t="s">
        <v>112</v>
      </c>
    </row>
    <row r="97" spans="1:14" x14ac:dyDescent="0.25">
      <c r="A97" s="5" t="s">
        <v>2</v>
      </c>
      <c r="B97" s="4" t="s">
        <v>253</v>
      </c>
    </row>
    <row r="98" spans="1:14" x14ac:dyDescent="0.25">
      <c r="A98" s="5" t="s">
        <v>4</v>
      </c>
      <c r="B98" s="4">
        <v>1</v>
      </c>
    </row>
    <row r="99" spans="1:14" x14ac:dyDescent="0.25">
      <c r="A99" s="5" t="s">
        <v>5</v>
      </c>
      <c r="B99" s="4" t="s">
        <v>6</v>
      </c>
    </row>
    <row r="100" spans="1:14" x14ac:dyDescent="0.25">
      <c r="A100" s="5" t="s">
        <v>7</v>
      </c>
      <c r="B100" s="8" t="s">
        <v>136</v>
      </c>
    </row>
    <row r="101" spans="1:14" x14ac:dyDescent="0.25">
      <c r="A101" s="5" t="s">
        <v>9</v>
      </c>
    </row>
    <row r="102" spans="1:14" x14ac:dyDescent="0.25">
      <c r="A102" s="3" t="s">
        <v>10</v>
      </c>
      <c r="B102" s="3" t="s">
        <v>1</v>
      </c>
      <c r="C102" s="3" t="s">
        <v>2</v>
      </c>
      <c r="D102" s="3" t="s">
        <v>4</v>
      </c>
      <c r="E102" s="3" t="s">
        <v>5</v>
      </c>
      <c r="F102" s="3" t="s">
        <v>11</v>
      </c>
      <c r="G102" s="3" t="s">
        <v>12</v>
      </c>
      <c r="H102" s="3" t="s">
        <v>13</v>
      </c>
      <c r="I102" s="3" t="s">
        <v>14</v>
      </c>
      <c r="J102" s="3" t="s">
        <v>15</v>
      </c>
      <c r="K102" s="3" t="s">
        <v>16</v>
      </c>
      <c r="L102" s="3" t="s">
        <v>17</v>
      </c>
      <c r="M102" s="3" t="s">
        <v>18</v>
      </c>
      <c r="N102" s="3" t="s">
        <v>19</v>
      </c>
    </row>
    <row r="103" spans="1:14" x14ac:dyDescent="0.25">
      <c r="A103" s="4" t="str">
        <f>B95</f>
        <v>Co(OH)2 production in Europe through hardmetal scrap recycling</v>
      </c>
      <c r="B103" s="4" t="str">
        <f>B96</f>
        <v>Co(OH)2</v>
      </c>
      <c r="C103" s="4" t="str">
        <f>B97</f>
        <v>Europe witout Switzerland</v>
      </c>
      <c r="D103" s="4">
        <v>1</v>
      </c>
      <c r="E103" s="4" t="s">
        <v>6</v>
      </c>
      <c r="F103" s="6" t="s">
        <v>55</v>
      </c>
      <c r="G103" s="4" t="s">
        <v>20</v>
      </c>
    </row>
    <row r="104" spans="1:14" x14ac:dyDescent="0.25">
      <c r="A104" s="4" t="str">
        <f>A70</f>
        <v>[P] Co precipitation</v>
      </c>
      <c r="B104" s="4" t="str">
        <f t="shared" ref="B104:C104" si="2">B70</f>
        <v>Cobalt hydroxide (Co(OH)2)</v>
      </c>
      <c r="C104" s="4" t="str">
        <f t="shared" si="2"/>
        <v>Europe witout Switzerland</v>
      </c>
      <c r="D104" s="4">
        <v>1</v>
      </c>
      <c r="E104" s="4" t="str">
        <f t="shared" ref="E104:F104" si="3">E70</f>
        <v>kilogram</v>
      </c>
      <c r="F104" s="6" t="str">
        <f t="shared" si="3"/>
        <v>Cobalt</v>
      </c>
      <c r="G104" s="4" t="s">
        <v>21</v>
      </c>
    </row>
    <row r="105" spans="1:14" x14ac:dyDescent="0.25">
      <c r="A105" s="4" t="str">
        <f>A55</f>
        <v>[P] Cobalt (Co) solution purification</v>
      </c>
      <c r="B105" s="4" t="str">
        <f t="shared" ref="B105:C105" si="4">B55</f>
        <v>Co solution</v>
      </c>
      <c r="C105" s="4" t="str">
        <f t="shared" si="4"/>
        <v>Europe witout Switzerland</v>
      </c>
      <c r="D105" s="4">
        <v>43.094282238442823</v>
      </c>
      <c r="E105" s="4" t="str">
        <f t="shared" ref="E105:F105" si="5">E55</f>
        <v>kilogram</v>
      </c>
      <c r="F105" s="6" t="str">
        <f t="shared" si="5"/>
        <v>Cobalt</v>
      </c>
      <c r="G105" s="4" t="s">
        <v>21</v>
      </c>
    </row>
    <row r="106" spans="1:14" x14ac:dyDescent="0.25">
      <c r="A106" s="4" t="str">
        <f>A39</f>
        <v>[P] Acid leaching</v>
      </c>
      <c r="B106" s="4" t="str">
        <f t="shared" ref="B106:C106" si="6">B39</f>
        <v>Co solution</v>
      </c>
      <c r="C106" s="4" t="str">
        <f t="shared" si="6"/>
        <v>Europe witout Switzerland</v>
      </c>
      <c r="D106" s="4">
        <v>24.527372262773724</v>
      </c>
      <c r="E106" s="4" t="str">
        <f t="shared" ref="E106:F106" si="7">E39</f>
        <v>kilogram</v>
      </c>
      <c r="F106" s="6" t="str">
        <f t="shared" si="7"/>
        <v>Cobalt</v>
      </c>
      <c r="G106" s="4" t="s">
        <v>21</v>
      </c>
    </row>
    <row r="107" spans="1:14" x14ac:dyDescent="0.25">
      <c r="A107" s="4" t="str">
        <f>A25</f>
        <v>[P] Alkali leaching</v>
      </c>
      <c r="B107" s="4" t="str">
        <f t="shared" ref="B107:C107" si="8">B25</f>
        <v>Cobalt (Co) sludge</v>
      </c>
      <c r="C107" s="4" t="str">
        <f t="shared" si="8"/>
        <v>Europe witout Switzerland</v>
      </c>
      <c r="D107" s="4">
        <v>2.7074209245742091</v>
      </c>
      <c r="E107" s="4" t="str">
        <f t="shared" ref="E107:F107" si="9">E25</f>
        <v>kilogram</v>
      </c>
      <c r="F107" s="6" t="str">
        <f t="shared" si="9"/>
        <v>Cobalt</v>
      </c>
      <c r="G107" s="4" t="s">
        <v>21</v>
      </c>
    </row>
    <row r="108" spans="1:14" x14ac:dyDescent="0.25">
      <c r="A108" s="4" t="str">
        <f>A9</f>
        <v>[P] Scrap oxidation</v>
      </c>
      <c r="B108" s="4" t="str">
        <f t="shared" ref="B108:C108" si="10">B9</f>
        <v>Oxidized scrap</v>
      </c>
      <c r="C108" s="4" t="str">
        <f t="shared" si="10"/>
        <v>Europe witout Switzerland</v>
      </c>
      <c r="D108" s="8">
        <v>1.0412297403271511</v>
      </c>
      <c r="E108" s="4" t="str">
        <f t="shared" ref="E108:F108" si="11">E9</f>
        <v>kilogram</v>
      </c>
      <c r="F108" s="6" t="str">
        <f t="shared" si="11"/>
        <v>Cobalt</v>
      </c>
      <c r="G108" s="4" t="s">
        <v>21</v>
      </c>
    </row>
    <row r="109" spans="1:14" s="9" customFormat="1" x14ac:dyDescent="0.25"/>
    <row r="110" spans="1:14" x14ac:dyDescent="0.25">
      <c r="A110" s="3" t="s">
        <v>0</v>
      </c>
      <c r="B110" s="3" t="s">
        <v>116</v>
      </c>
    </row>
    <row r="111" spans="1:14" x14ac:dyDescent="0.25">
      <c r="A111" s="5" t="s">
        <v>1</v>
      </c>
      <c r="B111" s="4" t="s">
        <v>114</v>
      </c>
    </row>
    <row r="112" spans="1:14" x14ac:dyDescent="0.25">
      <c r="A112" s="5" t="s">
        <v>2</v>
      </c>
      <c r="B112" s="4" t="s">
        <v>253</v>
      </c>
    </row>
    <row r="113" spans="1:14" x14ac:dyDescent="0.25">
      <c r="A113" s="5" t="s">
        <v>4</v>
      </c>
      <c r="B113" s="4">
        <v>1</v>
      </c>
    </row>
    <row r="114" spans="1:14" x14ac:dyDescent="0.25">
      <c r="A114" s="5" t="s">
        <v>5</v>
      </c>
      <c r="B114" s="4" t="s">
        <v>6</v>
      </c>
    </row>
    <row r="115" spans="1:14" ht="30" x14ac:dyDescent="0.25">
      <c r="A115" s="5" t="s">
        <v>7</v>
      </c>
      <c r="B115" s="1" t="s">
        <v>137</v>
      </c>
    </row>
    <row r="116" spans="1:14" x14ac:dyDescent="0.25">
      <c r="A116" s="5" t="s">
        <v>9</v>
      </c>
    </row>
    <row r="117" spans="1:14" x14ac:dyDescent="0.25">
      <c r="A117" s="3" t="s">
        <v>10</v>
      </c>
      <c r="B117" s="3" t="s">
        <v>1</v>
      </c>
      <c r="C117" s="3" t="s">
        <v>2</v>
      </c>
      <c r="D117" s="3" t="s">
        <v>4</v>
      </c>
      <c r="E117" s="3" t="s">
        <v>5</v>
      </c>
      <c r="F117" s="3" t="s">
        <v>11</v>
      </c>
      <c r="G117" s="3" t="s">
        <v>12</v>
      </c>
      <c r="H117" s="3" t="s">
        <v>13</v>
      </c>
      <c r="I117" s="3" t="s">
        <v>14</v>
      </c>
      <c r="J117" s="3" t="s">
        <v>15</v>
      </c>
      <c r="K117" s="3" t="s">
        <v>16</v>
      </c>
      <c r="L117" s="3" t="s">
        <v>17</v>
      </c>
      <c r="M117" s="3" t="s">
        <v>18</v>
      </c>
      <c r="N117" s="3" t="s">
        <v>19</v>
      </c>
    </row>
    <row r="118" spans="1:14" x14ac:dyDescent="0.25">
      <c r="A118" s="4" t="str">
        <f>B110</f>
        <v>Co(OH)2 production in Europe through hardmetal scrap recycling (Co content)</v>
      </c>
      <c r="B118" s="4" t="str">
        <f>B111</f>
        <v>Co(OH)2 (Co content)</v>
      </c>
      <c r="C118" s="4" t="str">
        <f>B112</f>
        <v>Europe witout Switzerland</v>
      </c>
      <c r="D118" s="4">
        <v>1</v>
      </c>
      <c r="E118" s="4" t="s">
        <v>6</v>
      </c>
      <c r="F118" s="6" t="s">
        <v>55</v>
      </c>
      <c r="G118" s="4" t="s">
        <v>20</v>
      </c>
    </row>
    <row r="119" spans="1:14" x14ac:dyDescent="0.25">
      <c r="A119" s="4" t="str">
        <f>A104</f>
        <v>[P] Co precipitation</v>
      </c>
      <c r="B119" s="4" t="str">
        <f t="shared" ref="B119:C119" si="12">B104</f>
        <v>Cobalt hydroxide (Co(OH)2)</v>
      </c>
      <c r="C119" s="4" t="str">
        <f t="shared" si="12"/>
        <v>Europe witout Switzerland</v>
      </c>
      <c r="D119" s="4">
        <v>1.5772870662460567</v>
      </c>
      <c r="E119" s="4" t="str">
        <f t="shared" ref="E119:F119" si="13">E104</f>
        <v>kilogram</v>
      </c>
      <c r="F119" s="6" t="str">
        <f t="shared" si="13"/>
        <v>Cobalt</v>
      </c>
      <c r="G119" s="4" t="s">
        <v>21</v>
      </c>
    </row>
    <row r="120" spans="1:14" x14ac:dyDescent="0.25">
      <c r="A120" s="4" t="str">
        <f t="shared" ref="A120:C120" si="14">A105</f>
        <v>[P] Cobalt (Co) solution purification</v>
      </c>
      <c r="B120" s="4" t="str">
        <f t="shared" si="14"/>
        <v>Co solution</v>
      </c>
      <c r="C120" s="4" t="str">
        <f t="shared" si="14"/>
        <v>Europe witout Switzerland</v>
      </c>
      <c r="D120" s="4">
        <v>67.972054003853032</v>
      </c>
      <c r="E120" s="4" t="str">
        <f t="shared" ref="E120:F120" si="15">E105</f>
        <v>kilogram</v>
      </c>
      <c r="F120" s="6" t="str">
        <f t="shared" si="15"/>
        <v>Cobalt</v>
      </c>
      <c r="G120" s="4" t="s">
        <v>21</v>
      </c>
    </row>
    <row r="121" spans="1:14" x14ac:dyDescent="0.25">
      <c r="A121" s="4" t="str">
        <f t="shared" ref="A121:C121" si="16">A106</f>
        <v>[P] Acid leaching</v>
      </c>
      <c r="B121" s="4" t="str">
        <f t="shared" si="16"/>
        <v>Co solution</v>
      </c>
      <c r="C121" s="4" t="str">
        <f t="shared" si="16"/>
        <v>Europe witout Switzerland</v>
      </c>
      <c r="D121" s="4">
        <v>38.686707039075273</v>
      </c>
      <c r="E121" s="4" t="str">
        <f t="shared" ref="E121:F121" si="17">E106</f>
        <v>kilogram</v>
      </c>
      <c r="F121" s="6" t="str">
        <f t="shared" si="17"/>
        <v>Cobalt</v>
      </c>
      <c r="G121" s="4" t="s">
        <v>21</v>
      </c>
    </row>
    <row r="122" spans="1:14" x14ac:dyDescent="0.25">
      <c r="A122" s="4" t="str">
        <f t="shared" ref="A122:C122" si="18">A107</f>
        <v>[P] Alkali leaching</v>
      </c>
      <c r="B122" s="4" t="str">
        <f t="shared" si="18"/>
        <v>Cobalt (Co) sludge</v>
      </c>
      <c r="C122" s="4" t="str">
        <f t="shared" si="18"/>
        <v>Europe witout Switzerland</v>
      </c>
      <c r="D122" s="4">
        <v>4.2703800072148406</v>
      </c>
      <c r="E122" s="4" t="str">
        <f t="shared" ref="E122:F122" si="19">E107</f>
        <v>kilogram</v>
      </c>
      <c r="F122" s="6" t="str">
        <f t="shared" si="19"/>
        <v>Cobalt</v>
      </c>
      <c r="G122" s="4" t="s">
        <v>21</v>
      </c>
    </row>
    <row r="123" spans="1:14" x14ac:dyDescent="0.25">
      <c r="A123" s="4" t="str">
        <f t="shared" ref="A123:C123" si="20">A108</f>
        <v>[P] Scrap oxidation</v>
      </c>
      <c r="B123" s="4" t="str">
        <f t="shared" si="20"/>
        <v>Oxidized scrap</v>
      </c>
      <c r="C123" s="4" t="str">
        <f t="shared" si="20"/>
        <v>Europe witout Switzerland</v>
      </c>
      <c r="D123" s="8">
        <v>1.6423182024087557</v>
      </c>
      <c r="E123" s="4" t="str">
        <f t="shared" ref="E123:F123" si="21">E108</f>
        <v>kilogram</v>
      </c>
      <c r="F123" s="6" t="str">
        <f t="shared" si="21"/>
        <v>Cobalt</v>
      </c>
      <c r="G123" s="4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c0c41a-12c1-4165-8422-5f5ca88e9f6a" xsi:nil="true"/>
    <lcf76f155ced4ddcb4097134ff3c332f xmlns="d78c010b-218d-4be4-b2d9-423b1f51aae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DCE0B9-F822-43B9-8FA4-0E5A537799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92CF09-C25F-448C-821E-AD94453B3152}">
  <ds:schemaRefs>
    <ds:schemaRef ds:uri="http://schemas.microsoft.com/office/2006/metadata/properties"/>
    <ds:schemaRef ds:uri="http://schemas.microsoft.com/office/infopath/2007/PartnerControls"/>
    <ds:schemaRef ds:uri="adc0c41a-12c1-4165-8422-5f5ca88e9f6a"/>
    <ds:schemaRef ds:uri="d78c010b-218d-4be4-b2d9-423b1f51aae5"/>
  </ds:schemaRefs>
</ds:datastoreItem>
</file>

<file path=customXml/itemProps3.xml><?xml version="1.0" encoding="utf-8"?>
<ds:datastoreItem xmlns:ds="http://schemas.openxmlformats.org/officeDocument/2006/customXml" ds:itemID="{3AB90B26-BD59-4509-808B-5C4F1D827B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Note</vt:lpstr>
      <vt:lpstr>Co_Market_GLO</vt:lpstr>
      <vt:lpstr>PR1_CoSO4_CN_Xinjiang</vt:lpstr>
      <vt:lpstr>PR2_CoSO4_CD-CN_Tongxiang</vt:lpstr>
      <vt:lpstr>PR3_Co3O4_CD-CN_Quzhou</vt:lpstr>
      <vt:lpstr>PR4_Co_CD-CN-GLO</vt:lpstr>
      <vt:lpstr>PR5_Co_AU_HPAL_Laterites</vt:lpstr>
      <vt:lpstr>PR6_Co_AU_FlashSmelting</vt:lpstr>
      <vt:lpstr>PR7_Co(OH)2_Europe_Recycling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 Pellan</cp:lastModifiedBy>
  <dcterms:created xsi:type="dcterms:W3CDTF">2015-06-05T18:19:34Z</dcterms:created>
  <dcterms:modified xsi:type="dcterms:W3CDTF">2026-09-09T15:01:53Z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