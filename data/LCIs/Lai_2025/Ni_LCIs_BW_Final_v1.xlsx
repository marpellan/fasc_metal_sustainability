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LCIs/Lai_2025/"/>
    </mc:Choice>
  </mc:AlternateContent>
  <xr:revisionPtr revIDLastSave="453" documentId="8_{D90A6F2A-0357-4B55-86BC-6D3D4F34DC7D}" xr6:coauthVersionLast="47" xr6:coauthVersionMax="47" xr10:uidLastSave="{AC0E887C-7F30-44BC-BB61-D46381B0D17A}"/>
  <bookViews>
    <workbookView xWindow="-120" yWindow="-120" windowWidth="29040" windowHeight="15720" tabRatio="898" activeTab="1" xr2:uid="{00000000-000D-0000-FFFF-FFFF00000000}"/>
  </bookViews>
  <sheets>
    <sheet name="Note" sheetId="1" r:id="rId1"/>
    <sheet name="Ni_Market_GLO" sheetId="14" r:id="rId2"/>
    <sheet name="PR1_Ni_AU_HPAL_Laterites" sheetId="15" r:id="rId3"/>
    <sheet name="PR2_Ni_AU_FlashSmelting" sheetId="17" r:id="rId4"/>
    <sheet name="PR3_NiO_ID_RKEF_Laterites" sheetId="4" r:id="rId5"/>
    <sheet name="PR4_FeNi_CO_RKEF_Laterites" sheetId="5" r:id="rId6"/>
    <sheet name="PR5_NPI_ID_BlastSmelt_Laterite" sheetId="6" r:id="rId7"/>
    <sheet name="PR6_Ni_CN_GFEM" sheetId="20" r:id="rId8"/>
    <sheet name="PR7_Ni_CN_LEM" sheetId="22" r:id="rId9"/>
    <sheet name="PR8_FeNi_CN_Smelting_Laterites" sheetId="10" r:id="rId10"/>
    <sheet name="PR9_FeNi_AU_Laterites" sheetId="11" r:id="rId11"/>
    <sheet name="PR10_Ni_CN_Recycling" sheetId="12" r:id="rId12"/>
    <sheet name="PR11_NiSO4_World" sheetId="2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4" l="1"/>
  <c r="D47" i="4"/>
  <c r="D46" i="5"/>
  <c r="D45" i="5"/>
  <c r="D42" i="6"/>
  <c r="D41" i="6"/>
  <c r="D43" i="10"/>
  <c r="D41" i="11"/>
  <c r="D42" i="11"/>
  <c r="D30" i="11"/>
  <c r="D53" i="11"/>
  <c r="D54" i="11" s="1"/>
  <c r="D54" i="10"/>
  <c r="D54" i="6"/>
  <c r="D53" i="6"/>
  <c r="D58" i="5"/>
  <c r="D57" i="5"/>
  <c r="D60" i="4"/>
  <c r="D59" i="4"/>
</calcChain>
</file>

<file path=xl/sharedStrings.xml><?xml version="1.0" encoding="utf-8"?>
<sst xmlns="http://schemas.openxmlformats.org/spreadsheetml/2006/main" count="5701" uniqueCount="424">
  <si>
    <t>Activity</t>
  </si>
  <si>
    <t>reference product</t>
  </si>
  <si>
    <t>location</t>
  </si>
  <si>
    <t>AU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</si>
  <si>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</si>
  <si>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</si>
  <si>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</si>
  <si>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</si>
  <si>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</si>
  <si>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</si>
  <si>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</si>
  <si>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</si>
  <si>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</si>
  <si>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</si>
  <si>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</si>
  <si>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</si>
  <si>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</si>
  <si>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</si>
  <si>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</si>
  <si>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</si>
  <si>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</si>
  <si>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technosphere</t>
  </si>
  <si>
    <t>(1,5,3,1,1)</t>
  </si>
  <si>
    <t>market for ammonium sulfate</t>
  </si>
  <si>
    <t>ammonium sulfate</t>
  </si>
  <si>
    <t>RoW</t>
  </si>
  <si>
    <t>market group for electricity, medium voltage</t>
  </si>
  <si>
    <t>electricity, medium voltage</t>
  </si>
  <si>
    <t>GLO</t>
  </si>
  <si>
    <t>kilowatt hour</t>
  </si>
  <si>
    <t>(4,5,4,5,5)</t>
  </si>
  <si>
    <t>market group for heat, district or industrial, natural gas</t>
  </si>
  <si>
    <t>heat, district or industrial, natural gas</t>
  </si>
  <si>
    <t>megajoule</t>
  </si>
  <si>
    <t>market for diesel, burned in building machine</t>
  </si>
  <si>
    <t>diesel, burned in building machine</t>
  </si>
  <si>
    <t>market for transport, freight, lorry &gt;32 metric ton, EURO6</t>
  </si>
  <si>
    <t>transport, freight, lorry &gt;32 metric ton, EURO6</t>
  </si>
  <si>
    <t>ton kilometer</t>
  </si>
  <si>
    <t>market for limestone, crushed, washed</t>
  </si>
  <si>
    <t>limestone, crushed, washed</t>
  </si>
  <si>
    <t>market for ammonia, anhydrous, liquid</t>
  </si>
  <si>
    <t>ammonia, anhydrous, liquid</t>
  </si>
  <si>
    <t>market for sulfur</t>
  </si>
  <si>
    <t>sulfur</t>
  </si>
  <si>
    <t>Laterite</t>
  </si>
  <si>
    <t>biosphere3</t>
  </si>
  <si>
    <t>biosphere</t>
  </si>
  <si>
    <t>natural resource::in ground</t>
  </si>
  <si>
    <t>Water, unspecified natural origin</t>
  </si>
  <si>
    <t>cubic meter</t>
  </si>
  <si>
    <t>(4.0,5.0,5.0,5.0,5.0)</t>
  </si>
  <si>
    <t>market for electricity, medium voltage</t>
  </si>
  <si>
    <t>market for natural gas, high pressure</t>
  </si>
  <si>
    <t>natural gas, high pressure</t>
  </si>
  <si>
    <t>(1.0,1.0,2.0,1.0,1.0)</t>
  </si>
  <si>
    <t>Nickel</t>
  </si>
  <si>
    <t>Cobalt</t>
  </si>
  <si>
    <t>market for hard coal</t>
  </si>
  <si>
    <t>hard coal</t>
  </si>
  <si>
    <t>market for compressed air, 800 kPa gauge</t>
  </si>
  <si>
    <t>compressed air, 800 kPa gauge</t>
  </si>
  <si>
    <t>market for activated silica</t>
  </si>
  <si>
    <t>activated silica</t>
  </si>
  <si>
    <t>market for coke</t>
  </si>
  <si>
    <t>coke</t>
  </si>
  <si>
    <t>market for hydrogen, gaseous, medium pressure, merchant</t>
  </si>
  <si>
    <t>hydrogen, gaseous, medium pressure, merchant</t>
  </si>
  <si>
    <t>ID</t>
  </si>
  <si>
    <t>market for electrode, negative, Ni</t>
  </si>
  <si>
    <t>electrode, negative, Ni</t>
  </si>
  <si>
    <t>CO</t>
  </si>
  <si>
    <t>market for charcoal</t>
  </si>
  <si>
    <t>charcoal</t>
  </si>
  <si>
    <t>market for lime, packed</t>
  </si>
  <si>
    <t>lime, packed</t>
  </si>
  <si>
    <t>market for ferrosilicon</t>
  </si>
  <si>
    <t>ferrosilicon</t>
  </si>
  <si>
    <t>market for aluminium, primary, ingot</t>
  </si>
  <si>
    <t>aluminium, primary, ingot</t>
  </si>
  <si>
    <t>CN</t>
  </si>
  <si>
    <t>(1,2,2,1,1)</t>
  </si>
  <si>
    <t>market for barium carbonate</t>
  </si>
  <si>
    <t>barium carbonate</t>
  </si>
  <si>
    <t>(2,2,1,5,2)</t>
  </si>
  <si>
    <t>market for soda ash, dense</t>
  </si>
  <si>
    <t>soda ash, dense</t>
  </si>
  <si>
    <t>(2,2,1,2,2)</t>
  </si>
  <si>
    <t>market for sulfuric acid</t>
  </si>
  <si>
    <t>sulfuric acid</t>
  </si>
  <si>
    <t>market for hydrochloric acid, without water, in 30% solution state</t>
  </si>
  <si>
    <t>hydrochloric acid, without water, in 30% solution state</t>
  </si>
  <si>
    <t>market for chlorine, liquid</t>
  </si>
  <si>
    <t>chlorine, liquid</t>
  </si>
  <si>
    <t>market for boric acid, anhydrous, powder</t>
  </si>
  <si>
    <t>boric acid, anhydrous, powder</t>
  </si>
  <si>
    <t>market for sodium hydroxide, without water, in 50% solution state</t>
  </si>
  <si>
    <t>sodium hydroxide, without water, in 50% solution state</t>
  </si>
  <si>
    <t>market for nitric acid, without water, in 50% solution state</t>
  </si>
  <si>
    <t>nitric acid, without water, in 50% solution state</t>
  </si>
  <si>
    <t>market for chemical, inorganic</t>
  </si>
  <si>
    <t>chemical, inorganic</t>
  </si>
  <si>
    <t>market for steam, in chemical industry</t>
  </si>
  <si>
    <t>steam, in chemical industry</t>
  </si>
  <si>
    <t>market for wastewater, average</t>
  </si>
  <si>
    <t>wastewater, average</t>
  </si>
  <si>
    <t>market for municipal solid waste</t>
  </si>
  <si>
    <t>municipal solid waste</t>
  </si>
  <si>
    <t>market for hazardous waste, for underground deposit</t>
  </si>
  <si>
    <t>hazardous waste, for underground deposit</t>
  </si>
  <si>
    <t>natural resource::in water</t>
  </si>
  <si>
    <t>Occupation, industrial area</t>
  </si>
  <si>
    <t>square meter-year</t>
  </si>
  <si>
    <t>natural resource::land</t>
  </si>
  <si>
    <t>Sulfuric acid</t>
  </si>
  <si>
    <t>(4,2,3,2,2)</t>
  </si>
  <si>
    <t>Hydrogen sulfide</t>
  </si>
  <si>
    <t>Chlorine</t>
  </si>
  <si>
    <t>Particulate Matter, &gt; 2.5 um and &lt; 10um</t>
  </si>
  <si>
    <t>COD, Chemical Oxygen Demand</t>
  </si>
  <si>
    <t>Suspended solids, unspecified</t>
  </si>
  <si>
    <t>Ammonium</t>
  </si>
  <si>
    <t>Sulfide</t>
  </si>
  <si>
    <t>Hydrocarbons, unspecified</t>
  </si>
  <si>
    <t>Fluoride</t>
  </si>
  <si>
    <t>Phosphorus</t>
  </si>
  <si>
    <t>Nitrogen</t>
  </si>
  <si>
    <t>Copper ion</t>
  </si>
  <si>
    <t>Nickel II</t>
  </si>
  <si>
    <t>Lead II</t>
  </si>
  <si>
    <t>Cadmium II</t>
  </si>
  <si>
    <t>market for chemical, organic</t>
  </si>
  <si>
    <t>chemical, organic</t>
  </si>
  <si>
    <t>market for naphtha</t>
  </si>
  <si>
    <t>naphtha</t>
  </si>
  <si>
    <t>market for activated carbon, granular</t>
  </si>
  <si>
    <t>activated carbon, granular</t>
  </si>
  <si>
    <t>market for non-ionic surfactant</t>
  </si>
  <si>
    <t>non-ionic surfactant</t>
  </si>
  <si>
    <t>Occupation, mineral extraction site</t>
  </si>
  <si>
    <t>market for explosive, tovex</t>
  </si>
  <si>
    <t>explosive, tovex</t>
  </si>
  <si>
    <t>market for tube insulation, elastomere</t>
  </si>
  <si>
    <t>tube insulation, elastomere</t>
  </si>
  <si>
    <t>market for steel, low-alloyed</t>
  </si>
  <si>
    <t>steel, low-alloyed</t>
  </si>
  <si>
    <t>market for synthetic rubber</t>
  </si>
  <si>
    <t>synthetic rubber</t>
  </si>
  <si>
    <t>market for cement, unspecified</t>
  </si>
  <si>
    <t>cement, unspecified</t>
  </si>
  <si>
    <t>market for lubricating oil</t>
  </si>
  <si>
    <t>lubricating oil</t>
  </si>
  <si>
    <t>market for copper sulfate</t>
  </si>
  <si>
    <t>copper sulfate</t>
  </si>
  <si>
    <t>market for sodium ethyl xanthate</t>
  </si>
  <si>
    <t>sodium ethyl xanthate</t>
  </si>
  <si>
    <t>market for building, hall</t>
  </si>
  <si>
    <t>building, hall</t>
  </si>
  <si>
    <t>square meter</t>
  </si>
  <si>
    <t>market group for diesel</t>
  </si>
  <si>
    <t>diesel</t>
  </si>
  <si>
    <t>market for light fuel oil</t>
  </si>
  <si>
    <t>light fuel oil</t>
  </si>
  <si>
    <t>Wood, unspecified, standing</t>
  </si>
  <si>
    <t>natural resource::biotic</t>
  </si>
  <si>
    <t>Sulfur dioxide</t>
  </si>
  <si>
    <t>Nitrogen oxides</t>
  </si>
  <si>
    <t>Cobalt II</t>
  </si>
  <si>
    <t>Arsenic ion</t>
  </si>
  <si>
    <t>Zinc II</t>
  </si>
  <si>
    <t>Chromium III</t>
  </si>
  <si>
    <t>market for heavy fuel oil</t>
  </si>
  <si>
    <t>heavy fuel oil</t>
  </si>
  <si>
    <t>market for refractory, basic, packed</t>
  </si>
  <si>
    <t>refractory, basic, packed</t>
  </si>
  <si>
    <t>market for anode, for metal electrolysis</t>
  </si>
  <si>
    <t>anode, for metal electrolysis</t>
  </si>
  <si>
    <t>market for polyacrylamide</t>
  </si>
  <si>
    <t>polyacrylamide</t>
  </si>
  <si>
    <t>market for aluminium oxide, metallurgical</t>
  </si>
  <si>
    <t>aluminium oxide, metallurgical</t>
  </si>
  <si>
    <t>market for sodium sulfide</t>
  </si>
  <si>
    <t>sodium sulfide</t>
  </si>
  <si>
    <t>Sand, unspecified</t>
  </si>
  <si>
    <t>Mercury II</t>
  </si>
  <si>
    <t>FeNi</t>
  </si>
  <si>
    <t>(2,5,2,1,2)</t>
  </si>
  <si>
    <t>market for argon, liquid</t>
  </si>
  <si>
    <t>argon, liquid</t>
  </si>
  <si>
    <t>market for tap water</t>
  </si>
  <si>
    <t>tap water</t>
  </si>
  <si>
    <t>market for sewage sludge</t>
  </si>
  <si>
    <t>sewage sludge</t>
  </si>
  <si>
    <t>market for waste mineral oil</t>
  </si>
  <si>
    <t>waste mineral oil</t>
  </si>
  <si>
    <t>(4,5,4,2,1)</t>
  </si>
  <si>
    <t>market for sodium silicate, without water, in 48% solution state</t>
  </si>
  <si>
    <t>sodium silicate, without water, in 48% solution state</t>
  </si>
  <si>
    <t>market for aluminium, wrought alloy</t>
  </si>
  <si>
    <t>aluminium, wrought alloy</t>
  </si>
  <si>
    <t>(1,5,2,1,1)</t>
  </si>
  <si>
    <t>air</t>
  </si>
  <si>
    <t>water</t>
  </si>
  <si>
    <t>soil</t>
  </si>
  <si>
    <t>[M+C+P+R] Nickel (Ni) class 1 production - High Pressure Acid Leaching (HPAL)</t>
  </si>
  <si>
    <t>Ni class 1</t>
  </si>
  <si>
    <t>ecoinvent 3.10 cutoff</t>
  </si>
  <si>
    <t>Laterite ore mining and Ni class 1 production in Australia through HPAL</t>
  </si>
  <si>
    <t>Activity expressed for 1 kg Ni contained</t>
  </si>
  <si>
    <t>Ni concentrate</t>
  </si>
  <si>
    <t>[P+R] Nickel (Ni) class 1 production - Flash Smelting</t>
  </si>
  <si>
    <t>Sulfide ore mining and Ni class 1 production in Australia through Flash Smelting</t>
  </si>
  <si>
    <t>NiO</t>
  </si>
  <si>
    <t>Laterite ore mining and NiO production in Indonesia through RKEF</t>
  </si>
  <si>
    <t>NiO (Ni content)</t>
  </si>
  <si>
    <t>[P+R] Nickel oxide (NiO) production - Rotary-Kiln Electric Furnace (RKEF)</t>
  </si>
  <si>
    <t>[P+R] Ferronickel (FeNi) production - Rotary-Kiln Electric Furnace (RKEF)</t>
  </si>
  <si>
    <t>Laterite ore mining and FeNi production in Colombia through RKEF</t>
  </si>
  <si>
    <t>FeNi (Ni content)</t>
  </si>
  <si>
    <t>[P+R] Nickel pig iron (NPI) production - Blast Furnace Smelting</t>
  </si>
  <si>
    <t>NPI</t>
  </si>
  <si>
    <t>Laterite ore mining and NPI production in Indonesia through Blast Furnace Smelting</t>
  </si>
  <si>
    <t>NPI (Ni content)</t>
  </si>
  <si>
    <t>[R] Nickel (Ni) class 1 production - Grind and Flotation Electrolytic Method (GFEM)</t>
  </si>
  <si>
    <t>[R] Nickel (Ni) class 1 production - Leaching Electrowinning Method (LEM)</t>
  </si>
  <si>
    <t>Ni matte</t>
  </si>
  <si>
    <t>Ni ore mining and Ni class 1 production in China/Gansu through GFEM</t>
  </si>
  <si>
    <t>Ni ore mining and Ni class 1 production in China/Gansu through LEM</t>
  </si>
  <si>
    <t>Laterite ore mining and FeNi production in China through Smelting</t>
  </si>
  <si>
    <t>Ni ore</t>
  </si>
  <si>
    <t>[C+P+R] Ferronickel (FeNi) production</t>
  </si>
  <si>
    <t>Laterite ore mining and FeNi production in Australia</t>
  </si>
  <si>
    <t>Ni anode plate</t>
  </si>
  <si>
    <t>Nickel (Ni) scraps</t>
  </si>
  <si>
    <t>Ni scraps</t>
  </si>
  <si>
    <t>Empty activity representing the Ni scraps input in the recycling process (following the "cut-off" modelling approach)</t>
  </si>
  <si>
    <t>[P+R] Ni waste recycling</t>
  </si>
  <si>
    <t>Ni production in China through Ni waste recycling</t>
  </si>
  <si>
    <t>(1, 4, 2, 1, 1, 1)</t>
  </si>
  <si>
    <t>market for heat, district or industrial, natural gas</t>
  </si>
  <si>
    <t>heat production, heavy fuel oil, at industrial furnace 1MW</t>
  </si>
  <si>
    <t>heat, district or industrial, other than natural gas</t>
  </si>
  <si>
    <t>heat production, light fuel oil, at boiler 100kW condensing, non-modulating</t>
  </si>
  <si>
    <t>heat, central or small-scale, other than natural gas</t>
  </si>
  <si>
    <t>heat and power co-generation, hard coal</t>
  </si>
  <si>
    <t>market for heat, from steam, in chemical industry</t>
  </si>
  <si>
    <t>heat, from steam, in chemical industry</t>
  </si>
  <si>
    <t>market for diesel</t>
  </si>
  <si>
    <t>market for petrol, low-sulfur</t>
  </si>
  <si>
    <t>petrol, low-sulfur</t>
  </si>
  <si>
    <t>market for aluminium sulfate, powder</t>
  </si>
  <si>
    <t>aluminium sulfate, powder</t>
  </si>
  <si>
    <t>market for chlorine, gaseous</t>
  </si>
  <si>
    <t>chlorine, gaseous</t>
  </si>
  <si>
    <t>market for compressed air, 1200 kPa gauge</t>
  </si>
  <si>
    <t>compressed air, 1200 kPa gauge</t>
  </si>
  <si>
    <t>market for formaldehyde</t>
  </si>
  <si>
    <t>formaldehyde</t>
  </si>
  <si>
    <t>market for hydrogen peroxide, without water, in 50% solution state</t>
  </si>
  <si>
    <t>hydrogen peroxide, without water, in 50% solution state</t>
  </si>
  <si>
    <t>market for hydrogen sulfide</t>
  </si>
  <si>
    <t>hydrogen sulfide</t>
  </si>
  <si>
    <t>market for lime, hydrated, packed</t>
  </si>
  <si>
    <t>lime, hydrated, packed</t>
  </si>
  <si>
    <t>market for naphthalene sulfonic acid</t>
  </si>
  <si>
    <t>naphthalene sulfonic acid</t>
  </si>
  <si>
    <t>market for oxygen, liquid</t>
  </si>
  <si>
    <t>oxygen, liquid</t>
  </si>
  <si>
    <t>market for silica sand</t>
  </si>
  <si>
    <t>silica sand</t>
  </si>
  <si>
    <t>market for soda ash, light</t>
  </si>
  <si>
    <t>soda ash, light</t>
  </si>
  <si>
    <t>market for sodium chloride, powder</t>
  </si>
  <si>
    <t>sodium chloride, powder</t>
  </si>
  <si>
    <t>market for sodium hydrogen sulfite</t>
  </si>
  <si>
    <t>sodium hydrogen sulfite</t>
  </si>
  <si>
    <t>market for sodium pyrophosphate</t>
  </si>
  <si>
    <t>sodium pyrophosphate</t>
  </si>
  <si>
    <t>market for sodium sulfate, anhydrite</t>
  </si>
  <si>
    <t>sodium sulfate, anhydrite</t>
  </si>
  <si>
    <t>market for sulfur dioxide, liquid</t>
  </si>
  <si>
    <t>sulfur dioxide, liquid</t>
  </si>
  <si>
    <t>market group for tap water</t>
  </si>
  <si>
    <t>market for process-specific burdens, inert material landfill</t>
  </si>
  <si>
    <t>process-specific burdens, inert material landfill</t>
  </si>
  <si>
    <t>market for average incineration residue</t>
  </si>
  <si>
    <t>average incineration residue</t>
  </si>
  <si>
    <t>market for hazardous waste, for incineration</t>
  </si>
  <si>
    <t>hazardous waste, for incineration</t>
  </si>
  <si>
    <t>Carbon dioxide, fossil</t>
  </si>
  <si>
    <t>Carbon monoxide, fossil</t>
  </si>
  <si>
    <t>Methane, fossil</t>
  </si>
  <si>
    <t>NMVOC, non-methane volatile organic compounds</t>
  </si>
  <si>
    <t>Particulate Matter, &lt; 2.5 um</t>
  </si>
  <si>
    <t>Particulate Matter, &gt; 10 um</t>
  </si>
  <si>
    <t>Ammonia</t>
  </si>
  <si>
    <t>Antimony ion</t>
  </si>
  <si>
    <t>Manganese II</t>
  </si>
  <si>
    <t>Water</t>
  </si>
  <si>
    <t>water::surface water</t>
  </si>
  <si>
    <t>Water, in air</t>
  </si>
  <si>
    <t>natural resource::in air</t>
  </si>
  <si>
    <t>Water, river</t>
  </si>
  <si>
    <t>market for petroleum coke</t>
  </si>
  <si>
    <t>petroleum coke</t>
  </si>
  <si>
    <t>electrode production, negative, Ni</t>
  </si>
  <si>
    <t>lime production, hydrated, packed</t>
  </si>
  <si>
    <t>market for base oil</t>
  </si>
  <si>
    <t>base oil</t>
  </si>
  <si>
    <t>market for graphite</t>
  </si>
  <si>
    <t>graphite</t>
  </si>
  <si>
    <t>market for gravel, crushed</t>
  </si>
  <si>
    <t>gravel, crushed</t>
  </si>
  <si>
    <t>market for iron pellet</t>
  </si>
  <si>
    <t>iron pellet</t>
  </si>
  <si>
    <t>market for iron scrap, unsorted</t>
  </si>
  <si>
    <t>iron scrap, unsorted</t>
  </si>
  <si>
    <t>market for iron sulfate</t>
  </si>
  <si>
    <t>iron sulfate</t>
  </si>
  <si>
    <t>market for iron(III) chloride, without water, in 40% solution state</t>
  </si>
  <si>
    <t>iron(III) chloride, without water, in 40% solution state</t>
  </si>
  <si>
    <t>market for nitrogen, liquid</t>
  </si>
  <si>
    <t>nitrogen, liquid</t>
  </si>
  <si>
    <t>market for process-specific burdens, residual material landfill</t>
  </si>
  <si>
    <t>process-specific burdens, residual material landfill</t>
  </si>
  <si>
    <t>market for nickel smelter slag</t>
  </si>
  <si>
    <t>nickel smelter slag</t>
  </si>
  <si>
    <t>market for sulfidic tailings, from nickel mine operation</t>
  </si>
  <si>
    <t>sulfidic tailings, from nickel mine operation</t>
  </si>
  <si>
    <t>treatment of wastewater from nickel matte production</t>
  </si>
  <si>
    <t>wastewater from nickel matte production</t>
  </si>
  <si>
    <t>Sulfur oxides</t>
  </si>
  <si>
    <t>soil::agricultural</t>
  </si>
  <si>
    <t>Hydrochloric acid</t>
  </si>
  <si>
    <t>Water, lake</t>
  </si>
  <si>
    <t>market for industrial machine, heavy, unspecified</t>
  </si>
  <si>
    <t>industrial machine, heavy, unspecified</t>
  </si>
  <si>
    <t>market for sulfidic tailings, generic</t>
  </si>
  <si>
    <t>sulfidic tailings, generic</t>
  </si>
  <si>
    <t>market for non-sulfidic overburden, off-site</t>
  </si>
  <si>
    <t>non-sulfidic overburden, off-site</t>
  </si>
  <si>
    <t>Copper</t>
  </si>
  <si>
    <t>Gangue</t>
  </si>
  <si>
    <t>Gold</t>
  </si>
  <si>
    <t>Iron</t>
  </si>
  <si>
    <t>Palladium</t>
  </si>
  <si>
    <t>Platinum</t>
  </si>
  <si>
    <t>Rhodium</t>
  </si>
  <si>
    <t>water::ocean</t>
  </si>
  <si>
    <t>BOD5, Biological Oxygen Demand</t>
  </si>
  <si>
    <t>Chromium VI</t>
  </si>
  <si>
    <t>Iron ion</t>
  </si>
  <si>
    <t>Magnesium</t>
  </si>
  <si>
    <t>Manganese</t>
  </si>
  <si>
    <t>Nitrate</t>
  </si>
  <si>
    <t>Selenium IV</t>
  </si>
  <si>
    <t>Silver I</t>
  </si>
  <si>
    <t>Sulfate</t>
  </si>
  <si>
    <t>TOC, Total Organic Carbon</t>
  </si>
  <si>
    <t>Titanium ion</t>
  </si>
  <si>
    <t>[P] Nickel sulfate (NiSO4) production</t>
  </si>
  <si>
    <t>NiSO4</t>
  </si>
  <si>
    <t>Ni ore mining and NiSO4 production worldwide</t>
  </si>
  <si>
    <t>NiSO4 (Ni content)</t>
  </si>
  <si>
    <t>Nickel (Ni) global market</t>
  </si>
  <si>
    <t>Ni content</t>
  </si>
  <si>
    <t>skip</t>
  </si>
  <si>
    <t>[M+C] Nickel (Ni) ore mining and concentration (for Ni Class 1)</t>
  </si>
  <si>
    <t>[M+C] Nickel (Ni) ore mining and concentration (for NiO)</t>
  </si>
  <si>
    <t>[M+C] Nickel (Ni) ore mining and concentration (for FeNi)</t>
  </si>
  <si>
    <t>[M+C] Nickel (Ni) ore mining and concentration (for NPI)</t>
  </si>
  <si>
    <t>[M+C] Nickel (Ni) ore mining and concentration (GFEM route)</t>
  </si>
  <si>
    <t>[P] Ni matte production (GFEM route)</t>
  </si>
  <si>
    <t>[M+C] Nickel (Ni) ore mining and concentration (LEM route)</t>
  </si>
  <si>
    <t>[P] Ni matte production (LEM route)</t>
  </si>
  <si>
    <t>[M+C+P+R] Ferronickel (FeNi) production - Smelting</t>
  </si>
  <si>
    <t>[M] Nickel (Ni) ore mining (for FeNi)</t>
  </si>
  <si>
    <t>[M] Nickel (Ni) ore mining (for NiSO4)</t>
  </si>
  <si>
    <t>[C] Ni ore concentration (for NiSO4)</t>
  </si>
  <si>
    <t>[P] Ni matte production (for NiSO4)</t>
  </si>
  <si>
    <t>Ni ore mining and NiSO4 production worldwide (Ni content)</t>
  </si>
  <si>
    <t>Laterite ore mining and FeNi production in Australia (Ni content)</t>
  </si>
  <si>
    <t>Laterite ore mining and FeNi production in China through Smelting (Ni content)</t>
  </si>
  <si>
    <t>Laterite ore mining and NPI production in Indonesia through Blast Furnace Smelting (Ni content)</t>
  </si>
  <si>
    <t>Laterite ore mining and FeNi production in Colombia through RKEF (Ni content)</t>
  </si>
  <si>
    <t>Laterite ore mining and NiO production in Indonesia through RKEF (Ni content)</t>
  </si>
  <si>
    <t>Nickel (Ni) global market (Ni content)</t>
  </si>
  <si>
    <t>Ni commodities</t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</si>
  <si>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85% for Ni (1 kg)</t>
    </r>
    <r>
      <rPr>
        <sz val="11"/>
        <color theme="5"/>
        <rFont val="Calibri"/>
        <family val="2"/>
        <scheme val="minor"/>
      </rPr>
      <t xml:space="preserve"> and 15% for Co (0.016 kg).</t>
    </r>
  </si>
  <si>
    <r>
      <t xml:space="preserve">Applied AF: "Ni concentrate" input = </t>
    </r>
    <r>
      <rPr>
        <b/>
        <sz val="11"/>
        <color theme="5"/>
        <rFont val="Calibri"/>
        <family val="2"/>
        <scheme val="minor"/>
      </rPr>
      <t>85%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</si>
  <si>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74% for Ni (1 kg)</t>
    </r>
    <r>
      <rPr>
        <sz val="11"/>
        <color theme="5"/>
        <rFont val="Calibri"/>
        <family val="2"/>
        <scheme val="minor"/>
      </rPr>
      <t>, 21% for Cu (0.64 kg in concentrate), 4% for Co (0.02 kg in slag) and 1% for secondary alloy (0.009 kg Ni and 0.003 kg Cu).</t>
    </r>
  </si>
  <si>
    <r>
      <t xml:space="preserve">Applied AF: "Ni matte" and "Ni concentrate" inputs = </t>
    </r>
    <r>
      <rPr>
        <b/>
        <sz val="11"/>
        <color theme="5"/>
        <rFont val="Calibri"/>
        <family val="2"/>
        <scheme val="minor"/>
      </rPr>
      <t>74%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</si>
  <si>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80% for Ni (1 kg)</t>
    </r>
    <r>
      <rPr>
        <sz val="11"/>
        <color theme="5"/>
        <rFont val="Calibri"/>
        <family val="2"/>
        <scheme val="minor"/>
      </rPr>
      <t>, 20% for the leaching residue (0.009 kg Ni, 0.53 kg Cu, 0.0001 kg Co).</t>
    </r>
  </si>
  <si>
    <r>
      <t xml:space="preserve">Applied AF: "Ni matte" and "Ni concentrate" inputs = </t>
    </r>
    <r>
      <rPr>
        <b/>
        <sz val="11"/>
        <color theme="5"/>
        <rFont val="Calibri"/>
        <family val="2"/>
        <scheme val="minor"/>
      </rPr>
      <t>80%</t>
    </r>
    <r>
      <rPr>
        <sz val="11"/>
        <color theme="5"/>
        <rFont val="Calibri"/>
        <family val="2"/>
        <scheme val="minor"/>
      </rPr>
      <t>.</t>
    </r>
  </si>
  <si>
    <t>The co-produced sulfuric acid is dealt through substitution.</t>
  </si>
  <si>
    <r>
      <t xml:space="preserve">Applied AF: "Ni matte", "Ni concentrate" and "Ni ore" inputs = </t>
    </r>
    <r>
      <rPr>
        <b/>
        <sz val="11"/>
        <color theme="5"/>
        <rFont val="Calibri"/>
        <family val="2"/>
        <scheme val="minor"/>
      </rPr>
      <t>64%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</si>
  <si>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84% for Ni (1 kg)</t>
    </r>
    <r>
      <rPr>
        <sz val="11"/>
        <color theme="5"/>
        <rFont val="Calibri"/>
        <family val="2"/>
        <scheme val="minor"/>
      </rPr>
      <t xml:space="preserve"> and 16% for Co (0.07 kg). 
</t>
    </r>
    <r>
      <rPr>
        <sz val="11"/>
        <color rgb="FF7030A0"/>
        <rFont val="Calibri"/>
        <family val="2"/>
        <scheme val="minor"/>
      </rPr>
      <t>The co-produced ammonium sulfate is dealt through substitution.</t>
    </r>
  </si>
  <si>
    <r>
      <t>In the absence of detailed mass balance for this intermediary product, the reference flow of this unit process is set by default at 1 kg, while the input and ouput flows of the inventory are actually</t>
    </r>
    <r>
      <rPr>
        <b/>
        <sz val="11"/>
        <rFont val="Calibri"/>
        <family val="2"/>
        <scheme val="minor"/>
      </rPr>
      <t xml:space="preserve"> scaled to 1 kg of Ni class 1</t>
    </r>
    <r>
      <rPr>
        <sz val="11"/>
        <rFont val="Calibri"/>
        <family val="2"/>
        <scheme val="minor"/>
      </rPr>
      <t xml:space="preserve">, as final output of this production route. </t>
    </r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</si>
  <si>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NiO</t>
    </r>
    <r>
      <rPr>
        <sz val="11"/>
        <rFont val="Calibri"/>
        <family val="2"/>
        <scheme val="minor"/>
      </rPr>
      <t>, as final output of this production route.</t>
    </r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</si>
  <si>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FeNi</t>
    </r>
    <r>
      <rPr>
        <sz val="11"/>
        <rFont val="Calibri"/>
        <family val="2"/>
        <scheme val="minor"/>
      </rPr>
      <t>, as final output of this production route.</t>
    </r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</si>
  <si>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NPI</t>
    </r>
    <r>
      <rPr>
        <sz val="11"/>
        <rFont val="Calibri"/>
        <family val="2"/>
        <scheme val="minor"/>
      </rPr>
      <t>, as final output of this production route.</t>
    </r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</si>
  <si>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Ni matte</t>
    </r>
    <r>
      <rPr>
        <sz val="11"/>
        <rFont val="Calibri"/>
        <family val="2"/>
        <scheme val="minor"/>
      </rPr>
      <t>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</si>
  <si>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64% for NiSO4 (1 kg)</t>
    </r>
    <r>
      <rPr>
        <sz val="11"/>
        <color theme="5"/>
        <rFont val="Calibri"/>
        <family val="2"/>
        <scheme val="minor"/>
      </rPr>
      <t xml:space="preserve">, 20% for Ni (0.078 kg), 9% for Co (0.013 kg) and 7% for Cu (0.068 kg). 
</t>
    </r>
    <r>
      <rPr>
        <sz val="11"/>
        <color rgb="FF7030A0"/>
        <rFont val="Calibri"/>
        <family val="2"/>
        <scheme val="minor"/>
      </rPr>
      <t>The co-produced ammonium sulfate is dealt through substitution.</t>
    </r>
  </si>
  <si>
    <r>
      <rPr>
        <sz val="11"/>
        <rFont val="Calibri"/>
        <family val="2"/>
        <scheme val="minor"/>
      </rPr>
      <t xml:space="preserve">Activity expressed for 1 kg Ni contained. </t>
    </r>
    <r>
      <rPr>
        <sz val="11"/>
        <color theme="5"/>
        <rFont val="Calibri"/>
        <family val="2"/>
        <scheme val="minor"/>
      </rPr>
      <t xml:space="preserve">
Applied AF: "Ni matte", "Ni concentrate" and "Ni ore" inputs = </t>
    </r>
    <r>
      <rPr>
        <b/>
        <sz val="11"/>
        <color theme="5"/>
        <rFont val="Calibri"/>
        <family val="2"/>
        <scheme val="minor"/>
      </rPr>
      <t>64%</t>
    </r>
    <r>
      <rPr>
        <sz val="11"/>
        <color theme="5"/>
        <rFont val="Calibri"/>
        <family val="2"/>
        <scheme val="minor"/>
      </rPr>
      <t>.</t>
    </r>
  </si>
  <si>
    <t>Sheet</t>
  </si>
  <si>
    <t>Corresponding route</t>
  </si>
  <si>
    <t>Ni_Market_GLO</t>
  </si>
  <si>
    <t>Ni global market</t>
  </si>
  <si>
    <t>PR2_Ni_AU_FlashSmelting</t>
  </si>
  <si>
    <t>PR1_Ni_AU_HPAL_Laterites</t>
  </si>
  <si>
    <t>Laterite ore mining and Ni class 1 production in Australia through High Pressure Acid Leaching (HPAL)</t>
  </si>
  <si>
    <t>PR3_NiO_ID_RKEF_Laterites</t>
  </si>
  <si>
    <t>Laterite ore mining and NiO production in Indonesia through Rotary-Kiln Electric Furnace (RKEF)</t>
  </si>
  <si>
    <t>PR4_FeNi_CO_RKEF_Laterites</t>
  </si>
  <si>
    <t>PR5_NPI_ID_BlastSmelt_Laterite</t>
  </si>
  <si>
    <t>PR6_Ni_CN_GFEM</t>
  </si>
  <si>
    <t>Ni ore mining and Ni class 1 production in China/Gansu through Grind and Flotation Electrolytic Method (GFEM)</t>
  </si>
  <si>
    <t>PR7_Ni_CN_LEM</t>
  </si>
  <si>
    <t>Ni ore mining and Ni class 1 production in China/Gansu through Leaching Electrowinning Method (LEM)</t>
  </si>
  <si>
    <t>PR8_FeNi_CN_Smelting_Laterites</t>
  </si>
  <si>
    <t>PR9_FeNi_AU_Laterites</t>
  </si>
  <si>
    <t>PR10_Ni_CN_Recycling</t>
  </si>
  <si>
    <t>PR11_NiSO4_World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</si>
  <si>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Nickel (Ni)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</si>
</sst>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E+00"/>
    <numFmt numFmtId="166" formatCode="0.0000"/>
    <numFmt numFmtId="167" formatCode="0.0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5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left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1" fontId="5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1" fontId="0" fillId="0" borderId="0" xfId="0" applyNumberFormat="1" applyAlignment="1">
      <alignment vertical="center"/>
    </xf>
    <xf numFmtId="166" fontId="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6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6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13" fillId="0" borderId="0" xfId="0" applyFont="1" applyAlignment="1">
      <alignment vertical="center"/>
    </xf>
    <xf numFmtId="11" fontId="13" fillId="0" borderId="0" xfId="0" applyNumberFormat="1" applyFont="1" applyAlignment="1">
      <alignment horizontal="left" vertical="center"/>
    </xf>
    <xf numFmtId="0" fontId="13" fillId="4" borderId="0" xfId="0" applyFont="1" applyFill="1" applyAlignment="1">
      <alignment vertical="center"/>
    </xf>
    <xf numFmtId="164" fontId="11" fillId="0" borderId="0" xfId="0" applyNumberFormat="1" applyFont="1" applyAlignment="1">
      <alignment horizontal="left" vertical="center"/>
    </xf>
    <xf numFmtId="11" fontId="11" fillId="0" borderId="0" xfId="0" applyNumberFormat="1" applyFont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167" fontId="11" fillId="0" borderId="0" xfId="0" applyNumberFormat="1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4" fillId="0" borderId="4" xfId="1" applyBorder="1"/>
    <xf numFmtId="0" fontId="0" fillId="0" borderId="5" xfId="0" applyBorder="1"/>
    <xf numFmtId="0" fontId="14" fillId="0" borderId="6" xfId="1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/>
    <xf numFmtId="0" fontId="3" fillId="0" borderId="2" xfId="0" applyFont="1" applyBorder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46"/>
  <sheetViews>
    <sheetView showGridLines="0" topLeftCell="A30" zoomScaleNormal="100" workbookViewId="0">
      <selection activeCell="B33" sqref="B33"/>
    </sheetView>
  </sheetViews>
  <sheetFormatPr baseColWidth="10" defaultColWidth="11.5703125" defaultRowHeight="15" x14ac:dyDescent="0.25"/>
  <cols>
    <col min="1" max="1" width="1.7109375" customWidth="1"/>
    <col min="2" max="2" width="28.28515625" bestFit="1" customWidth="1"/>
  </cols>
  <sheetData>
    <row r="1" spans="1:17" ht="15.75" thickBot="1" x14ac:dyDescent="0.3">
      <c r="A1" t="s">
        <v>366</v>
      </c>
    </row>
    <row r="2" spans="1:17" ht="15" customHeight="1" x14ac:dyDescent="0.25">
      <c r="B2" s="56" t="s">
        <v>423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</row>
    <row r="3" spans="1:17" x14ac:dyDescent="0.25">
      <c r="B3" s="59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/>
    </row>
    <row r="4" spans="1:17" x14ac:dyDescent="0.25"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1"/>
    </row>
    <row r="5" spans="1:17" x14ac:dyDescent="0.25"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1"/>
    </row>
    <row r="6" spans="1:17" x14ac:dyDescent="0.25"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1"/>
    </row>
    <row r="7" spans="1:17" x14ac:dyDescent="0.25">
      <c r="B7" s="59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1"/>
    </row>
    <row r="8" spans="1:17" x14ac:dyDescent="0.25">
      <c r="B8" s="59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</row>
    <row r="9" spans="1:17" x14ac:dyDescent="0.25">
      <c r="B9" s="59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1"/>
    </row>
    <row r="10" spans="1:17" x14ac:dyDescent="0.25"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1"/>
    </row>
    <row r="11" spans="1:17" x14ac:dyDescent="0.25"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</row>
    <row r="12" spans="1:17" x14ac:dyDescent="0.25"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</row>
    <row r="13" spans="1:17" x14ac:dyDescent="0.25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1"/>
    </row>
    <row r="14" spans="1:17" x14ac:dyDescent="0.25"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1"/>
    </row>
    <row r="15" spans="1:17" x14ac:dyDescent="0.25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1"/>
    </row>
    <row r="16" spans="1:17" x14ac:dyDescent="0.25"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1"/>
    </row>
    <row r="17" spans="2:17" x14ac:dyDescent="0.25"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1"/>
    </row>
    <row r="18" spans="2:17" x14ac:dyDescent="0.25"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1"/>
    </row>
    <row r="19" spans="2:17" x14ac:dyDescent="0.25">
      <c r="B19" s="59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1"/>
    </row>
    <row r="20" spans="2:17" x14ac:dyDescent="0.25">
      <c r="B20" s="59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1"/>
    </row>
    <row r="21" spans="2:17" x14ac:dyDescent="0.25"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</row>
    <row r="22" spans="2:17" x14ac:dyDescent="0.25">
      <c r="B22" s="59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1"/>
    </row>
    <row r="23" spans="2:17" x14ac:dyDescent="0.25">
      <c r="B23" s="59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1"/>
    </row>
    <row r="24" spans="2:17" x14ac:dyDescent="0.25">
      <c r="B24" s="59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1"/>
    </row>
    <row r="25" spans="2:17" x14ac:dyDescent="0.25"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1"/>
    </row>
    <row r="26" spans="2:17" x14ac:dyDescent="0.25">
      <c r="B26" s="59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1"/>
    </row>
    <row r="27" spans="2:17" x14ac:dyDescent="0.25"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1"/>
    </row>
    <row r="28" spans="2:17" x14ac:dyDescent="0.25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1"/>
    </row>
    <row r="29" spans="2:17" x14ac:dyDescent="0.25"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1"/>
    </row>
    <row r="30" spans="2:17" x14ac:dyDescent="0.25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1"/>
    </row>
    <row r="31" spans="2:17" x14ac:dyDescent="0.25">
      <c r="B31" s="59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1"/>
    </row>
    <row r="32" spans="2:17" ht="15.75" thickBot="1" x14ac:dyDescent="0.3">
      <c r="B32" s="62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4"/>
    </row>
    <row r="33" spans="2:11" ht="15.75" thickBot="1" x14ac:dyDescent="0.3"/>
    <row r="34" spans="2:11" x14ac:dyDescent="0.25">
      <c r="B34" s="54" t="s">
        <v>404</v>
      </c>
      <c r="C34" s="55" t="s">
        <v>405</v>
      </c>
      <c r="D34" s="47"/>
      <c r="E34" s="47"/>
      <c r="F34" s="47"/>
      <c r="G34" s="47"/>
      <c r="H34" s="47"/>
      <c r="I34" s="47"/>
      <c r="J34" s="47"/>
      <c r="K34" s="48"/>
    </row>
    <row r="35" spans="2:11" x14ac:dyDescent="0.25">
      <c r="B35" s="49" t="s">
        <v>406</v>
      </c>
      <c r="C35" t="s">
        <v>407</v>
      </c>
      <c r="K35" s="50"/>
    </row>
    <row r="36" spans="2:11" x14ac:dyDescent="0.25">
      <c r="B36" s="49" t="s">
        <v>409</v>
      </c>
      <c r="C36" t="s">
        <v>410</v>
      </c>
      <c r="K36" s="50"/>
    </row>
    <row r="37" spans="2:11" x14ac:dyDescent="0.25">
      <c r="B37" s="49" t="s">
        <v>408</v>
      </c>
      <c r="C37" t="s">
        <v>211</v>
      </c>
      <c r="K37" s="50"/>
    </row>
    <row r="38" spans="2:11" x14ac:dyDescent="0.25">
      <c r="B38" s="49" t="s">
        <v>411</v>
      </c>
      <c r="C38" t="s">
        <v>412</v>
      </c>
      <c r="K38" s="50"/>
    </row>
    <row r="39" spans="2:11" x14ac:dyDescent="0.25">
      <c r="B39" s="49" t="s">
        <v>413</v>
      </c>
      <c r="C39" t="s">
        <v>217</v>
      </c>
      <c r="K39" s="50"/>
    </row>
    <row r="40" spans="2:11" x14ac:dyDescent="0.25">
      <c r="B40" s="49" t="s">
        <v>414</v>
      </c>
      <c r="C40" t="s">
        <v>221</v>
      </c>
      <c r="K40" s="50"/>
    </row>
    <row r="41" spans="2:11" x14ac:dyDescent="0.25">
      <c r="B41" s="49" t="s">
        <v>415</v>
      </c>
      <c r="C41" t="s">
        <v>416</v>
      </c>
      <c r="K41" s="50"/>
    </row>
    <row r="42" spans="2:11" x14ac:dyDescent="0.25">
      <c r="B42" s="49" t="s">
        <v>417</v>
      </c>
      <c r="C42" t="s">
        <v>418</v>
      </c>
      <c r="K42" s="50"/>
    </row>
    <row r="43" spans="2:11" x14ac:dyDescent="0.25">
      <c r="B43" s="49" t="s">
        <v>419</v>
      </c>
      <c r="C43" t="s">
        <v>228</v>
      </c>
      <c r="K43" s="50"/>
    </row>
    <row r="44" spans="2:11" x14ac:dyDescent="0.25">
      <c r="B44" s="49" t="s">
        <v>420</v>
      </c>
      <c r="C44" t="s">
        <v>231</v>
      </c>
      <c r="K44" s="50"/>
    </row>
    <row r="45" spans="2:11" x14ac:dyDescent="0.25">
      <c r="B45" s="49" t="s">
        <v>421</v>
      </c>
      <c r="C45" t="s">
        <v>237</v>
      </c>
      <c r="K45" s="50"/>
    </row>
    <row r="46" spans="2:11" ht="15.75" thickBot="1" x14ac:dyDescent="0.3">
      <c r="B46" s="51" t="s">
        <v>422</v>
      </c>
      <c r="C46" s="52" t="s">
        <v>362</v>
      </c>
      <c r="D46" s="52"/>
      <c r="E46" s="52"/>
      <c r="F46" s="52"/>
      <c r="G46" s="52"/>
      <c r="H46" s="52"/>
      <c r="I46" s="52"/>
      <c r="J46" s="52"/>
      <c r="K46" s="53"/>
    </row>
  </sheetData>
  <mergeCells count="1">
    <mergeCell ref="B2:Q32"/>
  </mergeCells>
  <hyperlinks>
    <hyperlink ref="B35" location="Ni_Market_GLO!A1" display="Ni_Market_GLO" xr:uid="{3A988662-A609-4C92-8F72-0DD675D27214}"/>
    <hyperlink ref="B36" location="PR1_Ni_AU_HPAL_Laterites!A1" display="PR1_Ni_AU_HPAL_Laterites" xr:uid="{201041D1-D70A-4CC3-957C-235835EFACEB}"/>
    <hyperlink ref="B37" location="PR2_Ni_AU_FlashSmelting!A1" display="PR2_Ni_AU_FlashSmelting" xr:uid="{9C634733-EB11-4261-A284-9482EB0A176B}"/>
    <hyperlink ref="B38" location="PR3_NiO_ID_RKEF_Laterites!A1" display="PR3_NiO_ID_RKEF_Laterites" xr:uid="{B3223471-7715-432D-B845-D6D1C3089F05}"/>
    <hyperlink ref="B39" location="PR4_FeNi_CO_RKEF_Laterites!A1" display="PR4_FeNi_CO_RKEF_Laterites" xr:uid="{262325A1-98A8-4098-9FAB-46F395A7CAD8}"/>
    <hyperlink ref="B40" location="PR5_NPI_ID_BlastSmelt_Laterite!A1" display="PR5_NPI_ID_BlastSmelt_Laterite" xr:uid="{53877E1F-B180-4ACF-A9C5-9D13EBE06284}"/>
    <hyperlink ref="B41" location="PR6_Ni_CN_GFEM!A1" display="PR6_Ni_CN_GFEM" xr:uid="{4F269484-697E-4E2B-8C97-8D871C7F0C5D}"/>
    <hyperlink ref="B42" location="PR7_Ni_CN_LEM!A1" display="PR7_Ni_CN_LEM" xr:uid="{867147AF-95A0-4905-8C1C-A6BBEA1ACDBB}"/>
    <hyperlink ref="B43" location="PR8_FeNi_CN_Smelting_Laterites!A1" display="PR8_FeNi_CN_Smelting_Laterites" xr:uid="{8740635E-25FF-4278-B3FA-8A51C20D1CAF}"/>
    <hyperlink ref="B44" location="PR9_FeNi_AU_Laterites!A1" display="PR9_FeNi_AU_Laterites" xr:uid="{B4FC46E9-F188-4639-A132-EB5EE8768F10}"/>
    <hyperlink ref="B45" location="PR10_Ni_CN_Recycling!A1" display="PR10_Ni_CN_Recycling" xr:uid="{84EE63A6-53AD-4965-91D7-57729DD5E808}"/>
    <hyperlink ref="B46" location="PR11_NiSO4_World!A1" display="PR11_NiSO4_World" xr:uid="{3C5EEB15-4A2C-4D50-A426-C6ECF41505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8CC1-28FA-402B-BD27-CFD297E4F9C6}">
  <sheetPr>
    <tabColor theme="8" tint="0.39997558519241921"/>
  </sheetPr>
  <dimension ref="A1:N43"/>
  <sheetViews>
    <sheetView tabSelected="1" topLeftCell="A16" workbookViewId="0">
      <selection activeCell="A17" sqref="A17"/>
    </sheetView>
  </sheetViews>
  <sheetFormatPr baseColWidth="10" defaultColWidth="11.5703125" defaultRowHeight="15" x14ac:dyDescent="0.25"/>
  <cols>
    <col min="1" max="1" width="87.5703125" bestFit="1" customWidth="1"/>
    <col min="2" max="2" width="36.42578125" bestFit="1" customWidth="1"/>
    <col min="3" max="3" width="8.28515625" bestFit="1" customWidth="1"/>
    <col min="4" max="4" width="12" bestFit="1" customWidth="1"/>
    <col min="5" max="5" width="8.7109375" bestFit="1" customWidth="1"/>
    <col min="6" max="6" width="9" bestFit="1" customWidth="1"/>
    <col min="7" max="7" width="13.28515625" bestFit="1" customWidth="1"/>
    <col min="8" max="8" width="10.28515625" bestFit="1" customWidth="1"/>
    <col min="9" max="9" width="15.5703125" bestFit="1" customWidth="1"/>
    <col min="10" max="10" width="9" bestFit="1" customWidth="1"/>
    <col min="11" max="11" width="3.5703125" bestFit="1" customWidth="1"/>
    <col min="12" max="12" width="5.42578125" bestFit="1" customWidth="1"/>
    <col min="13" max="13" width="9.5703125" bestFit="1" customWidth="1"/>
    <col min="14" max="14" width="9.7109375" bestFit="1" customWidth="1"/>
  </cols>
  <sheetData>
    <row r="1" spans="1:14" x14ac:dyDescent="0.25">
      <c r="A1" t="s">
        <v>11</v>
      </c>
      <c r="B1" s="3" t="s">
        <v>56</v>
      </c>
    </row>
    <row r="2" spans="1:14" s="9" customFormat="1" x14ac:dyDescent="0.25"/>
    <row r="3" spans="1:14" x14ac:dyDescent="0.25">
      <c r="A3" s="4" t="s">
        <v>0</v>
      </c>
      <c r="B3" s="4" t="s">
        <v>364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5" t="s">
        <v>1</v>
      </c>
      <c r="B4" s="1" t="s">
        <v>387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5" t="s">
        <v>2</v>
      </c>
      <c r="B5" s="1" t="s">
        <v>28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5" t="s">
        <v>4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5" t="s">
        <v>5</v>
      </c>
      <c r="B7" s="1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5" t="s">
        <v>7</v>
      </c>
      <c r="B8" s="1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5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4" t="s">
        <v>10</v>
      </c>
      <c r="B10" s="4" t="s">
        <v>1</v>
      </c>
      <c r="C10" s="4" t="s">
        <v>2</v>
      </c>
      <c r="D10" s="4" t="s">
        <v>4</v>
      </c>
      <c r="E10" s="4" t="s">
        <v>5</v>
      </c>
      <c r="F10" s="4" t="s">
        <v>11</v>
      </c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4" t="s">
        <v>17</v>
      </c>
      <c r="M10" s="4" t="s">
        <v>18</v>
      </c>
      <c r="N10" s="4" t="s">
        <v>19</v>
      </c>
    </row>
    <row r="11" spans="1:14" x14ac:dyDescent="0.25">
      <c r="A11" t="s">
        <v>364</v>
      </c>
      <c r="B11" t="s">
        <v>387</v>
      </c>
      <c r="C11" t="s">
        <v>28</v>
      </c>
      <c r="D11" s="1">
        <v>1</v>
      </c>
      <c r="E11" s="1" t="s">
        <v>6</v>
      </c>
      <c r="F11" s="3" t="s">
        <v>56</v>
      </c>
      <c r="G11" s="1" t="s">
        <v>20</v>
      </c>
    </row>
    <row r="12" spans="1:14" s="1" customFormat="1" x14ac:dyDescent="0.25">
      <c r="A12" s="1" t="s">
        <v>207</v>
      </c>
      <c r="B12" s="1" t="s">
        <v>205</v>
      </c>
      <c r="C12" s="1" t="s">
        <v>3</v>
      </c>
      <c r="D12" s="1">
        <v>1.4130495412858273E-3</v>
      </c>
      <c r="E12" s="1" t="s">
        <v>6</v>
      </c>
      <c r="F12" s="3" t="s">
        <v>56</v>
      </c>
      <c r="G12" s="1" t="s">
        <v>21</v>
      </c>
    </row>
    <row r="13" spans="1:14" s="1" customFormat="1" x14ac:dyDescent="0.25">
      <c r="A13" s="1" t="s">
        <v>211</v>
      </c>
      <c r="B13" s="1" t="s">
        <v>205</v>
      </c>
      <c r="C13" s="1" t="s">
        <v>3</v>
      </c>
      <c r="D13" s="1">
        <v>2.6847941284430719E-2</v>
      </c>
      <c r="E13" s="1" t="s">
        <v>6</v>
      </c>
      <c r="F13" s="3" t="s">
        <v>56</v>
      </c>
      <c r="G13" s="1" t="s">
        <v>21</v>
      </c>
    </row>
    <row r="14" spans="1:14" s="1" customFormat="1" x14ac:dyDescent="0.25">
      <c r="A14" s="1" t="s">
        <v>213</v>
      </c>
      <c r="B14" s="1" t="s">
        <v>212</v>
      </c>
      <c r="C14" s="1" t="s">
        <v>68</v>
      </c>
      <c r="D14" s="1">
        <v>2.5083770337718875E-2</v>
      </c>
      <c r="E14" s="1" t="s">
        <v>6</v>
      </c>
      <c r="F14" s="3" t="s">
        <v>56</v>
      </c>
      <c r="G14" s="1" t="s">
        <v>21</v>
      </c>
    </row>
    <row r="15" spans="1:14" s="1" customFormat="1" x14ac:dyDescent="0.25">
      <c r="A15" s="1" t="s">
        <v>217</v>
      </c>
      <c r="B15" s="1" t="s">
        <v>185</v>
      </c>
      <c r="C15" s="1" t="s">
        <v>71</v>
      </c>
      <c r="D15" s="1">
        <v>2.5511015686713025E-2</v>
      </c>
      <c r="E15" s="1" t="s">
        <v>6</v>
      </c>
      <c r="F15" s="3" t="s">
        <v>56</v>
      </c>
      <c r="G15" s="1" t="s">
        <v>21</v>
      </c>
    </row>
    <row r="16" spans="1:14" s="1" customFormat="1" x14ac:dyDescent="0.25">
      <c r="A16" s="1" t="s">
        <v>221</v>
      </c>
      <c r="B16" s="1" t="s">
        <v>220</v>
      </c>
      <c r="C16" s="1" t="s">
        <v>68</v>
      </c>
      <c r="D16" s="1">
        <v>0.33445027116958503</v>
      </c>
      <c r="E16" s="1" t="s">
        <v>6</v>
      </c>
      <c r="F16" s="3" t="s">
        <v>56</v>
      </c>
      <c r="G16" s="1" t="s">
        <v>21</v>
      </c>
    </row>
    <row r="17" spans="1:14" s="1" customFormat="1" x14ac:dyDescent="0.25">
      <c r="A17" s="1" t="s">
        <v>226</v>
      </c>
      <c r="B17" s="1" t="s">
        <v>205</v>
      </c>
      <c r="C17" s="1" t="s">
        <v>80</v>
      </c>
      <c r="D17" s="1">
        <v>9.777160970298894E-2</v>
      </c>
      <c r="E17" s="1" t="s">
        <v>6</v>
      </c>
      <c r="F17" s="3" t="s">
        <v>56</v>
      </c>
      <c r="G17" s="1" t="s">
        <v>21</v>
      </c>
    </row>
    <row r="18" spans="1:14" s="1" customFormat="1" x14ac:dyDescent="0.25">
      <c r="A18" s="1" t="s">
        <v>227</v>
      </c>
      <c r="B18" s="1" t="s">
        <v>205</v>
      </c>
      <c r="C18" s="1" t="s">
        <v>80</v>
      </c>
      <c r="D18" s="1">
        <v>9.777160970298894E-2</v>
      </c>
      <c r="E18" s="1" t="s">
        <v>6</v>
      </c>
      <c r="F18" s="3" t="s">
        <v>56</v>
      </c>
      <c r="G18" s="1" t="s">
        <v>21</v>
      </c>
    </row>
    <row r="19" spans="1:14" s="1" customFormat="1" x14ac:dyDescent="0.25">
      <c r="A19" s="1" t="s">
        <v>228</v>
      </c>
      <c r="B19" s="1" t="s">
        <v>185</v>
      </c>
      <c r="C19" s="1" t="s">
        <v>80</v>
      </c>
      <c r="D19" s="1">
        <v>9.777160970298894E-2</v>
      </c>
      <c r="E19" s="1" t="s">
        <v>6</v>
      </c>
      <c r="F19" s="3" t="s">
        <v>56</v>
      </c>
      <c r="G19" s="1" t="s">
        <v>21</v>
      </c>
    </row>
    <row r="20" spans="1:14" s="1" customFormat="1" x14ac:dyDescent="0.25">
      <c r="A20" s="1" t="s">
        <v>231</v>
      </c>
      <c r="B20" s="1" t="s">
        <v>185</v>
      </c>
      <c r="C20" s="1" t="s">
        <v>3</v>
      </c>
      <c r="D20" s="1">
        <v>1.4130495412858272E-2</v>
      </c>
      <c r="E20" s="1" t="s">
        <v>6</v>
      </c>
      <c r="F20" s="3" t="s">
        <v>56</v>
      </c>
      <c r="G20" s="1" t="s">
        <v>21</v>
      </c>
    </row>
    <row r="21" spans="1:14" s="1" customFormat="1" x14ac:dyDescent="0.25">
      <c r="A21" s="1" t="s">
        <v>237</v>
      </c>
      <c r="B21" s="1" t="s">
        <v>232</v>
      </c>
      <c r="C21" s="1" t="s">
        <v>80</v>
      </c>
      <c r="D21" s="1">
        <v>0.22901458128628047</v>
      </c>
      <c r="E21" s="1" t="s">
        <v>6</v>
      </c>
      <c r="F21" s="3" t="s">
        <v>56</v>
      </c>
      <c r="G21" s="1" t="s">
        <v>21</v>
      </c>
    </row>
    <row r="22" spans="1:14" s="1" customFormat="1" x14ac:dyDescent="0.25">
      <c r="A22" s="1" t="s">
        <v>362</v>
      </c>
      <c r="B22" s="1" t="s">
        <v>361</v>
      </c>
      <c r="C22" s="1" t="s">
        <v>28</v>
      </c>
      <c r="D22" s="1">
        <v>5.0234046172160866E-2</v>
      </c>
      <c r="E22" s="1" t="s">
        <v>6</v>
      </c>
      <c r="F22" s="3" t="s">
        <v>56</v>
      </c>
      <c r="G22" s="1" t="s">
        <v>21</v>
      </c>
    </row>
    <row r="23" spans="1:14" s="9" customFormat="1" x14ac:dyDescent="0.25"/>
    <row r="24" spans="1:14" x14ac:dyDescent="0.25">
      <c r="A24" s="4" t="s">
        <v>0</v>
      </c>
      <c r="B24" s="4" t="s">
        <v>386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5" t="s">
        <v>1</v>
      </c>
      <c r="B25" s="1" t="s">
        <v>365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5" t="s">
        <v>2</v>
      </c>
      <c r="B26" s="1" t="s">
        <v>28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5" t="s">
        <v>4</v>
      </c>
      <c r="B27" s="1">
        <v>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5" t="s">
        <v>5</v>
      </c>
      <c r="B28" s="1" t="s">
        <v>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5" t="s">
        <v>7</v>
      </c>
      <c r="B29" s="7" t="s">
        <v>208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5" t="s">
        <v>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4" t="s">
        <v>10</v>
      </c>
      <c r="B31" s="4" t="s">
        <v>1</v>
      </c>
      <c r="C31" s="4" t="s">
        <v>2</v>
      </c>
      <c r="D31" s="4" t="s">
        <v>4</v>
      </c>
      <c r="E31" s="4" t="s">
        <v>5</v>
      </c>
      <c r="F31" s="4" t="s">
        <v>11</v>
      </c>
      <c r="G31" s="4" t="s">
        <v>12</v>
      </c>
      <c r="H31" s="4" t="s">
        <v>13</v>
      </c>
      <c r="I31" s="4" t="s">
        <v>14</v>
      </c>
      <c r="J31" s="4" t="s">
        <v>15</v>
      </c>
      <c r="K31" s="4" t="s">
        <v>16</v>
      </c>
      <c r="L31" s="4" t="s">
        <v>17</v>
      </c>
      <c r="M31" s="4" t="s">
        <v>18</v>
      </c>
      <c r="N31" s="4" t="s">
        <v>19</v>
      </c>
    </row>
    <row r="32" spans="1:14" x14ac:dyDescent="0.25">
      <c r="A32" t="s">
        <v>386</v>
      </c>
      <c r="B32" t="s">
        <v>365</v>
      </c>
      <c r="C32" t="s">
        <v>28</v>
      </c>
      <c r="D32" s="1">
        <v>1</v>
      </c>
      <c r="E32" s="1" t="s">
        <v>6</v>
      </c>
      <c r="F32" s="3" t="s">
        <v>56</v>
      </c>
      <c r="G32" s="1" t="s">
        <v>20</v>
      </c>
    </row>
    <row r="33" spans="1:7" s="1" customFormat="1" x14ac:dyDescent="0.25">
      <c r="A33" s="1" t="s">
        <v>207</v>
      </c>
      <c r="B33" s="1" t="s">
        <v>205</v>
      </c>
      <c r="C33" s="1" t="s">
        <v>3</v>
      </c>
      <c r="D33" s="1">
        <v>1.4130495412858273E-3</v>
      </c>
      <c r="E33" s="1" t="s">
        <v>6</v>
      </c>
      <c r="F33" s="3" t="s">
        <v>56</v>
      </c>
      <c r="G33" s="1" t="s">
        <v>21</v>
      </c>
    </row>
    <row r="34" spans="1:7" s="1" customFormat="1" x14ac:dyDescent="0.25">
      <c r="A34" s="1" t="s">
        <v>211</v>
      </c>
      <c r="B34" s="1" t="s">
        <v>205</v>
      </c>
      <c r="C34" s="1" t="s">
        <v>3</v>
      </c>
      <c r="D34" s="1">
        <v>2.6847941284430719E-2</v>
      </c>
      <c r="E34" s="1" t="s">
        <v>6</v>
      </c>
      <c r="F34" s="3" t="s">
        <v>56</v>
      </c>
      <c r="G34" s="1" t="s">
        <v>21</v>
      </c>
    </row>
    <row r="35" spans="1:7" s="1" customFormat="1" x14ac:dyDescent="0.25">
      <c r="A35" s="1" t="s">
        <v>385</v>
      </c>
      <c r="B35" s="1" t="s">
        <v>214</v>
      </c>
      <c r="C35" s="1" t="s">
        <v>68</v>
      </c>
      <c r="D35" s="1">
        <v>2.5083770337718875E-2</v>
      </c>
      <c r="E35" s="1" t="s">
        <v>6</v>
      </c>
      <c r="F35" s="3" t="s">
        <v>56</v>
      </c>
      <c r="G35" s="1" t="s">
        <v>21</v>
      </c>
    </row>
    <row r="36" spans="1:7" s="1" customFormat="1" x14ac:dyDescent="0.25">
      <c r="A36" s="1" t="s">
        <v>384</v>
      </c>
      <c r="B36" s="1" t="s">
        <v>218</v>
      </c>
      <c r="C36" s="1" t="s">
        <v>71</v>
      </c>
      <c r="D36" s="1">
        <v>2.5511015686713025E-2</v>
      </c>
      <c r="E36" s="1" t="s">
        <v>6</v>
      </c>
      <c r="F36" s="3" t="s">
        <v>56</v>
      </c>
      <c r="G36" s="1" t="s">
        <v>21</v>
      </c>
    </row>
    <row r="37" spans="1:7" s="1" customFormat="1" x14ac:dyDescent="0.25">
      <c r="A37" s="1" t="s">
        <v>383</v>
      </c>
      <c r="B37" s="1" t="s">
        <v>222</v>
      </c>
      <c r="C37" s="1" t="s">
        <v>68</v>
      </c>
      <c r="D37" s="1">
        <v>0.33445027116958503</v>
      </c>
      <c r="E37" s="1" t="s">
        <v>6</v>
      </c>
      <c r="F37" s="3" t="s">
        <v>56</v>
      </c>
      <c r="G37" s="1" t="s">
        <v>21</v>
      </c>
    </row>
    <row r="38" spans="1:7" s="1" customFormat="1" x14ac:dyDescent="0.25">
      <c r="A38" s="1" t="s">
        <v>226</v>
      </c>
      <c r="B38" s="1" t="s">
        <v>205</v>
      </c>
      <c r="C38" s="1" t="s">
        <v>80</v>
      </c>
      <c r="D38" s="1">
        <v>9.777160970298894E-2</v>
      </c>
      <c r="E38" s="1" t="s">
        <v>6</v>
      </c>
      <c r="F38" s="3" t="s">
        <v>56</v>
      </c>
      <c r="G38" s="1" t="s">
        <v>21</v>
      </c>
    </row>
    <row r="39" spans="1:7" s="1" customFormat="1" x14ac:dyDescent="0.25">
      <c r="A39" s="1" t="s">
        <v>227</v>
      </c>
      <c r="B39" s="1" t="s">
        <v>205</v>
      </c>
      <c r="C39" s="1" t="s">
        <v>80</v>
      </c>
      <c r="D39" s="1">
        <v>9.777160970298894E-2</v>
      </c>
      <c r="E39" s="1" t="s">
        <v>6</v>
      </c>
      <c r="F39" s="3" t="s">
        <v>56</v>
      </c>
      <c r="G39" s="1" t="s">
        <v>21</v>
      </c>
    </row>
    <row r="40" spans="1:7" s="1" customFormat="1" x14ac:dyDescent="0.25">
      <c r="A40" s="1" t="s">
        <v>382</v>
      </c>
      <c r="B40" s="1" t="s">
        <v>218</v>
      </c>
      <c r="C40" s="1" t="s">
        <v>80</v>
      </c>
      <c r="D40" s="1">
        <v>9.777160970298894E-2</v>
      </c>
      <c r="E40" s="1" t="s">
        <v>6</v>
      </c>
      <c r="F40" s="3" t="s">
        <v>56</v>
      </c>
      <c r="G40" s="1" t="s">
        <v>21</v>
      </c>
    </row>
    <row r="41" spans="1:7" s="1" customFormat="1" x14ac:dyDescent="0.25">
      <c r="A41" s="1" t="s">
        <v>381</v>
      </c>
      <c r="B41" s="1" t="s">
        <v>218</v>
      </c>
      <c r="C41" s="1" t="s">
        <v>3</v>
      </c>
      <c r="D41" s="1">
        <v>1.4130495412858272E-2</v>
      </c>
      <c r="E41" s="1" t="s">
        <v>6</v>
      </c>
      <c r="F41" s="3" t="s">
        <v>56</v>
      </c>
      <c r="G41" s="1" t="s">
        <v>21</v>
      </c>
    </row>
    <row r="42" spans="1:7" s="1" customFormat="1" x14ac:dyDescent="0.25">
      <c r="A42" s="1" t="s">
        <v>237</v>
      </c>
      <c r="B42" s="1" t="s">
        <v>232</v>
      </c>
      <c r="C42" s="1" t="s">
        <v>80</v>
      </c>
      <c r="D42" s="1">
        <v>0.22901458128628047</v>
      </c>
      <c r="E42" s="1" t="s">
        <v>6</v>
      </c>
      <c r="F42" s="3" t="s">
        <v>56</v>
      </c>
      <c r="G42" s="1" t="s">
        <v>21</v>
      </c>
    </row>
    <row r="43" spans="1:7" s="1" customFormat="1" x14ac:dyDescent="0.25">
      <c r="A43" s="1" t="s">
        <v>380</v>
      </c>
      <c r="B43" s="1" t="s">
        <v>363</v>
      </c>
      <c r="C43" s="1" t="s">
        <v>28</v>
      </c>
      <c r="D43" s="1">
        <v>5.0234046172160866E-2</v>
      </c>
      <c r="E43" s="1" t="s">
        <v>6</v>
      </c>
      <c r="F43" s="3" t="s">
        <v>56</v>
      </c>
      <c r="G43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BF25-0F20-4402-BCBB-60A2A05916DB}">
  <sheetPr>
    <tabColor theme="8" tint="0.39997558519241921"/>
  </sheetPr>
  <dimension ref="A1:N30"/>
  <sheetViews>
    <sheetView topLeftCell="A6" workbookViewId="0">
      <selection activeCell="D16" sqref="D16"/>
    </sheetView>
  </sheetViews>
  <sheetFormatPr baseColWidth="10" defaultColWidth="8.7109375" defaultRowHeight="15" x14ac:dyDescent="0.25"/>
  <cols>
    <col min="1" max="2" width="70.7109375" style="13" bestFit="1" customWidth="1"/>
    <col min="3" max="3" width="8.28515625" style="13" bestFit="1" customWidth="1"/>
    <col min="4" max="4" width="8" style="13" bestFit="1" customWidth="1"/>
    <col min="5" max="5" width="13.28515625" style="13" bestFit="1" customWidth="1"/>
    <col min="6" max="6" width="19.7109375" style="13" bestFit="1" customWidth="1"/>
    <col min="7" max="7" width="13.28515625" style="13" bestFit="1" customWidth="1"/>
    <col min="8" max="8" width="25.28515625" style="13" bestFit="1" customWidth="1"/>
    <col min="9" max="9" width="15.5703125" style="13" bestFit="1" customWidth="1"/>
    <col min="10" max="10" width="9.7109375" style="13" bestFit="1" customWidth="1"/>
    <col min="11" max="11" width="3.5703125" style="13" bestFit="1" customWidth="1"/>
    <col min="12" max="12" width="5.42578125" style="13" bestFit="1" customWidth="1"/>
    <col min="13" max="13" width="9.5703125" style="13" bestFit="1" customWidth="1"/>
    <col min="14" max="14" width="9.7109375" style="13" bestFit="1" customWidth="1"/>
    <col min="15" max="16384" width="8.7109375" style="13"/>
  </cols>
  <sheetData>
    <row r="1" spans="1:14" x14ac:dyDescent="0.25">
      <c r="A1" s="11" t="s">
        <v>0</v>
      </c>
      <c r="B1" s="12" t="s">
        <v>204</v>
      </c>
    </row>
    <row r="2" spans="1:14" x14ac:dyDescent="0.25">
      <c r="A2" s="14" t="s">
        <v>1</v>
      </c>
      <c r="B2" s="13" t="s">
        <v>205</v>
      </c>
    </row>
    <row r="3" spans="1:14" x14ac:dyDescent="0.25">
      <c r="A3" s="14" t="s">
        <v>2</v>
      </c>
      <c r="B3" s="13" t="s">
        <v>3</v>
      </c>
    </row>
    <row r="4" spans="1:14" x14ac:dyDescent="0.25">
      <c r="A4" s="14" t="s">
        <v>4</v>
      </c>
      <c r="B4" s="13">
        <v>1</v>
      </c>
    </row>
    <row r="5" spans="1:14" x14ac:dyDescent="0.25">
      <c r="A5" s="14" t="s">
        <v>5</v>
      </c>
      <c r="B5" s="13" t="s">
        <v>6</v>
      </c>
    </row>
    <row r="6" spans="1:14" ht="45" x14ac:dyDescent="0.25">
      <c r="A6" s="14" t="s">
        <v>7</v>
      </c>
      <c r="B6" s="19" t="s">
        <v>396</v>
      </c>
    </row>
    <row r="7" spans="1:14" x14ac:dyDescent="0.25">
      <c r="A7" s="14" t="s">
        <v>9</v>
      </c>
    </row>
    <row r="8" spans="1:14" x14ac:dyDescent="0.25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25">
      <c r="A9" s="13" t="s">
        <v>204</v>
      </c>
      <c r="B9" s="13" t="s">
        <v>205</v>
      </c>
      <c r="C9" s="13" t="s">
        <v>3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25">
      <c r="A10" s="20" t="s">
        <v>23</v>
      </c>
      <c r="B10" s="20" t="s">
        <v>24</v>
      </c>
      <c r="C10" s="20" t="s">
        <v>25</v>
      </c>
      <c r="D10" s="15">
        <v>-1.7723999999999998</v>
      </c>
      <c r="E10" s="20" t="s">
        <v>6</v>
      </c>
      <c r="F10" s="20" t="s">
        <v>206</v>
      </c>
      <c r="G10" s="20" t="s">
        <v>21</v>
      </c>
      <c r="J10" s="13" t="s">
        <v>22</v>
      </c>
    </row>
    <row r="11" spans="1:14" x14ac:dyDescent="0.25">
      <c r="A11" s="13" t="s">
        <v>26</v>
      </c>
      <c r="B11" s="13" t="s">
        <v>27</v>
      </c>
      <c r="C11" s="13" t="s">
        <v>28</v>
      </c>
      <c r="D11" s="15">
        <v>8.3962629995796192</v>
      </c>
      <c r="E11" s="13" t="s">
        <v>29</v>
      </c>
      <c r="F11" s="13" t="s">
        <v>206</v>
      </c>
      <c r="G11" s="13" t="s">
        <v>21</v>
      </c>
      <c r="J11" s="13" t="s">
        <v>30</v>
      </c>
    </row>
    <row r="12" spans="1:14" x14ac:dyDescent="0.25">
      <c r="A12" s="13" t="s">
        <v>31</v>
      </c>
      <c r="B12" s="13" t="s">
        <v>32</v>
      </c>
      <c r="C12" s="13" t="s">
        <v>28</v>
      </c>
      <c r="D12" s="15">
        <v>24.86133474175525</v>
      </c>
      <c r="E12" s="13" t="s">
        <v>33</v>
      </c>
      <c r="F12" s="13" t="s">
        <v>206</v>
      </c>
      <c r="G12" s="13" t="s">
        <v>21</v>
      </c>
      <c r="J12" s="13" t="s">
        <v>30</v>
      </c>
    </row>
    <row r="13" spans="1:14" x14ac:dyDescent="0.25">
      <c r="A13" s="13" t="s">
        <v>34</v>
      </c>
      <c r="B13" s="13" t="s">
        <v>35</v>
      </c>
      <c r="C13" s="13" t="s">
        <v>28</v>
      </c>
      <c r="D13" s="15">
        <v>6.2644518239863549</v>
      </c>
      <c r="E13" s="13" t="s">
        <v>33</v>
      </c>
      <c r="F13" s="13" t="s">
        <v>206</v>
      </c>
      <c r="G13" s="13" t="s">
        <v>21</v>
      </c>
      <c r="J13" s="13" t="s">
        <v>30</v>
      </c>
    </row>
    <row r="14" spans="1:14" x14ac:dyDescent="0.25">
      <c r="A14" s="13" t="s">
        <v>36</v>
      </c>
      <c r="B14" s="13" t="s">
        <v>37</v>
      </c>
      <c r="C14" s="13" t="s">
        <v>25</v>
      </c>
      <c r="D14" s="15">
        <v>0.8396262999579619</v>
      </c>
      <c r="E14" s="13" t="s">
        <v>38</v>
      </c>
      <c r="F14" s="13" t="s">
        <v>206</v>
      </c>
      <c r="G14" s="13" t="s">
        <v>21</v>
      </c>
      <c r="J14" s="13" t="s">
        <v>30</v>
      </c>
    </row>
    <row r="15" spans="1:14" x14ac:dyDescent="0.25">
      <c r="A15" s="13" t="s">
        <v>39</v>
      </c>
      <c r="B15" s="13" t="s">
        <v>40</v>
      </c>
      <c r="C15" s="13" t="s">
        <v>25</v>
      </c>
      <c r="D15" s="15">
        <v>13.23251048733748</v>
      </c>
      <c r="E15" s="13" t="s">
        <v>6</v>
      </c>
      <c r="F15" s="13" t="s">
        <v>206</v>
      </c>
      <c r="G15" s="13" t="s">
        <v>21</v>
      </c>
      <c r="J15" s="13" t="s">
        <v>30</v>
      </c>
    </row>
    <row r="16" spans="1:14" x14ac:dyDescent="0.25">
      <c r="A16" s="13" t="s">
        <v>41</v>
      </c>
      <c r="B16" s="13" t="s">
        <v>42</v>
      </c>
      <c r="C16" s="13" t="s">
        <v>25</v>
      </c>
      <c r="D16" s="15">
        <v>6.2132346196889177E-2</v>
      </c>
      <c r="E16" s="13" t="s">
        <v>6</v>
      </c>
      <c r="F16" s="13" t="s">
        <v>206</v>
      </c>
      <c r="G16" s="13" t="s">
        <v>21</v>
      </c>
      <c r="J16" s="13" t="s">
        <v>22</v>
      </c>
    </row>
    <row r="17" spans="1:14" x14ac:dyDescent="0.25">
      <c r="A17" s="13" t="s">
        <v>43</v>
      </c>
      <c r="B17" s="13" t="s">
        <v>44</v>
      </c>
      <c r="C17" s="13" t="s">
        <v>28</v>
      </c>
      <c r="D17" s="15">
        <v>11.074670896445516</v>
      </c>
      <c r="E17" s="13" t="s">
        <v>6</v>
      </c>
      <c r="F17" s="13" t="s">
        <v>206</v>
      </c>
      <c r="G17" s="13" t="s">
        <v>21</v>
      </c>
      <c r="J17" s="13" t="s">
        <v>22</v>
      </c>
    </row>
    <row r="18" spans="1:14" x14ac:dyDescent="0.25">
      <c r="A18" s="13" t="s">
        <v>45</v>
      </c>
      <c r="D18" s="15">
        <v>0.91257303289830971</v>
      </c>
      <c r="E18" s="13" t="s">
        <v>6</v>
      </c>
      <c r="F18" s="13" t="s">
        <v>46</v>
      </c>
      <c r="G18" s="13" t="s">
        <v>47</v>
      </c>
      <c r="H18" s="13" t="s">
        <v>48</v>
      </c>
      <c r="J18" s="13" t="s">
        <v>30</v>
      </c>
    </row>
    <row r="19" spans="1:14" x14ac:dyDescent="0.25">
      <c r="A19" s="13" t="s">
        <v>49</v>
      </c>
      <c r="D19" s="15">
        <v>1.1679201832415249</v>
      </c>
      <c r="E19" s="13" t="s">
        <v>50</v>
      </c>
      <c r="F19" s="13" t="s">
        <v>46</v>
      </c>
      <c r="G19" s="13" t="s">
        <v>47</v>
      </c>
      <c r="H19" s="13" t="s">
        <v>48</v>
      </c>
      <c r="J19" s="13" t="s">
        <v>30</v>
      </c>
    </row>
    <row r="20" spans="1:14" s="17" customFormat="1" x14ac:dyDescent="0.25"/>
    <row r="21" spans="1:14" x14ac:dyDescent="0.25">
      <c r="A21" s="11" t="s">
        <v>0</v>
      </c>
      <c r="B21" s="12" t="s">
        <v>207</v>
      </c>
    </row>
    <row r="22" spans="1:14" x14ac:dyDescent="0.25">
      <c r="A22" s="14" t="s">
        <v>1</v>
      </c>
      <c r="B22" s="13" t="s">
        <v>205</v>
      </c>
    </row>
    <row r="23" spans="1:14" x14ac:dyDescent="0.25">
      <c r="A23" s="14" t="s">
        <v>2</v>
      </c>
      <c r="B23" s="13" t="s">
        <v>3</v>
      </c>
    </row>
    <row r="24" spans="1:14" x14ac:dyDescent="0.25">
      <c r="A24" s="14" t="s">
        <v>4</v>
      </c>
      <c r="B24" s="13">
        <v>1</v>
      </c>
    </row>
    <row r="25" spans="1:14" x14ac:dyDescent="0.25">
      <c r="A25" s="14" t="s">
        <v>5</v>
      </c>
      <c r="B25" s="13" t="s">
        <v>6</v>
      </c>
    </row>
    <row r="26" spans="1:14" x14ac:dyDescent="0.25">
      <c r="A26" s="14" t="s">
        <v>7</v>
      </c>
      <c r="B26" s="18" t="s">
        <v>8</v>
      </c>
    </row>
    <row r="27" spans="1:14" x14ac:dyDescent="0.25">
      <c r="A27" s="14" t="s">
        <v>9</v>
      </c>
    </row>
    <row r="28" spans="1:14" x14ac:dyDescent="0.25">
      <c r="A28" s="11" t="s">
        <v>10</v>
      </c>
      <c r="B28" s="11" t="s">
        <v>1</v>
      </c>
      <c r="C28" s="11" t="s">
        <v>2</v>
      </c>
      <c r="D28" s="11" t="s">
        <v>4</v>
      </c>
      <c r="E28" s="11" t="s">
        <v>5</v>
      </c>
      <c r="F28" s="11" t="s">
        <v>11</v>
      </c>
      <c r="G28" s="11" t="s">
        <v>12</v>
      </c>
      <c r="H28" s="11" t="s">
        <v>13</v>
      </c>
      <c r="I28" s="11" t="s">
        <v>14</v>
      </c>
      <c r="J28" s="11" t="s">
        <v>15</v>
      </c>
      <c r="K28" s="11" t="s">
        <v>16</v>
      </c>
      <c r="L28" s="11" t="s">
        <v>17</v>
      </c>
      <c r="M28" s="11" t="s">
        <v>18</v>
      </c>
      <c r="N28" s="11" t="s">
        <v>19</v>
      </c>
    </row>
    <row r="29" spans="1:14" x14ac:dyDescent="0.25">
      <c r="A29" s="13" t="s">
        <v>207</v>
      </c>
      <c r="B29" s="13" t="s">
        <v>205</v>
      </c>
      <c r="C29" s="13" t="s">
        <v>3</v>
      </c>
      <c r="D29" s="13">
        <v>1</v>
      </c>
      <c r="E29" s="13" t="s">
        <v>6</v>
      </c>
      <c r="F29" s="16" t="s">
        <v>56</v>
      </c>
      <c r="G29" s="13" t="s">
        <v>20</v>
      </c>
    </row>
    <row r="30" spans="1:14" x14ac:dyDescent="0.25">
      <c r="A30" s="13" t="s">
        <v>204</v>
      </c>
      <c r="B30" s="13" t="s">
        <v>205</v>
      </c>
      <c r="C30" s="13" t="s">
        <v>3</v>
      </c>
      <c r="D30" s="13">
        <v>1</v>
      </c>
      <c r="E30" s="13" t="s">
        <v>6</v>
      </c>
      <c r="F30" s="16" t="s">
        <v>56</v>
      </c>
      <c r="G30" s="13" t="s">
        <v>21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8EC5-9F61-4029-8E09-33CE010D0164}">
  <sheetPr>
    <tabColor theme="8" tint="0.39997558519241921"/>
  </sheetPr>
  <dimension ref="A1:N52"/>
  <sheetViews>
    <sheetView topLeftCell="A16" workbookViewId="0">
      <selection activeCell="B28" sqref="B28"/>
    </sheetView>
  </sheetViews>
  <sheetFormatPr baseColWidth="10" defaultColWidth="8.7109375" defaultRowHeight="15" x14ac:dyDescent="0.25"/>
  <cols>
    <col min="1" max="1" width="72.28515625" style="13" bestFit="1" customWidth="1"/>
    <col min="2" max="2" width="73" style="13" customWidth="1"/>
    <col min="3" max="3" width="8.28515625" style="13" bestFit="1" customWidth="1"/>
    <col min="4" max="4" width="12" style="13" bestFit="1" customWidth="1"/>
    <col min="5" max="5" width="12.7109375" style="13" bestFit="1" customWidth="1"/>
    <col min="6" max="6" width="19.7109375" style="13" bestFit="1" customWidth="1"/>
    <col min="7" max="7" width="13.28515625" style="13" bestFit="1" customWidth="1"/>
    <col min="8" max="8" width="25.28515625" style="13" bestFit="1" customWidth="1"/>
    <col min="9" max="9" width="15.5703125" style="13" bestFit="1" customWidth="1"/>
    <col min="10" max="10" width="21.42578125" style="13" bestFit="1" customWidth="1"/>
    <col min="11" max="11" width="3.5703125" style="13" bestFit="1" customWidth="1"/>
    <col min="12" max="12" width="5.42578125" style="13" bestFit="1" customWidth="1"/>
    <col min="13" max="13" width="9.5703125" style="13" bestFit="1" customWidth="1"/>
    <col min="14" max="14" width="9.7109375" style="13" bestFit="1" customWidth="1"/>
    <col min="15" max="16384" width="8.7109375" style="13"/>
  </cols>
  <sheetData>
    <row r="1" spans="1:14" x14ac:dyDescent="0.25">
      <c r="A1" s="11" t="s">
        <v>0</v>
      </c>
      <c r="B1" s="12" t="s">
        <v>367</v>
      </c>
    </row>
    <row r="2" spans="1:14" x14ac:dyDescent="0.25">
      <c r="A2" s="14" t="s">
        <v>1</v>
      </c>
      <c r="B2" s="13" t="s">
        <v>209</v>
      </c>
    </row>
    <row r="3" spans="1:14" x14ac:dyDescent="0.25">
      <c r="A3" s="14" t="s">
        <v>2</v>
      </c>
      <c r="B3" s="13" t="s">
        <v>3</v>
      </c>
    </row>
    <row r="4" spans="1:14" x14ac:dyDescent="0.25">
      <c r="A4" s="14" t="s">
        <v>4</v>
      </c>
      <c r="B4" s="13">
        <v>1</v>
      </c>
    </row>
    <row r="5" spans="1:14" x14ac:dyDescent="0.25">
      <c r="A5" s="14" t="s">
        <v>5</v>
      </c>
      <c r="B5" s="13" t="s">
        <v>6</v>
      </c>
    </row>
    <row r="6" spans="1:14" ht="60" x14ac:dyDescent="0.25">
      <c r="A6" s="14" t="s">
        <v>7</v>
      </c>
      <c r="B6" s="22" t="s">
        <v>397</v>
      </c>
    </row>
    <row r="7" spans="1:14" x14ac:dyDescent="0.25">
      <c r="A7" s="14" t="s">
        <v>9</v>
      </c>
    </row>
    <row r="8" spans="1:14" x14ac:dyDescent="0.25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25">
      <c r="A9" s="13" t="s">
        <v>367</v>
      </c>
      <c r="B9" s="13" t="s">
        <v>209</v>
      </c>
      <c r="C9" s="13" t="s">
        <v>3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25">
      <c r="A10" s="13" t="s">
        <v>34</v>
      </c>
      <c r="B10" s="13" t="s">
        <v>35</v>
      </c>
      <c r="C10" s="13" t="s">
        <v>28</v>
      </c>
      <c r="D10" s="13">
        <v>3.78</v>
      </c>
      <c r="E10" s="13" t="s">
        <v>33</v>
      </c>
      <c r="F10" s="13" t="s">
        <v>206</v>
      </c>
      <c r="G10" s="13" t="s">
        <v>21</v>
      </c>
      <c r="J10" s="13" t="s">
        <v>51</v>
      </c>
    </row>
    <row r="11" spans="1:14" x14ac:dyDescent="0.25">
      <c r="A11" s="13" t="s">
        <v>52</v>
      </c>
      <c r="B11" s="13" t="s">
        <v>27</v>
      </c>
      <c r="C11" s="13" t="s">
        <v>3</v>
      </c>
      <c r="D11" s="13">
        <v>2.2829999999999999</v>
      </c>
      <c r="E11" s="13" t="s">
        <v>29</v>
      </c>
      <c r="F11" s="13" t="s">
        <v>206</v>
      </c>
      <c r="G11" s="13" t="s">
        <v>21</v>
      </c>
      <c r="J11" s="13" t="s">
        <v>51</v>
      </c>
    </row>
    <row r="12" spans="1:14" x14ac:dyDescent="0.25">
      <c r="A12" s="13" t="s">
        <v>52</v>
      </c>
      <c r="B12" s="13" t="s">
        <v>27</v>
      </c>
      <c r="C12" s="13" t="s">
        <v>3</v>
      </c>
      <c r="D12" s="13">
        <v>3.0640000000000001</v>
      </c>
      <c r="E12" s="13" t="s">
        <v>29</v>
      </c>
      <c r="F12" s="13" t="s">
        <v>206</v>
      </c>
      <c r="G12" s="13" t="s">
        <v>21</v>
      </c>
      <c r="J12" s="13" t="s">
        <v>51</v>
      </c>
    </row>
    <row r="13" spans="1:14" x14ac:dyDescent="0.25">
      <c r="A13" s="13" t="s">
        <v>53</v>
      </c>
      <c r="B13" s="13" t="s">
        <v>54</v>
      </c>
      <c r="C13" s="13" t="s">
        <v>25</v>
      </c>
      <c r="D13" s="13">
        <v>0.22312925170068029</v>
      </c>
      <c r="E13" s="13" t="s">
        <v>50</v>
      </c>
      <c r="F13" s="13" t="s">
        <v>206</v>
      </c>
      <c r="G13" s="13" t="s">
        <v>21</v>
      </c>
      <c r="J13" s="13" t="s">
        <v>55</v>
      </c>
    </row>
    <row r="14" spans="1:14" x14ac:dyDescent="0.25">
      <c r="A14" s="13" t="s">
        <v>56</v>
      </c>
      <c r="D14" s="13">
        <v>1.1305750000000001</v>
      </c>
      <c r="E14" s="13" t="s">
        <v>6</v>
      </c>
      <c r="F14" s="13" t="s">
        <v>46</v>
      </c>
      <c r="G14" s="13" t="s">
        <v>47</v>
      </c>
      <c r="H14" s="13" t="s">
        <v>48</v>
      </c>
      <c r="J14" s="13" t="s">
        <v>51</v>
      </c>
    </row>
    <row r="15" spans="1:14" x14ac:dyDescent="0.25">
      <c r="A15" s="13" t="s">
        <v>57</v>
      </c>
      <c r="D15" s="13">
        <v>7.1694999999999995E-2</v>
      </c>
      <c r="E15" s="13" t="s">
        <v>6</v>
      </c>
      <c r="F15" s="13" t="s">
        <v>46</v>
      </c>
      <c r="G15" s="13" t="s">
        <v>47</v>
      </c>
      <c r="H15" s="13" t="s">
        <v>48</v>
      </c>
      <c r="J15" s="13" t="s">
        <v>51</v>
      </c>
    </row>
    <row r="16" spans="1:14" s="21" customFormat="1" x14ac:dyDescent="0.25"/>
    <row r="17" spans="1:14" x14ac:dyDescent="0.25">
      <c r="A17" s="11" t="s">
        <v>0</v>
      </c>
      <c r="B17" s="12" t="s">
        <v>210</v>
      </c>
    </row>
    <row r="18" spans="1:14" x14ac:dyDescent="0.25">
      <c r="A18" s="14" t="s">
        <v>1</v>
      </c>
      <c r="B18" s="13" t="s">
        <v>205</v>
      </c>
    </row>
    <row r="19" spans="1:14" x14ac:dyDescent="0.25">
      <c r="A19" s="14" t="s">
        <v>2</v>
      </c>
      <c r="B19" s="13" t="s">
        <v>3</v>
      </c>
    </row>
    <row r="20" spans="1:14" x14ac:dyDescent="0.25">
      <c r="A20" s="14" t="s">
        <v>4</v>
      </c>
      <c r="B20" s="13">
        <v>1</v>
      </c>
    </row>
    <row r="21" spans="1:14" x14ac:dyDescent="0.25">
      <c r="A21" s="14" t="s">
        <v>5</v>
      </c>
      <c r="B21" s="13" t="s">
        <v>6</v>
      </c>
    </row>
    <row r="22" spans="1:14" ht="30" x14ac:dyDescent="0.25">
      <c r="A22" s="14" t="s">
        <v>7</v>
      </c>
      <c r="B22" s="19" t="s">
        <v>388</v>
      </c>
    </row>
    <row r="23" spans="1:14" x14ac:dyDescent="0.25">
      <c r="A23" s="14" t="s">
        <v>9</v>
      </c>
    </row>
    <row r="24" spans="1:14" x14ac:dyDescent="0.25">
      <c r="A24" s="11" t="s">
        <v>10</v>
      </c>
      <c r="B24" s="11" t="s">
        <v>1</v>
      </c>
      <c r="C24" s="11" t="s">
        <v>2</v>
      </c>
      <c r="D24" s="11" t="s">
        <v>4</v>
      </c>
      <c r="E24" s="11" t="s">
        <v>5</v>
      </c>
      <c r="F24" s="11" t="s">
        <v>11</v>
      </c>
      <c r="G24" s="11" t="s">
        <v>12</v>
      </c>
      <c r="H24" s="11" t="s">
        <v>13</v>
      </c>
      <c r="I24" s="11" t="s">
        <v>14</v>
      </c>
      <c r="J24" s="11" t="s">
        <v>15</v>
      </c>
      <c r="K24" s="11" t="s">
        <v>16</v>
      </c>
      <c r="L24" s="11" t="s">
        <v>17</v>
      </c>
      <c r="M24" s="11" t="s">
        <v>18</v>
      </c>
      <c r="N24" s="11" t="s">
        <v>19</v>
      </c>
    </row>
    <row r="25" spans="1:14" x14ac:dyDescent="0.25">
      <c r="A25" s="13" t="s">
        <v>210</v>
      </c>
      <c r="B25" s="13" t="s">
        <v>205</v>
      </c>
      <c r="C25" s="13" t="s">
        <v>3</v>
      </c>
      <c r="D25" s="13">
        <v>1</v>
      </c>
      <c r="E25" s="13" t="s">
        <v>6</v>
      </c>
      <c r="F25" s="16" t="s">
        <v>56</v>
      </c>
      <c r="G25" s="13" t="s">
        <v>20</v>
      </c>
    </row>
    <row r="26" spans="1:14" x14ac:dyDescent="0.25">
      <c r="A26" s="13" t="s">
        <v>34</v>
      </c>
      <c r="B26" s="13" t="s">
        <v>35</v>
      </c>
      <c r="C26" s="13" t="s">
        <v>28</v>
      </c>
      <c r="D26" s="15">
        <v>3.4525769984318386</v>
      </c>
      <c r="E26" s="13" t="s">
        <v>33</v>
      </c>
      <c r="F26" s="13" t="s">
        <v>206</v>
      </c>
      <c r="G26" s="13" t="s">
        <v>21</v>
      </c>
      <c r="J26" s="13" t="s">
        <v>51</v>
      </c>
    </row>
    <row r="27" spans="1:14" x14ac:dyDescent="0.25">
      <c r="A27" s="13" t="s">
        <v>34</v>
      </c>
      <c r="B27" s="13" t="s">
        <v>35</v>
      </c>
      <c r="C27" s="13" t="s">
        <v>28</v>
      </c>
      <c r="D27" s="15">
        <v>5.5241231974909422</v>
      </c>
      <c r="E27" s="13" t="s">
        <v>33</v>
      </c>
      <c r="F27" s="13" t="s">
        <v>206</v>
      </c>
      <c r="G27" s="13" t="s">
        <v>21</v>
      </c>
      <c r="J27" s="13" t="s">
        <v>55</v>
      </c>
    </row>
    <row r="28" spans="1:14" x14ac:dyDescent="0.25">
      <c r="A28" s="13" t="s">
        <v>58</v>
      </c>
      <c r="B28" s="13" t="s">
        <v>59</v>
      </c>
      <c r="C28" s="13" t="s">
        <v>3</v>
      </c>
      <c r="D28" s="15">
        <v>0.34781516428646669</v>
      </c>
      <c r="E28" s="13" t="s">
        <v>6</v>
      </c>
      <c r="F28" s="13" t="s">
        <v>206</v>
      </c>
      <c r="G28" s="13" t="s">
        <v>21</v>
      </c>
      <c r="J28" s="13" t="s">
        <v>55</v>
      </c>
    </row>
    <row r="29" spans="1:14" x14ac:dyDescent="0.25">
      <c r="A29" s="13" t="s">
        <v>60</v>
      </c>
      <c r="B29" s="13" t="s">
        <v>61</v>
      </c>
      <c r="C29" s="13" t="s">
        <v>25</v>
      </c>
      <c r="D29" s="15">
        <v>8.5734733020318519</v>
      </c>
      <c r="E29" s="13" t="s">
        <v>50</v>
      </c>
      <c r="F29" s="13" t="s">
        <v>206</v>
      </c>
      <c r="G29" s="13" t="s">
        <v>21</v>
      </c>
      <c r="J29" s="13" t="s">
        <v>55</v>
      </c>
    </row>
    <row r="30" spans="1:14" x14ac:dyDescent="0.25">
      <c r="A30" s="13" t="s">
        <v>60</v>
      </c>
      <c r="B30" s="13" t="s">
        <v>61</v>
      </c>
      <c r="C30" s="13" t="s">
        <v>25</v>
      </c>
      <c r="D30" s="15">
        <v>0.29155094653424418</v>
      </c>
      <c r="E30" s="13" t="s">
        <v>50</v>
      </c>
      <c r="F30" s="13" t="s">
        <v>206</v>
      </c>
      <c r="G30" s="13" t="s">
        <v>21</v>
      </c>
      <c r="J30" s="13" t="s">
        <v>55</v>
      </c>
    </row>
    <row r="31" spans="1:14" x14ac:dyDescent="0.25">
      <c r="A31" s="13" t="s">
        <v>62</v>
      </c>
      <c r="B31" s="13" t="s">
        <v>63</v>
      </c>
      <c r="C31" s="13" t="s">
        <v>28</v>
      </c>
      <c r="D31" s="15">
        <v>1.9061634983934794</v>
      </c>
      <c r="E31" s="13" t="s">
        <v>6</v>
      </c>
      <c r="F31" s="13" t="s">
        <v>206</v>
      </c>
      <c r="G31" s="13" t="s">
        <v>21</v>
      </c>
      <c r="J31" s="13" t="s">
        <v>55</v>
      </c>
    </row>
    <row r="32" spans="1:14" x14ac:dyDescent="0.25">
      <c r="A32" s="13" t="s">
        <v>60</v>
      </c>
      <c r="B32" s="13" t="s">
        <v>61</v>
      </c>
      <c r="C32" s="13" t="s">
        <v>25</v>
      </c>
      <c r="D32" s="15">
        <v>2.0988258197874536</v>
      </c>
      <c r="E32" s="13" t="s">
        <v>50</v>
      </c>
      <c r="F32" s="13" t="s">
        <v>206</v>
      </c>
      <c r="G32" s="13" t="s">
        <v>21</v>
      </c>
      <c r="J32" s="13" t="s">
        <v>55</v>
      </c>
    </row>
    <row r="33" spans="1:10" x14ac:dyDescent="0.25">
      <c r="A33" s="13" t="s">
        <v>62</v>
      </c>
      <c r="B33" s="13" t="s">
        <v>63</v>
      </c>
      <c r="C33" s="13" t="s">
        <v>28</v>
      </c>
      <c r="D33" s="15">
        <v>0.24977902729395771</v>
      </c>
      <c r="E33" s="13" t="s">
        <v>6</v>
      </c>
      <c r="F33" s="13" t="s">
        <v>206</v>
      </c>
      <c r="G33" s="13" t="s">
        <v>21</v>
      </c>
      <c r="J33" s="13" t="s">
        <v>55</v>
      </c>
    </row>
    <row r="34" spans="1:10" x14ac:dyDescent="0.25">
      <c r="A34" s="13" t="s">
        <v>34</v>
      </c>
      <c r="B34" s="13" t="s">
        <v>35</v>
      </c>
      <c r="C34" s="13" t="s">
        <v>28</v>
      </c>
      <c r="D34" s="15">
        <v>0.88232523293258092</v>
      </c>
      <c r="E34" s="13" t="s">
        <v>33</v>
      </c>
      <c r="F34" s="13" t="s">
        <v>206</v>
      </c>
      <c r="G34" s="13" t="s">
        <v>21</v>
      </c>
      <c r="J34" s="13" t="s">
        <v>51</v>
      </c>
    </row>
    <row r="35" spans="1:10" x14ac:dyDescent="0.25">
      <c r="A35" s="13" t="s">
        <v>64</v>
      </c>
      <c r="B35" s="13" t="s">
        <v>65</v>
      </c>
      <c r="C35" s="13" t="s">
        <v>25</v>
      </c>
      <c r="D35" s="15">
        <v>7.7044468842043434</v>
      </c>
      <c r="E35" s="13" t="s">
        <v>33</v>
      </c>
      <c r="F35" s="13" t="s">
        <v>206</v>
      </c>
      <c r="G35" s="13" t="s">
        <v>21</v>
      </c>
      <c r="J35" s="13" t="s">
        <v>55</v>
      </c>
    </row>
    <row r="36" spans="1:10" x14ac:dyDescent="0.25">
      <c r="A36" s="13" t="s">
        <v>52</v>
      </c>
      <c r="B36" s="13" t="s">
        <v>27</v>
      </c>
      <c r="C36" s="13" t="s">
        <v>3</v>
      </c>
      <c r="D36" s="15">
        <v>0.59247926269385875</v>
      </c>
      <c r="E36" s="13" t="s">
        <v>29</v>
      </c>
      <c r="F36" s="13" t="s">
        <v>206</v>
      </c>
      <c r="G36" s="13" t="s">
        <v>21</v>
      </c>
      <c r="J36" s="13" t="s">
        <v>55</v>
      </c>
    </row>
    <row r="37" spans="1:10" x14ac:dyDescent="0.25">
      <c r="A37" s="13" t="s">
        <v>41</v>
      </c>
      <c r="B37" s="13" t="s">
        <v>42</v>
      </c>
      <c r="C37" s="13" t="s">
        <v>25</v>
      </c>
      <c r="D37" s="15">
        <v>0.54303495012372383</v>
      </c>
      <c r="E37" s="13" t="s">
        <v>6</v>
      </c>
      <c r="F37" s="13" t="s">
        <v>206</v>
      </c>
      <c r="G37" s="13" t="s">
        <v>21</v>
      </c>
      <c r="J37" s="13" t="s">
        <v>51</v>
      </c>
    </row>
    <row r="38" spans="1:10" x14ac:dyDescent="0.25">
      <c r="A38" s="13" t="s">
        <v>66</v>
      </c>
      <c r="B38" s="13" t="s">
        <v>67</v>
      </c>
      <c r="C38" s="13" t="s">
        <v>25</v>
      </c>
      <c r="D38" s="15">
        <v>5.9674170343266351E-2</v>
      </c>
      <c r="E38" s="13" t="s">
        <v>6</v>
      </c>
      <c r="F38" s="13" t="s">
        <v>206</v>
      </c>
      <c r="G38" s="13" t="s">
        <v>21</v>
      </c>
      <c r="J38" s="13" t="s">
        <v>51</v>
      </c>
    </row>
    <row r="39" spans="1:10" x14ac:dyDescent="0.25">
      <c r="A39" s="13" t="s">
        <v>52</v>
      </c>
      <c r="B39" s="13" t="s">
        <v>27</v>
      </c>
      <c r="C39" s="13" t="s">
        <v>3</v>
      </c>
      <c r="D39" s="15">
        <v>2.4722156285067487</v>
      </c>
      <c r="E39" s="13" t="s">
        <v>29</v>
      </c>
      <c r="F39" s="13" t="s">
        <v>206</v>
      </c>
      <c r="G39" s="13" t="s">
        <v>21</v>
      </c>
      <c r="J39" s="13" t="s">
        <v>51</v>
      </c>
    </row>
    <row r="40" spans="1:10" x14ac:dyDescent="0.25">
      <c r="A40" s="13" t="s">
        <v>53</v>
      </c>
      <c r="B40" s="13" t="s">
        <v>54</v>
      </c>
      <c r="C40" s="13" t="s">
        <v>25</v>
      </c>
      <c r="D40" s="15">
        <v>0.42914369343068121</v>
      </c>
      <c r="E40" s="13" t="s">
        <v>50</v>
      </c>
      <c r="F40" s="13" t="s">
        <v>206</v>
      </c>
      <c r="G40" s="13" t="s">
        <v>21</v>
      </c>
      <c r="J40" s="13" t="s">
        <v>51</v>
      </c>
    </row>
    <row r="41" spans="1:10" s="17" customFormat="1" x14ac:dyDescent="0.25"/>
    <row r="42" spans="1:10" x14ac:dyDescent="0.25">
      <c r="A42" s="11" t="s">
        <v>0</v>
      </c>
      <c r="B42" s="12" t="s">
        <v>211</v>
      </c>
    </row>
    <row r="43" spans="1:10" x14ac:dyDescent="0.25">
      <c r="A43" s="14" t="s">
        <v>1</v>
      </c>
      <c r="B43" s="13" t="s">
        <v>205</v>
      </c>
    </row>
    <row r="44" spans="1:10" x14ac:dyDescent="0.25">
      <c r="A44" s="14" t="s">
        <v>2</v>
      </c>
      <c r="B44" s="13" t="s">
        <v>3</v>
      </c>
    </row>
    <row r="45" spans="1:10" x14ac:dyDescent="0.25">
      <c r="A45" s="14" t="s">
        <v>4</v>
      </c>
      <c r="B45" s="13">
        <v>1</v>
      </c>
    </row>
    <row r="46" spans="1:10" x14ac:dyDescent="0.25">
      <c r="A46" s="14" t="s">
        <v>5</v>
      </c>
      <c r="B46" s="13" t="s">
        <v>6</v>
      </c>
    </row>
    <row r="47" spans="1:10" x14ac:dyDescent="0.25">
      <c r="A47" s="14" t="s">
        <v>7</v>
      </c>
      <c r="B47" s="15" t="s">
        <v>389</v>
      </c>
    </row>
    <row r="48" spans="1:10" x14ac:dyDescent="0.25">
      <c r="A48" s="14" t="s">
        <v>9</v>
      </c>
    </row>
    <row r="49" spans="1:14" x14ac:dyDescent="0.25">
      <c r="A49" s="11" t="s">
        <v>10</v>
      </c>
      <c r="B49" s="11" t="s">
        <v>1</v>
      </c>
      <c r="C49" s="11" t="s">
        <v>2</v>
      </c>
      <c r="D49" s="11" t="s">
        <v>4</v>
      </c>
      <c r="E49" s="11" t="s">
        <v>5</v>
      </c>
      <c r="F49" s="11" t="s">
        <v>11</v>
      </c>
      <c r="G49" s="11" t="s">
        <v>12</v>
      </c>
      <c r="H49" s="11" t="s">
        <v>13</v>
      </c>
      <c r="I49" s="11" t="s">
        <v>14</v>
      </c>
      <c r="J49" s="11" t="s">
        <v>15</v>
      </c>
      <c r="K49" s="11" t="s">
        <v>16</v>
      </c>
      <c r="L49" s="11" t="s">
        <v>17</v>
      </c>
      <c r="M49" s="11" t="s">
        <v>18</v>
      </c>
      <c r="N49" s="11" t="s">
        <v>19</v>
      </c>
    </row>
    <row r="50" spans="1:14" x14ac:dyDescent="0.25">
      <c r="A50" s="13" t="s">
        <v>211</v>
      </c>
      <c r="B50" s="13" t="s">
        <v>205</v>
      </c>
      <c r="C50" s="13" t="s">
        <v>3</v>
      </c>
      <c r="D50" s="13">
        <v>1</v>
      </c>
      <c r="E50" s="13" t="s">
        <v>6</v>
      </c>
      <c r="F50" s="16" t="s">
        <v>56</v>
      </c>
      <c r="G50" s="13" t="s">
        <v>20</v>
      </c>
    </row>
    <row r="51" spans="1:14" x14ac:dyDescent="0.25">
      <c r="A51" s="13" t="s">
        <v>210</v>
      </c>
      <c r="B51" s="13" t="s">
        <v>205</v>
      </c>
      <c r="C51" s="13" t="s">
        <v>3</v>
      </c>
      <c r="D51" s="13">
        <v>1</v>
      </c>
      <c r="E51" s="13" t="s">
        <v>6</v>
      </c>
      <c r="F51" s="16" t="s">
        <v>56</v>
      </c>
      <c r="G51" s="13" t="s">
        <v>21</v>
      </c>
    </row>
    <row r="52" spans="1:14" x14ac:dyDescent="0.25">
      <c r="A52" s="13" t="s">
        <v>367</v>
      </c>
      <c r="B52" s="13" t="s">
        <v>209</v>
      </c>
      <c r="C52" s="13" t="s">
        <v>3</v>
      </c>
      <c r="D52" s="15">
        <v>0.85248814776094783</v>
      </c>
      <c r="E52" s="13" t="s">
        <v>6</v>
      </c>
      <c r="F52" s="16" t="s">
        <v>56</v>
      </c>
      <c r="G52" s="13" t="s">
        <v>21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N60"/>
  <sheetViews>
    <sheetView topLeftCell="A43" workbookViewId="0">
      <selection activeCell="B14" sqref="B14"/>
    </sheetView>
  </sheetViews>
  <sheetFormatPr baseColWidth="10" defaultColWidth="8.7109375" defaultRowHeight="15" x14ac:dyDescent="0.25"/>
  <cols>
    <col min="1" max="1" width="71.7109375" style="13" bestFit="1" customWidth="1"/>
    <col min="2" max="2" width="71" style="13" customWidth="1"/>
    <col min="3" max="3" width="8.28515625" style="13" bestFit="1" customWidth="1"/>
    <col min="4" max="4" width="11" style="13" bestFit="1" customWidth="1"/>
    <col min="5" max="5" width="12.7109375" style="13" bestFit="1" customWidth="1"/>
    <col min="6" max="6" width="20.28515625" style="13" bestFit="1" customWidth="1"/>
    <col min="7" max="7" width="13.28515625" style="13" bestFit="1" customWidth="1"/>
    <col min="8" max="8" width="25.28515625" style="13" bestFit="1" customWidth="1"/>
    <col min="9" max="9" width="15.5703125" style="13" bestFit="1" customWidth="1"/>
    <col min="10" max="10" width="21.42578125" style="13" bestFit="1" customWidth="1"/>
    <col min="11" max="11" width="3.5703125" style="13" bestFit="1" customWidth="1"/>
    <col min="12" max="12" width="5.42578125" style="13" bestFit="1" customWidth="1"/>
    <col min="13" max="13" width="9.5703125" style="13" bestFit="1" customWidth="1"/>
    <col min="14" max="14" width="9.7109375" style="13" bestFit="1" customWidth="1"/>
    <col min="15" max="16384" width="8.7109375" style="13"/>
  </cols>
  <sheetData>
    <row r="1" spans="1:14" x14ac:dyDescent="0.25">
      <c r="A1" s="11" t="s">
        <v>0</v>
      </c>
      <c r="B1" s="12" t="s">
        <v>368</v>
      </c>
    </row>
    <row r="2" spans="1:14" x14ac:dyDescent="0.25">
      <c r="A2" s="14" t="s">
        <v>1</v>
      </c>
      <c r="B2" s="13" t="s">
        <v>209</v>
      </c>
    </row>
    <row r="3" spans="1:14" x14ac:dyDescent="0.25">
      <c r="A3" s="14" t="s">
        <v>2</v>
      </c>
      <c r="B3" s="13" t="s">
        <v>68</v>
      </c>
    </row>
    <row r="4" spans="1:14" x14ac:dyDescent="0.25">
      <c r="A4" s="14" t="s">
        <v>4</v>
      </c>
      <c r="B4" s="13">
        <v>1</v>
      </c>
    </row>
    <row r="5" spans="1:14" x14ac:dyDescent="0.25">
      <c r="A5" s="14" t="s">
        <v>5</v>
      </c>
      <c r="B5" s="13" t="s">
        <v>6</v>
      </c>
    </row>
    <row r="6" spans="1:14" ht="60" x14ac:dyDescent="0.25">
      <c r="A6" s="14" t="s">
        <v>7</v>
      </c>
      <c r="B6" s="22" t="s">
        <v>398</v>
      </c>
    </row>
    <row r="7" spans="1:14" x14ac:dyDescent="0.25">
      <c r="A7" s="14" t="s">
        <v>9</v>
      </c>
    </row>
    <row r="8" spans="1:14" x14ac:dyDescent="0.25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25">
      <c r="A9" s="13" t="s">
        <v>368</v>
      </c>
      <c r="B9" s="13" t="s">
        <v>209</v>
      </c>
      <c r="C9" s="13" t="s">
        <v>68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25">
      <c r="A10" s="13" t="s">
        <v>34</v>
      </c>
      <c r="B10" s="13" t="s">
        <v>35</v>
      </c>
      <c r="C10" s="13" t="s">
        <v>28</v>
      </c>
      <c r="D10" s="13">
        <v>9.4499999999999993</v>
      </c>
      <c r="E10" s="13" t="s">
        <v>33</v>
      </c>
      <c r="F10" s="13" t="s">
        <v>206</v>
      </c>
      <c r="G10" s="13" t="s">
        <v>21</v>
      </c>
      <c r="J10" s="13" t="s">
        <v>51</v>
      </c>
    </row>
    <row r="11" spans="1:14" x14ac:dyDescent="0.25">
      <c r="A11" s="13" t="s">
        <v>52</v>
      </c>
      <c r="B11" s="13" t="s">
        <v>27</v>
      </c>
      <c r="C11" s="13" t="s">
        <v>68</v>
      </c>
      <c r="D11" s="13">
        <v>1.0760000000000001</v>
      </c>
      <c r="E11" s="13" t="s">
        <v>29</v>
      </c>
      <c r="F11" s="13" t="s">
        <v>206</v>
      </c>
      <c r="G11" s="13" t="s">
        <v>21</v>
      </c>
      <c r="J11" s="13" t="s">
        <v>51</v>
      </c>
    </row>
    <row r="12" spans="1:14" x14ac:dyDescent="0.25">
      <c r="A12" s="13" t="s">
        <v>34</v>
      </c>
      <c r="B12" s="13" t="s">
        <v>35</v>
      </c>
      <c r="C12" s="13" t="s">
        <v>28</v>
      </c>
      <c r="D12" s="13">
        <v>39.555</v>
      </c>
      <c r="E12" s="13" t="s">
        <v>33</v>
      </c>
      <c r="F12" s="13" t="s">
        <v>206</v>
      </c>
      <c r="G12" s="13" t="s">
        <v>21</v>
      </c>
      <c r="J12" s="13" t="s">
        <v>55</v>
      </c>
    </row>
    <row r="13" spans="1:14" x14ac:dyDescent="0.25">
      <c r="A13" s="13" t="s">
        <v>60</v>
      </c>
      <c r="B13" s="13" t="s">
        <v>61</v>
      </c>
      <c r="C13" s="13" t="s">
        <v>25</v>
      </c>
      <c r="D13" s="13">
        <v>9.9849999999999994</v>
      </c>
      <c r="E13" s="13" t="s">
        <v>50</v>
      </c>
      <c r="F13" s="13" t="s">
        <v>206</v>
      </c>
      <c r="G13" s="13" t="s">
        <v>21</v>
      </c>
      <c r="J13" s="13" t="s">
        <v>55</v>
      </c>
    </row>
    <row r="14" spans="1:14" x14ac:dyDescent="0.25">
      <c r="A14" s="13" t="s">
        <v>56</v>
      </c>
      <c r="D14" s="13">
        <v>0.96375655957161976</v>
      </c>
      <c r="E14" s="13" t="s">
        <v>6</v>
      </c>
      <c r="F14" s="13" t="s">
        <v>46</v>
      </c>
      <c r="G14" s="13" t="s">
        <v>47</v>
      </c>
      <c r="H14" s="13" t="s">
        <v>48</v>
      </c>
      <c r="J14" s="13" t="s">
        <v>51</v>
      </c>
    </row>
    <row r="15" spans="1:14" s="21" customFormat="1" x14ac:dyDescent="0.25"/>
    <row r="16" spans="1:14" x14ac:dyDescent="0.25">
      <c r="A16" s="11" t="s">
        <v>0</v>
      </c>
      <c r="B16" s="12" t="s">
        <v>215</v>
      </c>
    </row>
    <row r="17" spans="1:14" x14ac:dyDescent="0.25">
      <c r="A17" s="14" t="s">
        <v>1</v>
      </c>
      <c r="B17" s="13" t="s">
        <v>212</v>
      </c>
    </row>
    <row r="18" spans="1:14" x14ac:dyDescent="0.25">
      <c r="A18" s="14" t="s">
        <v>2</v>
      </c>
      <c r="B18" s="13" t="s">
        <v>68</v>
      </c>
    </row>
    <row r="19" spans="1:14" x14ac:dyDescent="0.25">
      <c r="A19" s="14" t="s">
        <v>4</v>
      </c>
      <c r="B19" s="13">
        <v>1</v>
      </c>
    </row>
    <row r="20" spans="1:14" x14ac:dyDescent="0.25">
      <c r="A20" s="14" t="s">
        <v>5</v>
      </c>
      <c r="B20" s="13" t="s">
        <v>6</v>
      </c>
    </row>
    <row r="21" spans="1:14" x14ac:dyDescent="0.25">
      <c r="A21" s="14" t="s">
        <v>7</v>
      </c>
      <c r="B21" s="13" t="s">
        <v>8</v>
      </c>
    </row>
    <row r="22" spans="1:14" x14ac:dyDescent="0.25">
      <c r="A22" s="14" t="s">
        <v>9</v>
      </c>
    </row>
    <row r="23" spans="1:14" x14ac:dyDescent="0.25">
      <c r="A23" s="11" t="s">
        <v>10</v>
      </c>
      <c r="B23" s="11" t="s">
        <v>1</v>
      </c>
      <c r="C23" s="11" t="s">
        <v>2</v>
      </c>
      <c r="D23" s="11" t="s">
        <v>4</v>
      </c>
      <c r="E23" s="11" t="s">
        <v>5</v>
      </c>
      <c r="F23" s="11" t="s">
        <v>11</v>
      </c>
      <c r="G23" s="11" t="s">
        <v>12</v>
      </c>
      <c r="H23" s="11" t="s">
        <v>13</v>
      </c>
      <c r="I23" s="11" t="s">
        <v>14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</row>
    <row r="24" spans="1:14" x14ac:dyDescent="0.25">
      <c r="A24" s="13" t="s">
        <v>215</v>
      </c>
      <c r="B24" s="13" t="s">
        <v>212</v>
      </c>
      <c r="C24" s="13" t="s">
        <v>68</v>
      </c>
      <c r="D24" s="13">
        <v>1</v>
      </c>
      <c r="E24" s="13" t="s">
        <v>6</v>
      </c>
      <c r="F24" s="16" t="s">
        <v>56</v>
      </c>
      <c r="G24" s="13" t="s">
        <v>20</v>
      </c>
    </row>
    <row r="25" spans="1:14" x14ac:dyDescent="0.25">
      <c r="A25" s="13" t="s">
        <v>34</v>
      </c>
      <c r="B25" s="13" t="s">
        <v>35</v>
      </c>
      <c r="C25" s="13" t="s">
        <v>28</v>
      </c>
      <c r="D25" s="13">
        <v>75.959999999999994</v>
      </c>
      <c r="E25" s="13" t="s">
        <v>33</v>
      </c>
      <c r="F25" s="13" t="s">
        <v>206</v>
      </c>
      <c r="G25" s="13" t="s">
        <v>21</v>
      </c>
      <c r="J25" s="13" t="s">
        <v>55</v>
      </c>
    </row>
    <row r="26" spans="1:14" x14ac:dyDescent="0.25">
      <c r="A26" s="13" t="s">
        <v>58</v>
      </c>
      <c r="B26" s="13" t="s">
        <v>59</v>
      </c>
      <c r="C26" s="13" t="s">
        <v>68</v>
      </c>
      <c r="D26" s="13">
        <v>2.34</v>
      </c>
      <c r="E26" s="13" t="s">
        <v>6</v>
      </c>
      <c r="F26" s="13" t="s">
        <v>206</v>
      </c>
      <c r="G26" s="13" t="s">
        <v>21</v>
      </c>
      <c r="J26" s="13" t="s">
        <v>55</v>
      </c>
    </row>
    <row r="27" spans="1:14" x14ac:dyDescent="0.25">
      <c r="A27" s="13" t="s">
        <v>60</v>
      </c>
      <c r="B27" s="13" t="s">
        <v>61</v>
      </c>
      <c r="C27" s="13" t="s">
        <v>25</v>
      </c>
      <c r="D27" s="13">
        <v>24.172000000000001</v>
      </c>
      <c r="E27" s="13" t="s">
        <v>50</v>
      </c>
      <c r="F27" s="13" t="s">
        <v>206</v>
      </c>
      <c r="G27" s="13" t="s">
        <v>21</v>
      </c>
      <c r="J27" s="13" t="s">
        <v>55</v>
      </c>
    </row>
    <row r="28" spans="1:14" x14ac:dyDescent="0.25">
      <c r="A28" s="13" t="s">
        <v>43</v>
      </c>
      <c r="B28" s="13" t="s">
        <v>44</v>
      </c>
      <c r="C28" s="13" t="s">
        <v>28</v>
      </c>
      <c r="D28" s="13">
        <v>0.39200000000000002</v>
      </c>
      <c r="E28" s="13" t="s">
        <v>6</v>
      </c>
      <c r="F28" s="13" t="s">
        <v>206</v>
      </c>
      <c r="G28" s="13" t="s">
        <v>21</v>
      </c>
      <c r="J28" s="13" t="s">
        <v>51</v>
      </c>
    </row>
    <row r="29" spans="1:14" x14ac:dyDescent="0.25">
      <c r="A29" s="13" t="s">
        <v>52</v>
      </c>
      <c r="B29" s="13" t="s">
        <v>27</v>
      </c>
      <c r="C29" s="13" t="s">
        <v>68</v>
      </c>
      <c r="D29" s="13">
        <v>18.187000000000001</v>
      </c>
      <c r="E29" s="13" t="s">
        <v>29</v>
      </c>
      <c r="F29" s="13" t="s">
        <v>206</v>
      </c>
      <c r="G29" s="13" t="s">
        <v>21</v>
      </c>
      <c r="J29" s="13" t="s">
        <v>55</v>
      </c>
    </row>
    <row r="30" spans="1:14" x14ac:dyDescent="0.25">
      <c r="A30" s="13" t="s">
        <v>69</v>
      </c>
      <c r="B30" s="13" t="s">
        <v>70</v>
      </c>
      <c r="C30" s="13" t="s">
        <v>28</v>
      </c>
      <c r="D30" s="13">
        <v>5.5E-2</v>
      </c>
      <c r="E30" s="13" t="s">
        <v>6</v>
      </c>
      <c r="F30" s="13" t="s">
        <v>206</v>
      </c>
      <c r="G30" s="13" t="s">
        <v>21</v>
      </c>
      <c r="J30" s="13" t="s">
        <v>51</v>
      </c>
    </row>
    <row r="31" spans="1:14" x14ac:dyDescent="0.25">
      <c r="A31" s="13" t="s">
        <v>60</v>
      </c>
      <c r="B31" s="13" t="s">
        <v>61</v>
      </c>
      <c r="C31" s="13" t="s">
        <v>25</v>
      </c>
      <c r="D31" s="13">
        <v>1.7230000000000001</v>
      </c>
      <c r="E31" s="13" t="s">
        <v>50</v>
      </c>
      <c r="F31" s="13" t="s">
        <v>206</v>
      </c>
      <c r="G31" s="13" t="s">
        <v>21</v>
      </c>
      <c r="J31" s="13" t="s">
        <v>55</v>
      </c>
    </row>
    <row r="32" spans="1:14" x14ac:dyDescent="0.25">
      <c r="A32" s="13" t="s">
        <v>60</v>
      </c>
      <c r="B32" s="13" t="s">
        <v>61</v>
      </c>
      <c r="C32" s="13" t="s">
        <v>25</v>
      </c>
      <c r="D32" s="13">
        <v>1.9339999999999999</v>
      </c>
      <c r="E32" s="13" t="s">
        <v>50</v>
      </c>
      <c r="F32" s="13" t="s">
        <v>206</v>
      </c>
      <c r="G32" s="13" t="s">
        <v>21</v>
      </c>
      <c r="J32" s="13" t="s">
        <v>55</v>
      </c>
    </row>
    <row r="33" spans="1:14" x14ac:dyDescent="0.25">
      <c r="A33" s="13" t="s">
        <v>62</v>
      </c>
      <c r="B33" s="13" t="s">
        <v>63</v>
      </c>
      <c r="C33" s="13" t="s">
        <v>28</v>
      </c>
      <c r="D33" s="13">
        <v>0.80500000000000005</v>
      </c>
      <c r="E33" s="13" t="s">
        <v>6</v>
      </c>
      <c r="F33" s="13" t="s">
        <v>206</v>
      </c>
      <c r="G33" s="13" t="s">
        <v>21</v>
      </c>
      <c r="J33" s="13" t="s">
        <v>55</v>
      </c>
    </row>
    <row r="34" spans="1:14" x14ac:dyDescent="0.25">
      <c r="A34" s="13" t="s">
        <v>34</v>
      </c>
      <c r="B34" s="13" t="s">
        <v>35</v>
      </c>
      <c r="C34" s="13" t="s">
        <v>28</v>
      </c>
      <c r="D34" s="13">
        <v>0.54</v>
      </c>
      <c r="E34" s="13" t="s">
        <v>33</v>
      </c>
      <c r="F34" s="13" t="s">
        <v>206</v>
      </c>
      <c r="G34" s="13" t="s">
        <v>21</v>
      </c>
      <c r="J34" s="13" t="s">
        <v>51</v>
      </c>
    </row>
    <row r="35" spans="1:14" x14ac:dyDescent="0.25">
      <c r="A35" s="13" t="s">
        <v>60</v>
      </c>
      <c r="B35" s="13" t="s">
        <v>61</v>
      </c>
      <c r="C35" s="13" t="s">
        <v>25</v>
      </c>
      <c r="D35" s="13">
        <v>0.36799999999999999</v>
      </c>
      <c r="E35" s="13" t="s">
        <v>50</v>
      </c>
      <c r="F35" s="13" t="s">
        <v>206</v>
      </c>
      <c r="G35" s="13" t="s">
        <v>21</v>
      </c>
      <c r="J35" s="13" t="s">
        <v>55</v>
      </c>
    </row>
    <row r="36" spans="1:14" x14ac:dyDescent="0.25">
      <c r="A36" s="13" t="s">
        <v>60</v>
      </c>
      <c r="B36" s="13" t="s">
        <v>61</v>
      </c>
      <c r="C36" s="13" t="s">
        <v>25</v>
      </c>
      <c r="D36" s="13">
        <v>3.5999999999999997E-2</v>
      </c>
      <c r="E36" s="13" t="s">
        <v>50</v>
      </c>
      <c r="F36" s="13" t="s">
        <v>206</v>
      </c>
      <c r="G36" s="13" t="s">
        <v>21</v>
      </c>
      <c r="J36" s="13" t="s">
        <v>55</v>
      </c>
    </row>
    <row r="37" spans="1:14" s="17" customFormat="1" x14ac:dyDescent="0.25"/>
    <row r="38" spans="1:14" x14ac:dyDescent="0.25">
      <c r="A38" s="11" t="s">
        <v>0</v>
      </c>
      <c r="B38" s="12" t="s">
        <v>213</v>
      </c>
    </row>
    <row r="39" spans="1:14" x14ac:dyDescent="0.25">
      <c r="A39" s="14" t="s">
        <v>1</v>
      </c>
      <c r="B39" s="13" t="s">
        <v>212</v>
      </c>
    </row>
    <row r="40" spans="1:14" x14ac:dyDescent="0.25">
      <c r="A40" s="14" t="s">
        <v>2</v>
      </c>
      <c r="B40" s="13" t="s">
        <v>68</v>
      </c>
    </row>
    <row r="41" spans="1:14" x14ac:dyDescent="0.25">
      <c r="A41" s="14" t="s">
        <v>4</v>
      </c>
      <c r="B41" s="13">
        <v>1</v>
      </c>
    </row>
    <row r="42" spans="1:14" x14ac:dyDescent="0.25">
      <c r="A42" s="14" t="s">
        <v>5</v>
      </c>
      <c r="B42" s="13" t="s">
        <v>6</v>
      </c>
    </row>
    <row r="43" spans="1:14" x14ac:dyDescent="0.25">
      <c r="A43" s="14" t="s">
        <v>7</v>
      </c>
      <c r="B43" s="18" t="s">
        <v>8</v>
      </c>
    </row>
    <row r="44" spans="1:14" x14ac:dyDescent="0.25">
      <c r="A44" s="14" t="s">
        <v>9</v>
      </c>
    </row>
    <row r="45" spans="1:14" x14ac:dyDescent="0.25">
      <c r="A45" s="11" t="s">
        <v>10</v>
      </c>
      <c r="B45" s="11" t="s">
        <v>1</v>
      </c>
      <c r="C45" s="11" t="s">
        <v>2</v>
      </c>
      <c r="D45" s="11" t="s">
        <v>4</v>
      </c>
      <c r="E45" s="11" t="s">
        <v>5</v>
      </c>
      <c r="F45" s="11" t="s">
        <v>11</v>
      </c>
      <c r="G45" s="11" t="s">
        <v>12</v>
      </c>
      <c r="H45" s="11" t="s">
        <v>13</v>
      </c>
      <c r="I45" s="11" t="s">
        <v>14</v>
      </c>
      <c r="J45" s="11" t="s">
        <v>15</v>
      </c>
      <c r="K45" s="11" t="s">
        <v>16</v>
      </c>
      <c r="L45" s="11" t="s">
        <v>17</v>
      </c>
      <c r="M45" s="11" t="s">
        <v>18</v>
      </c>
      <c r="N45" s="11" t="s">
        <v>19</v>
      </c>
    </row>
    <row r="46" spans="1:14" x14ac:dyDescent="0.25">
      <c r="A46" s="13" t="s">
        <v>213</v>
      </c>
      <c r="B46" s="13" t="s">
        <v>212</v>
      </c>
      <c r="C46" s="13" t="s">
        <v>68</v>
      </c>
      <c r="D46" s="13">
        <v>1</v>
      </c>
      <c r="E46" s="13" t="s">
        <v>6</v>
      </c>
      <c r="F46" s="16" t="s">
        <v>56</v>
      </c>
      <c r="G46" s="13" t="s">
        <v>20</v>
      </c>
    </row>
    <row r="47" spans="1:14" x14ac:dyDescent="0.25">
      <c r="A47" s="13" t="s">
        <v>215</v>
      </c>
      <c r="B47" s="13" t="s">
        <v>212</v>
      </c>
      <c r="C47" s="13" t="s">
        <v>68</v>
      </c>
      <c r="D47" s="13">
        <f>1</f>
        <v>1</v>
      </c>
      <c r="E47" s="13" t="s">
        <v>6</v>
      </c>
      <c r="F47" s="16" t="s">
        <v>56</v>
      </c>
      <c r="G47" s="13" t="s">
        <v>21</v>
      </c>
    </row>
    <row r="48" spans="1:14" x14ac:dyDescent="0.25">
      <c r="A48" s="13" t="s">
        <v>368</v>
      </c>
      <c r="B48" s="13" t="s">
        <v>209</v>
      </c>
      <c r="C48" s="13" t="s">
        <v>68</v>
      </c>
      <c r="D48" s="13">
        <f>1</f>
        <v>1</v>
      </c>
      <c r="E48" s="13" t="s">
        <v>6</v>
      </c>
      <c r="F48" s="16" t="s">
        <v>56</v>
      </c>
      <c r="G48" s="13" t="s">
        <v>21</v>
      </c>
    </row>
    <row r="49" spans="1:14" s="17" customFormat="1" x14ac:dyDescent="0.25"/>
    <row r="50" spans="1:14" x14ac:dyDescent="0.25">
      <c r="A50" s="11" t="s">
        <v>0</v>
      </c>
      <c r="B50" s="12" t="s">
        <v>385</v>
      </c>
    </row>
    <row r="51" spans="1:14" x14ac:dyDescent="0.25">
      <c r="A51" s="14" t="s">
        <v>1</v>
      </c>
      <c r="B51" s="13" t="s">
        <v>214</v>
      </c>
    </row>
    <row r="52" spans="1:14" x14ac:dyDescent="0.25">
      <c r="A52" s="14" t="s">
        <v>2</v>
      </c>
      <c r="B52" s="13" t="s">
        <v>68</v>
      </c>
    </row>
    <row r="53" spans="1:14" x14ac:dyDescent="0.25">
      <c r="A53" s="14" t="s">
        <v>4</v>
      </c>
      <c r="B53" s="13">
        <v>1</v>
      </c>
    </row>
    <row r="54" spans="1:14" x14ac:dyDescent="0.25">
      <c r="A54" s="14" t="s">
        <v>5</v>
      </c>
      <c r="B54" s="13" t="s">
        <v>6</v>
      </c>
    </row>
    <row r="55" spans="1:14" x14ac:dyDescent="0.25">
      <c r="A55" s="14" t="s">
        <v>7</v>
      </c>
      <c r="B55" s="18" t="s">
        <v>208</v>
      </c>
    </row>
    <row r="56" spans="1:14" x14ac:dyDescent="0.25">
      <c r="A56" s="14" t="s">
        <v>9</v>
      </c>
    </row>
    <row r="57" spans="1:14" x14ac:dyDescent="0.25">
      <c r="A57" s="11" t="s">
        <v>10</v>
      </c>
      <c r="B57" s="11" t="s">
        <v>1</v>
      </c>
      <c r="C57" s="11" t="s">
        <v>2</v>
      </c>
      <c r="D57" s="11" t="s">
        <v>4</v>
      </c>
      <c r="E57" s="11" t="s">
        <v>5</v>
      </c>
      <c r="F57" s="11" t="s">
        <v>11</v>
      </c>
      <c r="G57" s="11" t="s">
        <v>12</v>
      </c>
      <c r="H57" s="11" t="s">
        <v>13</v>
      </c>
      <c r="I57" s="11" t="s">
        <v>14</v>
      </c>
      <c r="J57" s="11" t="s">
        <v>15</v>
      </c>
      <c r="K57" s="11" t="s">
        <v>16</v>
      </c>
      <c r="L57" s="11" t="s">
        <v>17</v>
      </c>
      <c r="M57" s="11" t="s">
        <v>18</v>
      </c>
      <c r="N57" s="11" t="s">
        <v>19</v>
      </c>
    </row>
    <row r="58" spans="1:14" x14ac:dyDescent="0.25">
      <c r="A58" s="13" t="s">
        <v>385</v>
      </c>
      <c r="B58" s="13" t="s">
        <v>214</v>
      </c>
      <c r="C58" s="13" t="s">
        <v>68</v>
      </c>
      <c r="D58" s="13">
        <v>1</v>
      </c>
      <c r="E58" s="13" t="s">
        <v>6</v>
      </c>
      <c r="F58" s="16" t="s">
        <v>56</v>
      </c>
      <c r="G58" s="13" t="s">
        <v>20</v>
      </c>
    </row>
    <row r="59" spans="1:14" x14ac:dyDescent="0.25">
      <c r="A59" s="13" t="s">
        <v>215</v>
      </c>
      <c r="B59" s="13" t="s">
        <v>212</v>
      </c>
      <c r="C59" s="13" t="s">
        <v>68</v>
      </c>
      <c r="D59" s="13">
        <f>1/(76/100)</f>
        <v>1.3157894736842106</v>
      </c>
      <c r="E59" s="13" t="s">
        <v>6</v>
      </c>
      <c r="F59" s="16" t="s">
        <v>56</v>
      </c>
      <c r="G59" s="13" t="s">
        <v>21</v>
      </c>
    </row>
    <row r="60" spans="1:14" x14ac:dyDescent="0.25">
      <c r="A60" s="13" t="s">
        <v>368</v>
      </c>
      <c r="B60" s="13" t="s">
        <v>209</v>
      </c>
      <c r="C60" s="13" t="s">
        <v>68</v>
      </c>
      <c r="D60" s="13">
        <f>1/(76/100)</f>
        <v>1.3157894736842106</v>
      </c>
      <c r="E60" s="13" t="s">
        <v>6</v>
      </c>
      <c r="F60" s="16" t="s">
        <v>56</v>
      </c>
      <c r="G60" s="13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N58"/>
  <sheetViews>
    <sheetView topLeftCell="A46" workbookViewId="0">
      <selection activeCell="B14" sqref="B14"/>
    </sheetView>
  </sheetViews>
  <sheetFormatPr baseColWidth="10" defaultColWidth="8.7109375" defaultRowHeight="15" x14ac:dyDescent="0.25"/>
  <cols>
    <col min="1" max="1" width="72.28515625" style="13" bestFit="1" customWidth="1"/>
    <col min="2" max="2" width="71.7109375" style="13" customWidth="1"/>
    <col min="3" max="3" width="8.28515625" style="13" bestFit="1" customWidth="1"/>
    <col min="4" max="4" width="12" style="13" bestFit="1" customWidth="1"/>
    <col min="5" max="5" width="12.7109375" style="13" bestFit="1" customWidth="1"/>
    <col min="6" max="6" width="20.28515625" style="13" bestFit="1" customWidth="1"/>
    <col min="7" max="7" width="13.28515625" style="13" bestFit="1" customWidth="1"/>
    <col min="8" max="8" width="25.28515625" style="13" bestFit="1" customWidth="1"/>
    <col min="9" max="9" width="15.5703125" style="13" bestFit="1" customWidth="1"/>
    <col min="10" max="10" width="21.42578125" style="13" bestFit="1" customWidth="1"/>
    <col min="11" max="11" width="3.5703125" style="13" bestFit="1" customWidth="1"/>
    <col min="12" max="12" width="5.42578125" style="13" bestFit="1" customWidth="1"/>
    <col min="13" max="13" width="9.5703125" style="13" bestFit="1" customWidth="1"/>
    <col min="14" max="14" width="9.7109375" style="13" bestFit="1" customWidth="1"/>
    <col min="15" max="16384" width="8.7109375" style="13"/>
  </cols>
  <sheetData>
    <row r="1" spans="1:14" x14ac:dyDescent="0.25">
      <c r="A1" s="11" t="s">
        <v>0</v>
      </c>
      <c r="B1" s="12" t="s">
        <v>369</v>
      </c>
    </row>
    <row r="2" spans="1:14" x14ac:dyDescent="0.25">
      <c r="A2" s="14" t="s">
        <v>1</v>
      </c>
      <c r="B2" s="13" t="s">
        <v>209</v>
      </c>
    </row>
    <row r="3" spans="1:14" x14ac:dyDescent="0.25">
      <c r="A3" s="14" t="s">
        <v>2</v>
      </c>
      <c r="B3" s="13" t="s">
        <v>71</v>
      </c>
    </row>
    <row r="4" spans="1:14" x14ac:dyDescent="0.25">
      <c r="A4" s="14" t="s">
        <v>4</v>
      </c>
      <c r="B4" s="13">
        <v>1</v>
      </c>
    </row>
    <row r="5" spans="1:14" x14ac:dyDescent="0.25">
      <c r="A5" s="14" t="s">
        <v>5</v>
      </c>
      <c r="B5" s="13" t="s">
        <v>6</v>
      </c>
    </row>
    <row r="6" spans="1:14" ht="60" x14ac:dyDescent="0.25">
      <c r="A6" s="14" t="s">
        <v>7</v>
      </c>
      <c r="B6" s="22" t="s">
        <v>399</v>
      </c>
    </row>
    <row r="7" spans="1:14" x14ac:dyDescent="0.25">
      <c r="A7" s="14" t="s">
        <v>9</v>
      </c>
    </row>
    <row r="8" spans="1:14" x14ac:dyDescent="0.25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25">
      <c r="A9" s="13" t="s">
        <v>369</v>
      </c>
      <c r="B9" s="13" t="s">
        <v>209</v>
      </c>
      <c r="C9" s="13" t="s">
        <v>71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25">
      <c r="A10" s="13" t="s">
        <v>34</v>
      </c>
      <c r="B10" s="13" t="s">
        <v>35</v>
      </c>
      <c r="C10" s="13" t="s">
        <v>28</v>
      </c>
      <c r="D10" s="13">
        <v>3.42</v>
      </c>
      <c r="E10" s="13" t="s">
        <v>33</v>
      </c>
      <c r="F10" s="13" t="s">
        <v>206</v>
      </c>
      <c r="G10" s="13" t="s">
        <v>21</v>
      </c>
      <c r="J10" s="13" t="s">
        <v>51</v>
      </c>
    </row>
    <row r="11" spans="1:14" x14ac:dyDescent="0.25">
      <c r="A11" s="13" t="s">
        <v>52</v>
      </c>
      <c r="B11" s="13" t="s">
        <v>27</v>
      </c>
      <c r="C11" s="13" t="s">
        <v>71</v>
      </c>
      <c r="D11" s="13">
        <v>0.39100000000000001</v>
      </c>
      <c r="E11" s="13" t="s">
        <v>29</v>
      </c>
      <c r="F11" s="13" t="s">
        <v>206</v>
      </c>
      <c r="G11" s="13" t="s">
        <v>21</v>
      </c>
      <c r="J11" s="13" t="s">
        <v>51</v>
      </c>
    </row>
    <row r="12" spans="1:14" x14ac:dyDescent="0.25">
      <c r="A12" s="13" t="s">
        <v>53</v>
      </c>
      <c r="B12" s="13" t="s">
        <v>54</v>
      </c>
      <c r="C12" s="13" t="s">
        <v>71</v>
      </c>
      <c r="D12" s="13">
        <v>0.41904761904761911</v>
      </c>
      <c r="E12" s="13" t="s">
        <v>50</v>
      </c>
      <c r="F12" s="13" t="s">
        <v>206</v>
      </c>
      <c r="G12" s="13" t="s">
        <v>21</v>
      </c>
      <c r="J12" s="13" t="s">
        <v>55</v>
      </c>
    </row>
    <row r="13" spans="1:14" x14ac:dyDescent="0.25">
      <c r="A13" s="13" t="s">
        <v>60</v>
      </c>
      <c r="B13" s="13" t="s">
        <v>61</v>
      </c>
      <c r="C13" s="13" t="s">
        <v>25</v>
      </c>
      <c r="D13" s="13">
        <v>4.0979999999999999</v>
      </c>
      <c r="E13" s="13" t="s">
        <v>50</v>
      </c>
      <c r="F13" s="13" t="s">
        <v>206</v>
      </c>
      <c r="G13" s="13" t="s">
        <v>21</v>
      </c>
      <c r="J13" s="13" t="s">
        <v>55</v>
      </c>
    </row>
    <row r="14" spans="1:14" x14ac:dyDescent="0.25">
      <c r="A14" s="13" t="s">
        <v>56</v>
      </c>
      <c r="D14" s="13">
        <v>0.4050535742971888</v>
      </c>
      <c r="E14" s="13" t="s">
        <v>6</v>
      </c>
      <c r="F14" s="13" t="s">
        <v>46</v>
      </c>
      <c r="G14" s="13" t="s">
        <v>47</v>
      </c>
      <c r="H14" s="13" t="s">
        <v>48</v>
      </c>
      <c r="J14" s="13" t="s">
        <v>51</v>
      </c>
    </row>
    <row r="15" spans="1:14" s="21" customFormat="1" x14ac:dyDescent="0.25"/>
    <row r="16" spans="1:14" x14ac:dyDescent="0.25">
      <c r="A16" s="11" t="s">
        <v>0</v>
      </c>
      <c r="B16" s="12" t="s">
        <v>216</v>
      </c>
    </row>
    <row r="17" spans="1:14" x14ac:dyDescent="0.25">
      <c r="A17" s="14" t="s">
        <v>1</v>
      </c>
      <c r="B17" s="13" t="s">
        <v>185</v>
      </c>
    </row>
    <row r="18" spans="1:14" x14ac:dyDescent="0.25">
      <c r="A18" s="14" t="s">
        <v>2</v>
      </c>
      <c r="B18" s="13" t="s">
        <v>71</v>
      </c>
    </row>
    <row r="19" spans="1:14" x14ac:dyDescent="0.25">
      <c r="A19" s="14" t="s">
        <v>4</v>
      </c>
      <c r="B19" s="13">
        <v>1</v>
      </c>
    </row>
    <row r="20" spans="1:14" x14ac:dyDescent="0.25">
      <c r="A20" s="14" t="s">
        <v>5</v>
      </c>
      <c r="B20" s="13" t="s">
        <v>6</v>
      </c>
    </row>
    <row r="21" spans="1:14" x14ac:dyDescent="0.25">
      <c r="A21" s="14" t="s">
        <v>7</v>
      </c>
      <c r="B21" s="13" t="s">
        <v>8</v>
      </c>
    </row>
    <row r="22" spans="1:14" x14ac:dyDescent="0.25">
      <c r="A22" s="14" t="s">
        <v>9</v>
      </c>
    </row>
    <row r="23" spans="1:14" x14ac:dyDescent="0.25">
      <c r="A23" s="11" t="s">
        <v>10</v>
      </c>
      <c r="B23" s="11" t="s">
        <v>1</v>
      </c>
      <c r="C23" s="11" t="s">
        <v>2</v>
      </c>
      <c r="D23" s="11" t="s">
        <v>4</v>
      </c>
      <c r="E23" s="11" t="s">
        <v>5</v>
      </c>
      <c r="F23" s="11" t="s">
        <v>11</v>
      </c>
      <c r="G23" s="11" t="s">
        <v>12</v>
      </c>
      <c r="H23" s="11" t="s">
        <v>13</v>
      </c>
      <c r="I23" s="11" t="s">
        <v>14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</row>
    <row r="24" spans="1:14" x14ac:dyDescent="0.25">
      <c r="A24" s="13" t="s">
        <v>216</v>
      </c>
      <c r="B24" s="13" t="s">
        <v>185</v>
      </c>
      <c r="C24" s="13" t="s">
        <v>71</v>
      </c>
      <c r="D24" s="13">
        <v>1</v>
      </c>
      <c r="E24" s="13" t="s">
        <v>6</v>
      </c>
      <c r="F24" s="16" t="s">
        <v>56</v>
      </c>
      <c r="G24" s="13" t="s">
        <v>20</v>
      </c>
    </row>
    <row r="25" spans="1:14" x14ac:dyDescent="0.25">
      <c r="A25" s="13" t="s">
        <v>53</v>
      </c>
      <c r="B25" s="13" t="s">
        <v>54</v>
      </c>
      <c r="C25" s="13" t="s">
        <v>71</v>
      </c>
      <c r="D25" s="13">
        <v>0.41904761904761911</v>
      </c>
      <c r="E25" s="13" t="s">
        <v>50</v>
      </c>
      <c r="F25" s="13" t="s">
        <v>206</v>
      </c>
      <c r="G25" s="13" t="s">
        <v>21</v>
      </c>
      <c r="J25" s="13" t="s">
        <v>55</v>
      </c>
    </row>
    <row r="26" spans="1:14" x14ac:dyDescent="0.25">
      <c r="A26" s="13" t="s">
        <v>72</v>
      </c>
      <c r="B26" s="13" t="s">
        <v>73</v>
      </c>
      <c r="C26" s="13" t="s">
        <v>28</v>
      </c>
      <c r="D26" s="13">
        <v>0.56899999999999995</v>
      </c>
      <c r="E26" s="13" t="s">
        <v>6</v>
      </c>
      <c r="F26" s="13" t="s">
        <v>206</v>
      </c>
      <c r="G26" s="13" t="s">
        <v>21</v>
      </c>
      <c r="J26" s="13" t="s">
        <v>55</v>
      </c>
    </row>
    <row r="27" spans="1:14" x14ac:dyDescent="0.25">
      <c r="A27" s="13" t="s">
        <v>60</v>
      </c>
      <c r="B27" s="13" t="s">
        <v>61</v>
      </c>
      <c r="C27" s="13" t="s">
        <v>25</v>
      </c>
      <c r="D27" s="13">
        <v>10.053000000000001</v>
      </c>
      <c r="E27" s="13" t="s">
        <v>50</v>
      </c>
      <c r="F27" s="13" t="s">
        <v>206</v>
      </c>
      <c r="G27" s="13" t="s">
        <v>21</v>
      </c>
      <c r="J27" s="13" t="s">
        <v>55</v>
      </c>
    </row>
    <row r="28" spans="1:14" x14ac:dyDescent="0.25">
      <c r="A28" s="13" t="s">
        <v>52</v>
      </c>
      <c r="B28" s="13" t="s">
        <v>27</v>
      </c>
      <c r="C28" s="13" t="s">
        <v>71</v>
      </c>
      <c r="D28" s="13">
        <v>7.2370000000000001</v>
      </c>
      <c r="E28" s="13" t="s">
        <v>29</v>
      </c>
      <c r="F28" s="13" t="s">
        <v>206</v>
      </c>
      <c r="G28" s="13" t="s">
        <v>21</v>
      </c>
      <c r="J28" s="13" t="s">
        <v>55</v>
      </c>
    </row>
    <row r="29" spans="1:14" x14ac:dyDescent="0.25">
      <c r="A29" s="13" t="s">
        <v>69</v>
      </c>
      <c r="B29" s="13" t="s">
        <v>70</v>
      </c>
      <c r="C29" s="13" t="s">
        <v>28</v>
      </c>
      <c r="D29" s="13">
        <v>1.9E-2</v>
      </c>
      <c r="E29" s="13" t="s">
        <v>6</v>
      </c>
      <c r="F29" s="13" t="s">
        <v>206</v>
      </c>
      <c r="G29" s="13" t="s">
        <v>21</v>
      </c>
      <c r="J29" s="13" t="s">
        <v>51</v>
      </c>
    </row>
    <row r="30" spans="1:14" x14ac:dyDescent="0.25">
      <c r="A30" s="13" t="s">
        <v>60</v>
      </c>
      <c r="B30" s="13" t="s">
        <v>61</v>
      </c>
      <c r="C30" s="13" t="s">
        <v>25</v>
      </c>
      <c r="D30" s="13">
        <v>0.13700000000000001</v>
      </c>
      <c r="E30" s="13" t="s">
        <v>50</v>
      </c>
      <c r="F30" s="13" t="s">
        <v>206</v>
      </c>
      <c r="G30" s="13" t="s">
        <v>21</v>
      </c>
      <c r="J30" s="13" t="s">
        <v>55</v>
      </c>
    </row>
    <row r="31" spans="1:14" x14ac:dyDescent="0.25">
      <c r="A31" s="13" t="s">
        <v>52</v>
      </c>
      <c r="B31" s="13" t="s">
        <v>27</v>
      </c>
      <c r="C31" s="13" t="s">
        <v>71</v>
      </c>
      <c r="D31" s="13">
        <v>1.081</v>
      </c>
      <c r="E31" s="13" t="s">
        <v>29</v>
      </c>
      <c r="F31" s="13" t="s">
        <v>206</v>
      </c>
      <c r="G31" s="13" t="s">
        <v>21</v>
      </c>
      <c r="J31" s="13" t="s">
        <v>51</v>
      </c>
    </row>
    <row r="32" spans="1:14" x14ac:dyDescent="0.25">
      <c r="A32" s="13" t="s">
        <v>74</v>
      </c>
      <c r="B32" s="13" t="s">
        <v>75</v>
      </c>
      <c r="C32" s="13" t="s">
        <v>25</v>
      </c>
      <c r="D32" s="13">
        <v>0.01</v>
      </c>
      <c r="E32" s="13" t="s">
        <v>6</v>
      </c>
      <c r="F32" s="13" t="s">
        <v>206</v>
      </c>
      <c r="G32" s="13" t="s">
        <v>21</v>
      </c>
      <c r="J32" s="13" t="s">
        <v>51</v>
      </c>
    </row>
    <row r="33" spans="1:14" x14ac:dyDescent="0.25">
      <c r="A33" s="13" t="s">
        <v>76</v>
      </c>
      <c r="B33" s="13" t="s">
        <v>77</v>
      </c>
      <c r="C33" s="13" t="s">
        <v>28</v>
      </c>
      <c r="D33" s="13">
        <v>2.8E-3</v>
      </c>
      <c r="E33" s="13" t="s">
        <v>6</v>
      </c>
      <c r="F33" s="13" t="s">
        <v>206</v>
      </c>
      <c r="G33" s="13" t="s">
        <v>21</v>
      </c>
      <c r="J33" s="13" t="s">
        <v>51</v>
      </c>
    </row>
    <row r="34" spans="1:14" x14ac:dyDescent="0.25">
      <c r="A34" s="13" t="s">
        <v>78</v>
      </c>
      <c r="B34" s="13" t="s">
        <v>79</v>
      </c>
      <c r="C34" s="13" t="s">
        <v>25</v>
      </c>
      <c r="D34" s="13">
        <v>6.0000000000000001E-3</v>
      </c>
      <c r="E34" s="13" t="s">
        <v>6</v>
      </c>
      <c r="F34" s="13" t="s">
        <v>206</v>
      </c>
      <c r="G34" s="13" t="s">
        <v>21</v>
      </c>
      <c r="J34" s="13" t="s">
        <v>51</v>
      </c>
    </row>
    <row r="35" spans="1:14" s="17" customFormat="1" x14ac:dyDescent="0.25"/>
    <row r="36" spans="1:14" x14ac:dyDescent="0.25">
      <c r="A36" s="11" t="s">
        <v>0</v>
      </c>
      <c r="B36" s="12" t="s">
        <v>217</v>
      </c>
    </row>
    <row r="37" spans="1:14" x14ac:dyDescent="0.25">
      <c r="A37" s="14" t="s">
        <v>1</v>
      </c>
      <c r="B37" s="13" t="s">
        <v>185</v>
      </c>
    </row>
    <row r="38" spans="1:14" x14ac:dyDescent="0.25">
      <c r="A38" s="14" t="s">
        <v>2</v>
      </c>
      <c r="B38" s="13" t="s">
        <v>71</v>
      </c>
    </row>
    <row r="39" spans="1:14" x14ac:dyDescent="0.25">
      <c r="A39" s="14" t="s">
        <v>4</v>
      </c>
      <c r="B39" s="13">
        <v>1</v>
      </c>
    </row>
    <row r="40" spans="1:14" x14ac:dyDescent="0.25">
      <c r="A40" s="14" t="s">
        <v>5</v>
      </c>
      <c r="B40" s="13" t="s">
        <v>6</v>
      </c>
    </row>
    <row r="41" spans="1:14" x14ac:dyDescent="0.25">
      <c r="A41" s="14" t="s">
        <v>7</v>
      </c>
      <c r="B41" s="18" t="s">
        <v>8</v>
      </c>
    </row>
    <row r="42" spans="1:14" x14ac:dyDescent="0.25">
      <c r="A42" s="14" t="s">
        <v>9</v>
      </c>
    </row>
    <row r="43" spans="1:14" x14ac:dyDescent="0.25">
      <c r="A43" s="11" t="s">
        <v>10</v>
      </c>
      <c r="B43" s="11" t="s">
        <v>1</v>
      </c>
      <c r="C43" s="11" t="s">
        <v>2</v>
      </c>
      <c r="D43" s="11" t="s">
        <v>4</v>
      </c>
      <c r="E43" s="11" t="s">
        <v>5</v>
      </c>
      <c r="F43" s="11" t="s">
        <v>11</v>
      </c>
      <c r="G43" s="11" t="s">
        <v>12</v>
      </c>
      <c r="H43" s="11" t="s">
        <v>13</v>
      </c>
      <c r="I43" s="11" t="s">
        <v>14</v>
      </c>
      <c r="J43" s="11" t="s">
        <v>15</v>
      </c>
      <c r="K43" s="11" t="s">
        <v>16</v>
      </c>
      <c r="L43" s="11" t="s">
        <v>17</v>
      </c>
      <c r="M43" s="11" t="s">
        <v>18</v>
      </c>
      <c r="N43" s="11" t="s">
        <v>19</v>
      </c>
    </row>
    <row r="44" spans="1:14" x14ac:dyDescent="0.25">
      <c r="A44" s="13" t="s">
        <v>217</v>
      </c>
      <c r="B44" s="13" t="s">
        <v>185</v>
      </c>
      <c r="C44" s="13" t="s">
        <v>71</v>
      </c>
      <c r="D44" s="13">
        <v>1</v>
      </c>
      <c r="E44" s="13" t="s">
        <v>6</v>
      </c>
      <c r="F44" s="16" t="s">
        <v>56</v>
      </c>
      <c r="G44" s="13" t="s">
        <v>20</v>
      </c>
    </row>
    <row r="45" spans="1:14" x14ac:dyDescent="0.25">
      <c r="A45" s="13" t="s">
        <v>216</v>
      </c>
      <c r="B45" s="13" t="s">
        <v>185</v>
      </c>
      <c r="C45" s="13" t="s">
        <v>71</v>
      </c>
      <c r="D45" s="13">
        <f>1</f>
        <v>1</v>
      </c>
      <c r="E45" s="13" t="s">
        <v>6</v>
      </c>
      <c r="F45" s="16" t="s">
        <v>56</v>
      </c>
      <c r="G45" s="13" t="s">
        <v>21</v>
      </c>
    </row>
    <row r="46" spans="1:14" x14ac:dyDescent="0.25">
      <c r="A46" s="13" t="s">
        <v>369</v>
      </c>
      <c r="B46" s="13" t="s">
        <v>209</v>
      </c>
      <c r="C46" s="13" t="s">
        <v>71</v>
      </c>
      <c r="D46" s="13">
        <f>1</f>
        <v>1</v>
      </c>
      <c r="E46" s="13" t="s">
        <v>6</v>
      </c>
      <c r="F46" s="16" t="s">
        <v>56</v>
      </c>
      <c r="G46" s="13" t="s">
        <v>21</v>
      </c>
    </row>
    <row r="47" spans="1:14" s="17" customFormat="1" x14ac:dyDescent="0.25"/>
    <row r="48" spans="1:14" x14ac:dyDescent="0.25">
      <c r="A48" s="11" t="s">
        <v>0</v>
      </c>
      <c r="B48" s="12" t="s">
        <v>384</v>
      </c>
    </row>
    <row r="49" spans="1:14" x14ac:dyDescent="0.25">
      <c r="A49" s="14" t="s">
        <v>1</v>
      </c>
      <c r="B49" s="13" t="s">
        <v>218</v>
      </c>
    </row>
    <row r="50" spans="1:14" x14ac:dyDescent="0.25">
      <c r="A50" s="14" t="s">
        <v>2</v>
      </c>
      <c r="B50" s="13" t="s">
        <v>71</v>
      </c>
    </row>
    <row r="51" spans="1:14" x14ac:dyDescent="0.25">
      <c r="A51" s="14" t="s">
        <v>4</v>
      </c>
      <c r="B51" s="13">
        <v>1</v>
      </c>
    </row>
    <row r="52" spans="1:14" x14ac:dyDescent="0.25">
      <c r="A52" s="14" t="s">
        <v>5</v>
      </c>
      <c r="B52" s="13" t="s">
        <v>6</v>
      </c>
    </row>
    <row r="53" spans="1:14" x14ac:dyDescent="0.25">
      <c r="A53" s="14" t="s">
        <v>7</v>
      </c>
      <c r="B53" s="18" t="s">
        <v>208</v>
      </c>
    </row>
    <row r="54" spans="1:14" x14ac:dyDescent="0.25">
      <c r="A54" s="14" t="s">
        <v>9</v>
      </c>
    </row>
    <row r="55" spans="1:14" x14ac:dyDescent="0.25">
      <c r="A55" s="11" t="s">
        <v>10</v>
      </c>
      <c r="B55" s="11" t="s">
        <v>1</v>
      </c>
      <c r="C55" s="11" t="s">
        <v>2</v>
      </c>
      <c r="D55" s="11" t="s">
        <v>4</v>
      </c>
      <c r="E55" s="11" t="s">
        <v>5</v>
      </c>
      <c r="F55" s="11" t="s">
        <v>11</v>
      </c>
      <c r="G55" s="11" t="s">
        <v>12</v>
      </c>
      <c r="H55" s="11" t="s">
        <v>13</v>
      </c>
      <c r="I55" s="11" t="s">
        <v>14</v>
      </c>
      <c r="J55" s="11" t="s">
        <v>15</v>
      </c>
      <c r="K55" s="11" t="s">
        <v>16</v>
      </c>
      <c r="L55" s="11" t="s">
        <v>17</v>
      </c>
      <c r="M55" s="11" t="s">
        <v>18</v>
      </c>
      <c r="N55" s="11" t="s">
        <v>19</v>
      </c>
    </row>
    <row r="56" spans="1:14" x14ac:dyDescent="0.25">
      <c r="A56" s="13" t="s">
        <v>384</v>
      </c>
      <c r="B56" s="13" t="s">
        <v>218</v>
      </c>
      <c r="C56" s="13" t="s">
        <v>71</v>
      </c>
      <c r="D56" s="13">
        <v>1</v>
      </c>
      <c r="E56" s="13" t="s">
        <v>6</v>
      </c>
      <c r="F56" s="16" t="s">
        <v>56</v>
      </c>
      <c r="G56" s="13" t="s">
        <v>20</v>
      </c>
    </row>
    <row r="57" spans="1:14" x14ac:dyDescent="0.25">
      <c r="A57" s="13" t="s">
        <v>216</v>
      </c>
      <c r="B57" s="13" t="s">
        <v>185</v>
      </c>
      <c r="C57" s="13" t="s">
        <v>71</v>
      </c>
      <c r="D57" s="13">
        <f>1/(35/100)</f>
        <v>2.8571428571428572</v>
      </c>
      <c r="E57" s="13" t="s">
        <v>6</v>
      </c>
      <c r="F57" s="16" t="s">
        <v>56</v>
      </c>
      <c r="G57" s="13" t="s">
        <v>21</v>
      </c>
    </row>
    <row r="58" spans="1:14" x14ac:dyDescent="0.25">
      <c r="A58" s="13" t="s">
        <v>369</v>
      </c>
      <c r="B58" s="13" t="s">
        <v>209</v>
      </c>
      <c r="C58" s="13" t="s">
        <v>71</v>
      </c>
      <c r="D58" s="13">
        <f>1/(35/100)</f>
        <v>2.8571428571428572</v>
      </c>
      <c r="E58" s="13" t="s">
        <v>6</v>
      </c>
      <c r="F58" s="16" t="s">
        <v>56</v>
      </c>
      <c r="G58" s="13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N54"/>
  <sheetViews>
    <sheetView topLeftCell="A38" zoomScaleNormal="100" workbookViewId="0">
      <selection activeCell="B18" sqref="B18"/>
    </sheetView>
  </sheetViews>
  <sheetFormatPr baseColWidth="10" defaultColWidth="8.7109375" defaultRowHeight="15" x14ac:dyDescent="0.25"/>
  <cols>
    <col min="1" max="1" width="81.28515625" style="13" bestFit="1" customWidth="1"/>
    <col min="2" max="2" width="86.28515625" style="13" customWidth="1"/>
    <col min="3" max="3" width="8.28515625" style="13" bestFit="1" customWidth="1"/>
    <col min="4" max="4" width="12" style="13" bestFit="1" customWidth="1"/>
    <col min="5" max="5" width="12.7109375" style="13" bestFit="1" customWidth="1"/>
    <col min="6" max="6" width="20.28515625" style="13" bestFit="1" customWidth="1"/>
    <col min="7" max="7" width="13.28515625" style="13" bestFit="1" customWidth="1"/>
    <col min="8" max="8" width="25.28515625" style="13" bestFit="1" customWidth="1"/>
    <col min="9" max="9" width="15.5703125" style="13" bestFit="1" customWidth="1"/>
    <col min="10" max="10" width="21.42578125" style="13" bestFit="1" customWidth="1"/>
    <col min="11" max="11" width="3.5703125" style="13" bestFit="1" customWidth="1"/>
    <col min="12" max="12" width="5.42578125" style="13" bestFit="1" customWidth="1"/>
    <col min="13" max="13" width="9.5703125" style="13" bestFit="1" customWidth="1"/>
    <col min="14" max="14" width="9.7109375" style="13" bestFit="1" customWidth="1"/>
    <col min="15" max="16384" width="8.7109375" style="13"/>
  </cols>
  <sheetData>
    <row r="1" spans="1:14" x14ac:dyDescent="0.25">
      <c r="A1" s="11" t="s">
        <v>0</v>
      </c>
      <c r="B1" s="12" t="s">
        <v>370</v>
      </c>
    </row>
    <row r="2" spans="1:14" x14ac:dyDescent="0.25">
      <c r="A2" s="14" t="s">
        <v>1</v>
      </c>
      <c r="B2" s="13" t="s">
        <v>209</v>
      </c>
    </row>
    <row r="3" spans="1:14" x14ac:dyDescent="0.25">
      <c r="A3" s="14" t="s">
        <v>2</v>
      </c>
      <c r="B3" s="13" t="s">
        <v>68</v>
      </c>
    </row>
    <row r="4" spans="1:14" x14ac:dyDescent="0.25">
      <c r="A4" s="14" t="s">
        <v>4</v>
      </c>
      <c r="B4" s="13">
        <v>1</v>
      </c>
    </row>
    <row r="5" spans="1:14" x14ac:dyDescent="0.25">
      <c r="A5" s="14" t="s">
        <v>5</v>
      </c>
      <c r="B5" s="13" t="s">
        <v>6</v>
      </c>
    </row>
    <row r="6" spans="1:14" ht="45" x14ac:dyDescent="0.25">
      <c r="A6" s="14" t="s">
        <v>7</v>
      </c>
      <c r="B6" s="22" t="s">
        <v>400</v>
      </c>
    </row>
    <row r="7" spans="1:14" x14ac:dyDescent="0.25">
      <c r="A7" s="14" t="s">
        <v>9</v>
      </c>
    </row>
    <row r="8" spans="1:14" x14ac:dyDescent="0.25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25">
      <c r="A9" s="13" t="s">
        <v>370</v>
      </c>
      <c r="B9" s="13" t="s">
        <v>209</v>
      </c>
      <c r="C9" s="13" t="s">
        <v>68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25">
      <c r="A10" s="13" t="s">
        <v>34</v>
      </c>
      <c r="B10" s="13" t="s">
        <v>35</v>
      </c>
      <c r="C10" s="13" t="s">
        <v>28</v>
      </c>
      <c r="D10" s="13">
        <v>1.3049999999999999</v>
      </c>
      <c r="E10" s="13" t="s">
        <v>33</v>
      </c>
      <c r="F10" s="13" t="s">
        <v>206</v>
      </c>
      <c r="G10" s="13" t="s">
        <v>21</v>
      </c>
      <c r="J10" s="13" t="s">
        <v>51</v>
      </c>
    </row>
    <row r="11" spans="1:14" x14ac:dyDescent="0.25">
      <c r="A11" s="13" t="s">
        <v>52</v>
      </c>
      <c r="B11" s="13" t="s">
        <v>27</v>
      </c>
      <c r="C11" s="13" t="s">
        <v>68</v>
      </c>
      <c r="D11" s="13">
        <v>0.14599999999999999</v>
      </c>
      <c r="E11" s="13" t="s">
        <v>29</v>
      </c>
      <c r="F11" s="13" t="s">
        <v>206</v>
      </c>
      <c r="G11" s="13" t="s">
        <v>21</v>
      </c>
      <c r="J11" s="13" t="s">
        <v>51</v>
      </c>
    </row>
    <row r="12" spans="1:14" x14ac:dyDescent="0.25">
      <c r="A12" s="13" t="s">
        <v>56</v>
      </c>
      <c r="D12" s="13">
        <v>0.12970892637215531</v>
      </c>
      <c r="E12" s="13" t="s">
        <v>6</v>
      </c>
      <c r="F12" s="13" t="s">
        <v>46</v>
      </c>
      <c r="G12" s="13" t="s">
        <v>47</v>
      </c>
      <c r="H12" s="13" t="s">
        <v>48</v>
      </c>
      <c r="J12" s="13" t="s">
        <v>51</v>
      </c>
    </row>
    <row r="13" spans="1:14" s="21" customFormat="1" x14ac:dyDescent="0.25"/>
    <row r="14" spans="1:14" x14ac:dyDescent="0.25">
      <c r="A14" s="11" t="s">
        <v>0</v>
      </c>
      <c r="B14" s="12" t="s">
        <v>219</v>
      </c>
    </row>
    <row r="15" spans="1:14" x14ac:dyDescent="0.25">
      <c r="A15" s="14" t="s">
        <v>1</v>
      </c>
      <c r="B15" s="13" t="s">
        <v>220</v>
      </c>
    </row>
    <row r="16" spans="1:14" x14ac:dyDescent="0.25">
      <c r="A16" s="14" t="s">
        <v>2</v>
      </c>
      <c r="B16" s="13" t="s">
        <v>68</v>
      </c>
    </row>
    <row r="17" spans="1:14" x14ac:dyDescent="0.25">
      <c r="A17" s="14" t="s">
        <v>4</v>
      </c>
      <c r="B17" s="13">
        <v>1</v>
      </c>
    </row>
    <row r="18" spans="1:14" x14ac:dyDescent="0.25">
      <c r="A18" s="14" t="s">
        <v>5</v>
      </c>
      <c r="B18" s="13" t="s">
        <v>6</v>
      </c>
    </row>
    <row r="19" spans="1:14" x14ac:dyDescent="0.25">
      <c r="A19" s="14" t="s">
        <v>7</v>
      </c>
      <c r="B19" s="13" t="s">
        <v>8</v>
      </c>
    </row>
    <row r="20" spans="1:14" x14ac:dyDescent="0.25">
      <c r="A20" s="14" t="s">
        <v>9</v>
      </c>
    </row>
    <row r="21" spans="1:14" x14ac:dyDescent="0.25">
      <c r="A21" s="11" t="s">
        <v>10</v>
      </c>
      <c r="B21" s="11" t="s">
        <v>1</v>
      </c>
      <c r="C21" s="11" t="s">
        <v>2</v>
      </c>
      <c r="D21" s="11" t="s">
        <v>4</v>
      </c>
      <c r="E21" s="11" t="s">
        <v>5</v>
      </c>
      <c r="F21" s="11" t="s">
        <v>11</v>
      </c>
      <c r="G21" s="11" t="s">
        <v>12</v>
      </c>
      <c r="H21" s="11" t="s">
        <v>13</v>
      </c>
      <c r="I21" s="11" t="s">
        <v>14</v>
      </c>
      <c r="J21" s="11" t="s">
        <v>15</v>
      </c>
      <c r="K21" s="11" t="s">
        <v>16</v>
      </c>
      <c r="L21" s="11" t="s">
        <v>17</v>
      </c>
      <c r="M21" s="11" t="s">
        <v>18</v>
      </c>
      <c r="N21" s="11" t="s">
        <v>19</v>
      </c>
    </row>
    <row r="22" spans="1:14" x14ac:dyDescent="0.25">
      <c r="A22" s="13" t="s">
        <v>219</v>
      </c>
      <c r="B22" s="13" t="s">
        <v>220</v>
      </c>
      <c r="C22" s="13" t="s">
        <v>68</v>
      </c>
      <c r="D22" s="13">
        <v>1</v>
      </c>
      <c r="E22" s="13" t="s">
        <v>6</v>
      </c>
      <c r="F22" s="16" t="s">
        <v>56</v>
      </c>
      <c r="G22" s="13" t="s">
        <v>20</v>
      </c>
    </row>
    <row r="23" spans="1:14" x14ac:dyDescent="0.25">
      <c r="A23" s="13" t="s">
        <v>58</v>
      </c>
      <c r="B23" s="13" t="s">
        <v>59</v>
      </c>
      <c r="C23" s="13" t="s">
        <v>68</v>
      </c>
      <c r="D23" s="13">
        <v>0.60299999999999998</v>
      </c>
      <c r="E23" s="13" t="s">
        <v>6</v>
      </c>
      <c r="F23" s="13" t="s">
        <v>206</v>
      </c>
      <c r="G23" s="13" t="s">
        <v>21</v>
      </c>
      <c r="J23" s="13" t="s">
        <v>55</v>
      </c>
    </row>
    <row r="24" spans="1:14" x14ac:dyDescent="0.25">
      <c r="A24" s="13" t="s">
        <v>52</v>
      </c>
      <c r="B24" s="13" t="s">
        <v>27</v>
      </c>
      <c r="C24" s="13" t="s">
        <v>68</v>
      </c>
      <c r="D24" s="13">
        <v>0.104</v>
      </c>
      <c r="E24" s="13" t="s">
        <v>29</v>
      </c>
      <c r="F24" s="13" t="s">
        <v>206</v>
      </c>
      <c r="G24" s="13" t="s">
        <v>21</v>
      </c>
      <c r="J24" s="13" t="s">
        <v>51</v>
      </c>
    </row>
    <row r="25" spans="1:14" x14ac:dyDescent="0.25">
      <c r="A25" s="13" t="s">
        <v>60</v>
      </c>
      <c r="B25" s="13" t="s">
        <v>61</v>
      </c>
      <c r="C25" s="13" t="s">
        <v>25</v>
      </c>
      <c r="D25" s="13">
        <v>3.7480000000000002</v>
      </c>
      <c r="E25" s="13" t="s">
        <v>50</v>
      </c>
      <c r="F25" s="13" t="s">
        <v>206</v>
      </c>
      <c r="G25" s="13" t="s">
        <v>21</v>
      </c>
      <c r="J25" s="13" t="s">
        <v>55</v>
      </c>
    </row>
    <row r="26" spans="1:14" x14ac:dyDescent="0.25">
      <c r="A26" s="13" t="s">
        <v>74</v>
      </c>
      <c r="B26" s="13" t="s">
        <v>75</v>
      </c>
      <c r="C26" s="13" t="s">
        <v>25</v>
      </c>
      <c r="D26" s="13">
        <v>2.7E-2</v>
      </c>
      <c r="E26" s="13" t="s">
        <v>6</v>
      </c>
      <c r="F26" s="13" t="s">
        <v>206</v>
      </c>
      <c r="G26" s="13" t="s">
        <v>21</v>
      </c>
      <c r="J26" s="13" t="s">
        <v>55</v>
      </c>
    </row>
    <row r="27" spans="1:14" x14ac:dyDescent="0.25">
      <c r="A27" s="13" t="s">
        <v>64</v>
      </c>
      <c r="B27" s="13" t="s">
        <v>65</v>
      </c>
      <c r="C27" s="13" t="s">
        <v>25</v>
      </c>
      <c r="D27" s="13">
        <v>35.435400000000001</v>
      </c>
      <c r="E27" s="13" t="s">
        <v>33</v>
      </c>
      <c r="F27" s="13" t="s">
        <v>206</v>
      </c>
      <c r="G27" s="13" t="s">
        <v>21</v>
      </c>
      <c r="J27" s="13" t="s">
        <v>55</v>
      </c>
    </row>
    <row r="28" spans="1:14" x14ac:dyDescent="0.25">
      <c r="A28" s="13" t="s">
        <v>60</v>
      </c>
      <c r="B28" s="13" t="s">
        <v>61</v>
      </c>
      <c r="C28" s="13" t="s">
        <v>25</v>
      </c>
      <c r="D28" s="13">
        <v>4.6189999999999998</v>
      </c>
      <c r="E28" s="13" t="s">
        <v>50</v>
      </c>
      <c r="F28" s="13" t="s">
        <v>206</v>
      </c>
      <c r="G28" s="13" t="s">
        <v>21</v>
      </c>
      <c r="J28" s="13" t="s">
        <v>55</v>
      </c>
    </row>
    <row r="29" spans="1:14" x14ac:dyDescent="0.25">
      <c r="A29" s="13" t="s">
        <v>60</v>
      </c>
      <c r="B29" s="13" t="s">
        <v>61</v>
      </c>
      <c r="C29" s="13" t="s">
        <v>25</v>
      </c>
      <c r="D29" s="13">
        <v>0.182</v>
      </c>
      <c r="E29" s="13" t="s">
        <v>50</v>
      </c>
      <c r="F29" s="13" t="s">
        <v>206</v>
      </c>
      <c r="G29" s="13" t="s">
        <v>21</v>
      </c>
      <c r="J29" s="13" t="s">
        <v>55</v>
      </c>
    </row>
    <row r="30" spans="1:14" x14ac:dyDescent="0.25">
      <c r="A30" s="13" t="s">
        <v>74</v>
      </c>
      <c r="B30" s="13" t="s">
        <v>75</v>
      </c>
      <c r="C30" s="13" t="s">
        <v>25</v>
      </c>
      <c r="D30" s="13">
        <v>0.33500000000000002</v>
      </c>
      <c r="E30" s="13" t="s">
        <v>6</v>
      </c>
      <c r="F30" s="13" t="s">
        <v>206</v>
      </c>
      <c r="G30" s="13" t="s">
        <v>21</v>
      </c>
      <c r="J30" s="13" t="s">
        <v>55</v>
      </c>
    </row>
    <row r="31" spans="1:14" s="17" customFormat="1" x14ac:dyDescent="0.25"/>
    <row r="32" spans="1:14" x14ac:dyDescent="0.25">
      <c r="A32" s="11" t="s">
        <v>0</v>
      </c>
      <c r="B32" s="12" t="s">
        <v>221</v>
      </c>
    </row>
    <row r="33" spans="1:14" x14ac:dyDescent="0.25">
      <c r="A33" s="14" t="s">
        <v>1</v>
      </c>
      <c r="B33" s="13" t="s">
        <v>220</v>
      </c>
    </row>
    <row r="34" spans="1:14" x14ac:dyDescent="0.25">
      <c r="A34" s="14" t="s">
        <v>2</v>
      </c>
      <c r="B34" s="13" t="s">
        <v>68</v>
      </c>
    </row>
    <row r="35" spans="1:14" x14ac:dyDescent="0.25">
      <c r="A35" s="14" t="s">
        <v>4</v>
      </c>
      <c r="B35" s="13">
        <v>1</v>
      </c>
    </row>
    <row r="36" spans="1:14" x14ac:dyDescent="0.25">
      <c r="A36" s="14" t="s">
        <v>5</v>
      </c>
      <c r="B36" s="13" t="s">
        <v>6</v>
      </c>
    </row>
    <row r="37" spans="1:14" x14ac:dyDescent="0.25">
      <c r="A37" s="14" t="s">
        <v>7</v>
      </c>
      <c r="B37" s="18" t="s">
        <v>8</v>
      </c>
    </row>
    <row r="38" spans="1:14" x14ac:dyDescent="0.25">
      <c r="A38" s="14" t="s">
        <v>9</v>
      </c>
    </row>
    <row r="39" spans="1:14" x14ac:dyDescent="0.25">
      <c r="A39" s="11" t="s">
        <v>10</v>
      </c>
      <c r="B39" s="11" t="s">
        <v>1</v>
      </c>
      <c r="C39" s="11" t="s">
        <v>2</v>
      </c>
      <c r="D39" s="11" t="s">
        <v>4</v>
      </c>
      <c r="E39" s="11" t="s">
        <v>5</v>
      </c>
      <c r="F39" s="11" t="s">
        <v>11</v>
      </c>
      <c r="G39" s="11" t="s">
        <v>12</v>
      </c>
      <c r="H39" s="11" t="s">
        <v>13</v>
      </c>
      <c r="I39" s="11" t="s">
        <v>14</v>
      </c>
      <c r="J39" s="11" t="s">
        <v>15</v>
      </c>
      <c r="K39" s="11" t="s">
        <v>16</v>
      </c>
      <c r="L39" s="11" t="s">
        <v>17</v>
      </c>
      <c r="M39" s="11" t="s">
        <v>18</v>
      </c>
      <c r="N39" s="11" t="s">
        <v>19</v>
      </c>
    </row>
    <row r="40" spans="1:14" x14ac:dyDescent="0.25">
      <c r="A40" s="13" t="s">
        <v>221</v>
      </c>
      <c r="B40" s="13" t="s">
        <v>220</v>
      </c>
      <c r="C40" s="13" t="s">
        <v>68</v>
      </c>
      <c r="D40" s="13">
        <v>1</v>
      </c>
      <c r="E40" s="13" t="s">
        <v>6</v>
      </c>
      <c r="F40" s="16" t="s">
        <v>56</v>
      </c>
      <c r="G40" s="13" t="s">
        <v>20</v>
      </c>
    </row>
    <row r="41" spans="1:14" x14ac:dyDescent="0.25">
      <c r="A41" s="13" t="s">
        <v>219</v>
      </c>
      <c r="B41" s="13" t="s">
        <v>220</v>
      </c>
      <c r="C41" s="13" t="s">
        <v>68</v>
      </c>
      <c r="D41" s="13">
        <f>1</f>
        <v>1</v>
      </c>
      <c r="E41" s="13" t="s">
        <v>6</v>
      </c>
      <c r="F41" s="16" t="s">
        <v>56</v>
      </c>
      <c r="G41" s="13" t="s">
        <v>21</v>
      </c>
    </row>
    <row r="42" spans="1:14" x14ac:dyDescent="0.25">
      <c r="A42" s="13" t="s">
        <v>370</v>
      </c>
      <c r="B42" s="13" t="s">
        <v>209</v>
      </c>
      <c r="C42" s="13" t="s">
        <v>68</v>
      </c>
      <c r="D42" s="13">
        <f>1</f>
        <v>1</v>
      </c>
      <c r="E42" s="13" t="s">
        <v>6</v>
      </c>
      <c r="F42" s="16" t="s">
        <v>56</v>
      </c>
      <c r="G42" s="13" t="s">
        <v>21</v>
      </c>
    </row>
    <row r="43" spans="1:14" s="17" customFormat="1" x14ac:dyDescent="0.25"/>
    <row r="44" spans="1:14" x14ac:dyDescent="0.25">
      <c r="A44" s="11" t="s">
        <v>0</v>
      </c>
      <c r="B44" s="12" t="s">
        <v>383</v>
      </c>
    </row>
    <row r="45" spans="1:14" x14ac:dyDescent="0.25">
      <c r="A45" s="14" t="s">
        <v>1</v>
      </c>
      <c r="B45" s="13" t="s">
        <v>222</v>
      </c>
    </row>
    <row r="46" spans="1:14" x14ac:dyDescent="0.25">
      <c r="A46" s="14" t="s">
        <v>2</v>
      </c>
      <c r="B46" s="13" t="s">
        <v>68</v>
      </c>
    </row>
    <row r="47" spans="1:14" x14ac:dyDescent="0.25">
      <c r="A47" s="14" t="s">
        <v>4</v>
      </c>
      <c r="B47" s="13">
        <v>1</v>
      </c>
    </row>
    <row r="48" spans="1:14" x14ac:dyDescent="0.25">
      <c r="A48" s="14" t="s">
        <v>5</v>
      </c>
      <c r="B48" s="13" t="s">
        <v>6</v>
      </c>
    </row>
    <row r="49" spans="1:14" x14ac:dyDescent="0.25">
      <c r="A49" s="14" t="s">
        <v>7</v>
      </c>
      <c r="B49" s="18" t="s">
        <v>208</v>
      </c>
    </row>
    <row r="50" spans="1:14" x14ac:dyDescent="0.25">
      <c r="A50" s="14" t="s">
        <v>9</v>
      </c>
    </row>
    <row r="51" spans="1:14" x14ac:dyDescent="0.25">
      <c r="A51" s="11" t="s">
        <v>10</v>
      </c>
      <c r="B51" s="11" t="s">
        <v>1</v>
      </c>
      <c r="C51" s="11" t="s">
        <v>2</v>
      </c>
      <c r="D51" s="11" t="s">
        <v>4</v>
      </c>
      <c r="E51" s="11" t="s">
        <v>5</v>
      </c>
      <c r="F51" s="11" t="s">
        <v>11</v>
      </c>
      <c r="G51" s="11" t="s">
        <v>12</v>
      </c>
      <c r="H51" s="11" t="s">
        <v>13</v>
      </c>
      <c r="I51" s="11" t="s">
        <v>14</v>
      </c>
      <c r="J51" s="11" t="s">
        <v>15</v>
      </c>
      <c r="K51" s="11" t="s">
        <v>16</v>
      </c>
      <c r="L51" s="11" t="s">
        <v>17</v>
      </c>
      <c r="M51" s="11" t="s">
        <v>18</v>
      </c>
      <c r="N51" s="11" t="s">
        <v>19</v>
      </c>
    </row>
    <row r="52" spans="1:14" x14ac:dyDescent="0.25">
      <c r="A52" s="13" t="s">
        <v>383</v>
      </c>
      <c r="B52" s="13" t="s">
        <v>222</v>
      </c>
      <c r="C52" s="13" t="s">
        <v>68</v>
      </c>
      <c r="D52" s="13">
        <v>1</v>
      </c>
      <c r="E52" s="13" t="s">
        <v>6</v>
      </c>
      <c r="F52" s="16" t="s">
        <v>56</v>
      </c>
      <c r="G52" s="13" t="s">
        <v>20</v>
      </c>
    </row>
    <row r="53" spans="1:14" x14ac:dyDescent="0.25">
      <c r="A53" s="13" t="s">
        <v>219</v>
      </c>
      <c r="B53" s="13" t="s">
        <v>220</v>
      </c>
      <c r="C53" s="13" t="s">
        <v>68</v>
      </c>
      <c r="D53" s="13">
        <f>1/(10/100)</f>
        <v>10</v>
      </c>
      <c r="E53" s="13" t="s">
        <v>6</v>
      </c>
      <c r="F53" s="16" t="s">
        <v>56</v>
      </c>
      <c r="G53" s="13" t="s">
        <v>21</v>
      </c>
    </row>
    <row r="54" spans="1:14" x14ac:dyDescent="0.25">
      <c r="A54" s="13" t="s">
        <v>370</v>
      </c>
      <c r="B54" s="13" t="s">
        <v>209</v>
      </c>
      <c r="C54" s="13" t="s">
        <v>68</v>
      </c>
      <c r="D54" s="13">
        <f>1/(10/100)</f>
        <v>10</v>
      </c>
      <c r="E54" s="13" t="s">
        <v>6</v>
      </c>
      <c r="F54" s="16" t="s">
        <v>56</v>
      </c>
      <c r="G54" s="13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696E-5B69-4406-BC08-462C2481FA98}">
  <sheetPr>
    <tabColor theme="8" tint="0.39997558519241921"/>
  </sheetPr>
  <dimension ref="A1:N152"/>
  <sheetViews>
    <sheetView topLeftCell="A129" workbookViewId="0">
      <selection activeCell="B152" sqref="B152"/>
    </sheetView>
  </sheetViews>
  <sheetFormatPr baseColWidth="10" defaultColWidth="8.7109375" defaultRowHeight="15" x14ac:dyDescent="0.25"/>
  <cols>
    <col min="1" max="1" width="74.42578125" style="13" bestFit="1" customWidth="1"/>
    <col min="2" max="2" width="75" style="13" bestFit="1" customWidth="1"/>
    <col min="3" max="3" width="8.28515625" style="13" bestFit="1" customWidth="1"/>
    <col min="4" max="4" width="11" style="13" bestFit="1" customWidth="1"/>
    <col min="5" max="5" width="17.5703125" style="13" bestFit="1" customWidth="1"/>
    <col min="6" max="6" width="20.28515625" style="13" bestFit="1" customWidth="1"/>
    <col min="7" max="7" width="13.28515625" style="13" bestFit="1" customWidth="1"/>
    <col min="8" max="8" width="25.28515625" style="13" bestFit="1" customWidth="1"/>
    <col min="9" max="9" width="15.5703125" style="13" bestFit="1" customWidth="1"/>
    <col min="10" max="10" width="9.7109375" style="13" bestFit="1" customWidth="1"/>
    <col min="11" max="11" width="3.5703125" style="13" bestFit="1" customWidth="1"/>
    <col min="12" max="12" width="5.42578125" style="13" bestFit="1" customWidth="1"/>
    <col min="13" max="13" width="9.5703125" style="13" bestFit="1" customWidth="1"/>
    <col min="14" max="14" width="9.7109375" style="13" bestFit="1" customWidth="1"/>
    <col min="15" max="16384" width="8.7109375" style="13"/>
  </cols>
  <sheetData>
    <row r="1" spans="1:14" x14ac:dyDescent="0.25">
      <c r="A1" s="11" t="s">
        <v>0</v>
      </c>
      <c r="B1" s="12" t="s">
        <v>371</v>
      </c>
    </row>
    <row r="2" spans="1:14" x14ac:dyDescent="0.25">
      <c r="A2" s="14" t="s">
        <v>1</v>
      </c>
      <c r="B2" s="13" t="s">
        <v>209</v>
      </c>
    </row>
    <row r="3" spans="1:14" x14ac:dyDescent="0.25">
      <c r="A3" s="14" t="s">
        <v>2</v>
      </c>
      <c r="B3" s="13" t="s">
        <v>80</v>
      </c>
    </row>
    <row r="4" spans="1:14" x14ac:dyDescent="0.25">
      <c r="A4" s="14" t="s">
        <v>4</v>
      </c>
      <c r="B4" s="13">
        <v>1</v>
      </c>
    </row>
    <row r="5" spans="1:14" x14ac:dyDescent="0.25">
      <c r="A5" s="14" t="s">
        <v>5</v>
      </c>
      <c r="B5" s="13" t="s">
        <v>6</v>
      </c>
    </row>
    <row r="6" spans="1:14" ht="45" x14ac:dyDescent="0.25">
      <c r="A6" s="14" t="s">
        <v>7</v>
      </c>
      <c r="B6" s="22" t="s">
        <v>401</v>
      </c>
    </row>
    <row r="7" spans="1:14" x14ac:dyDescent="0.25">
      <c r="A7" s="14" t="s">
        <v>9</v>
      </c>
    </row>
    <row r="8" spans="1:14" x14ac:dyDescent="0.25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25">
      <c r="A9" s="13" t="s">
        <v>371</v>
      </c>
      <c r="B9" s="13" t="s">
        <v>209</v>
      </c>
      <c r="C9" s="13" t="s">
        <v>80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25">
      <c r="A10" s="13" t="s">
        <v>140</v>
      </c>
      <c r="B10" s="13" t="s">
        <v>141</v>
      </c>
      <c r="C10" s="13" t="s">
        <v>28</v>
      </c>
      <c r="D10" s="13">
        <v>4.2049999999999997E-2</v>
      </c>
      <c r="E10" s="13" t="s">
        <v>6</v>
      </c>
      <c r="F10" s="13" t="s">
        <v>206</v>
      </c>
      <c r="G10" s="13" t="s">
        <v>21</v>
      </c>
      <c r="J10" s="13" t="s">
        <v>81</v>
      </c>
    </row>
    <row r="11" spans="1:14" x14ac:dyDescent="0.25">
      <c r="A11" s="13" t="s">
        <v>100</v>
      </c>
      <c r="B11" s="13" t="s">
        <v>101</v>
      </c>
      <c r="C11" s="13" t="s">
        <v>28</v>
      </c>
      <c r="D11" s="13">
        <v>5.7970000000000002E-5</v>
      </c>
      <c r="E11" s="13" t="s">
        <v>6</v>
      </c>
      <c r="F11" s="13" t="s">
        <v>206</v>
      </c>
      <c r="G11" s="13" t="s">
        <v>21</v>
      </c>
      <c r="J11" s="13" t="s">
        <v>81</v>
      </c>
    </row>
    <row r="12" spans="1:14" x14ac:dyDescent="0.25">
      <c r="A12" s="13" t="s">
        <v>142</v>
      </c>
      <c r="B12" s="13" t="s">
        <v>143</v>
      </c>
      <c r="C12" s="13" t="s">
        <v>28</v>
      </c>
      <c r="D12" s="13">
        <v>4.7790000000000003E-6</v>
      </c>
      <c r="E12" s="13" t="s">
        <v>6</v>
      </c>
      <c r="F12" s="13" t="s">
        <v>206</v>
      </c>
      <c r="G12" s="13" t="s">
        <v>21</v>
      </c>
      <c r="J12" s="13" t="s">
        <v>81</v>
      </c>
    </row>
    <row r="13" spans="1:14" x14ac:dyDescent="0.25">
      <c r="A13" s="13" t="s">
        <v>144</v>
      </c>
      <c r="B13" s="13" t="s">
        <v>145</v>
      </c>
      <c r="C13" s="13" t="s">
        <v>28</v>
      </c>
      <c r="D13" s="13">
        <v>0.11244</v>
      </c>
      <c r="E13" s="13" t="s">
        <v>6</v>
      </c>
      <c r="F13" s="13" t="s">
        <v>206</v>
      </c>
      <c r="G13" s="13" t="s">
        <v>21</v>
      </c>
      <c r="J13" s="13" t="s">
        <v>81</v>
      </c>
    </row>
    <row r="14" spans="1:14" x14ac:dyDescent="0.25">
      <c r="A14" s="13" t="s">
        <v>146</v>
      </c>
      <c r="B14" s="13" t="s">
        <v>147</v>
      </c>
      <c r="C14" s="13" t="s">
        <v>28</v>
      </c>
      <c r="D14" s="13">
        <v>9.1000000000000003E-5</v>
      </c>
      <c r="E14" s="13" t="s">
        <v>6</v>
      </c>
      <c r="F14" s="13" t="s">
        <v>206</v>
      </c>
      <c r="G14" s="13" t="s">
        <v>21</v>
      </c>
      <c r="J14" s="13" t="s">
        <v>81</v>
      </c>
    </row>
    <row r="15" spans="1:14" x14ac:dyDescent="0.25">
      <c r="A15" s="13" t="s">
        <v>148</v>
      </c>
      <c r="B15" s="13" t="s">
        <v>149</v>
      </c>
      <c r="C15" s="13" t="s">
        <v>25</v>
      </c>
      <c r="D15" s="13">
        <v>2.4700000000000002</v>
      </c>
      <c r="E15" s="13" t="s">
        <v>6</v>
      </c>
      <c r="F15" s="13" t="s">
        <v>206</v>
      </c>
      <c r="G15" s="13" t="s">
        <v>21</v>
      </c>
      <c r="J15" s="13" t="s">
        <v>81</v>
      </c>
    </row>
    <row r="16" spans="1:14" x14ac:dyDescent="0.25">
      <c r="A16" s="13" t="s">
        <v>150</v>
      </c>
      <c r="B16" s="13" t="s">
        <v>151</v>
      </c>
      <c r="C16" s="13" t="s">
        <v>25</v>
      </c>
      <c r="D16" s="13">
        <v>2.8999999999999998E-3</v>
      </c>
      <c r="E16" s="13" t="s">
        <v>6</v>
      </c>
      <c r="F16" s="13" t="s">
        <v>206</v>
      </c>
      <c r="G16" s="13" t="s">
        <v>21</v>
      </c>
      <c r="J16" s="13" t="s">
        <v>81</v>
      </c>
    </row>
    <row r="17" spans="1:10" x14ac:dyDescent="0.25">
      <c r="A17" s="13" t="s">
        <v>85</v>
      </c>
      <c r="B17" s="13" t="s">
        <v>86</v>
      </c>
      <c r="C17" s="13" t="s">
        <v>28</v>
      </c>
      <c r="D17" s="13">
        <v>2.2190000000000001E-2</v>
      </c>
      <c r="E17" s="13" t="s">
        <v>6</v>
      </c>
      <c r="F17" s="13" t="s">
        <v>206</v>
      </c>
      <c r="G17" s="13" t="s">
        <v>21</v>
      </c>
      <c r="J17" s="13" t="s">
        <v>81</v>
      </c>
    </row>
    <row r="18" spans="1:10" x14ac:dyDescent="0.25">
      <c r="A18" s="13" t="s">
        <v>152</v>
      </c>
      <c r="B18" s="13" t="s">
        <v>153</v>
      </c>
      <c r="C18" s="13" t="s">
        <v>28</v>
      </c>
      <c r="D18" s="13">
        <v>1.0869999999999999E-2</v>
      </c>
      <c r="E18" s="13" t="s">
        <v>6</v>
      </c>
      <c r="F18" s="13" t="s">
        <v>206</v>
      </c>
      <c r="G18" s="13" t="s">
        <v>21</v>
      </c>
      <c r="J18" s="13" t="s">
        <v>81</v>
      </c>
    </row>
    <row r="19" spans="1:10" x14ac:dyDescent="0.25">
      <c r="A19" s="13" t="s">
        <v>154</v>
      </c>
      <c r="B19" s="13" t="s">
        <v>155</v>
      </c>
      <c r="C19" s="13" t="s">
        <v>28</v>
      </c>
      <c r="D19" s="13">
        <v>1.8120000000000001E-2</v>
      </c>
      <c r="E19" s="13" t="s">
        <v>6</v>
      </c>
      <c r="F19" s="13" t="s">
        <v>206</v>
      </c>
      <c r="G19" s="13" t="s">
        <v>21</v>
      </c>
      <c r="J19" s="13" t="s">
        <v>81</v>
      </c>
    </row>
    <row r="20" spans="1:10" x14ac:dyDescent="0.25">
      <c r="A20" s="13" t="s">
        <v>98</v>
      </c>
      <c r="B20" s="13" t="s">
        <v>99</v>
      </c>
      <c r="C20" s="13" t="s">
        <v>80</v>
      </c>
      <c r="D20" s="13">
        <v>1.585E-2</v>
      </c>
      <c r="E20" s="13" t="s">
        <v>6</v>
      </c>
      <c r="F20" s="13" t="s">
        <v>206</v>
      </c>
      <c r="G20" s="13" t="s">
        <v>21</v>
      </c>
      <c r="J20" s="13" t="s">
        <v>81</v>
      </c>
    </row>
    <row r="21" spans="1:10" x14ac:dyDescent="0.25">
      <c r="A21" s="13" t="s">
        <v>156</v>
      </c>
      <c r="B21" s="13" t="s">
        <v>157</v>
      </c>
      <c r="C21" s="13" t="s">
        <v>28</v>
      </c>
      <c r="D21" s="13">
        <v>1.2999999999999999E-4</v>
      </c>
      <c r="E21" s="13" t="s">
        <v>158</v>
      </c>
      <c r="F21" s="13" t="s">
        <v>206</v>
      </c>
      <c r="G21" s="13" t="s">
        <v>21</v>
      </c>
      <c r="J21" s="13" t="s">
        <v>81</v>
      </c>
    </row>
    <row r="22" spans="1:10" x14ac:dyDescent="0.25">
      <c r="A22" s="13" t="s">
        <v>74</v>
      </c>
      <c r="B22" s="13" t="s">
        <v>75</v>
      </c>
      <c r="C22" s="13" t="s">
        <v>25</v>
      </c>
      <c r="D22" s="13">
        <v>5.5370000000000003E-2</v>
      </c>
      <c r="E22" s="13" t="s">
        <v>6</v>
      </c>
      <c r="F22" s="13" t="s">
        <v>206</v>
      </c>
      <c r="G22" s="13" t="s">
        <v>21</v>
      </c>
      <c r="J22" s="13" t="s">
        <v>81</v>
      </c>
    </row>
    <row r="23" spans="1:10" x14ac:dyDescent="0.25">
      <c r="A23" s="13" t="s">
        <v>36</v>
      </c>
      <c r="B23" s="13" t="s">
        <v>37</v>
      </c>
      <c r="C23" s="13" t="s">
        <v>25</v>
      </c>
      <c r="D23" s="13">
        <v>1.39</v>
      </c>
      <c r="E23" s="13" t="s">
        <v>38</v>
      </c>
      <c r="F23" s="13" t="s">
        <v>206</v>
      </c>
      <c r="G23" s="13" t="s">
        <v>21</v>
      </c>
      <c r="J23" s="13" t="s">
        <v>81</v>
      </c>
    </row>
    <row r="24" spans="1:10" x14ac:dyDescent="0.25">
      <c r="A24" s="13" t="s">
        <v>26</v>
      </c>
      <c r="B24" s="13" t="s">
        <v>27</v>
      </c>
      <c r="C24" s="13" t="s">
        <v>80</v>
      </c>
      <c r="D24" s="13">
        <v>4.16</v>
      </c>
      <c r="E24" s="13" t="s">
        <v>29</v>
      </c>
      <c r="F24" s="13" t="s">
        <v>206</v>
      </c>
      <c r="G24" s="13" t="s">
        <v>21</v>
      </c>
      <c r="J24" s="13" t="s">
        <v>81</v>
      </c>
    </row>
    <row r="25" spans="1:10" x14ac:dyDescent="0.25">
      <c r="A25" s="13" t="s">
        <v>159</v>
      </c>
      <c r="B25" s="13" t="s">
        <v>160</v>
      </c>
      <c r="C25" s="13" t="s">
        <v>28</v>
      </c>
      <c r="D25" s="13">
        <v>1.6100000000000001E-3</v>
      </c>
      <c r="E25" s="13" t="s">
        <v>6</v>
      </c>
      <c r="F25" s="13" t="s">
        <v>206</v>
      </c>
      <c r="G25" s="13" t="s">
        <v>21</v>
      </c>
      <c r="J25" s="13" t="s">
        <v>81</v>
      </c>
    </row>
    <row r="26" spans="1:10" x14ac:dyDescent="0.25">
      <c r="A26" s="13" t="s">
        <v>161</v>
      </c>
      <c r="B26" s="13" t="s">
        <v>162</v>
      </c>
      <c r="C26" s="13" t="s">
        <v>25</v>
      </c>
      <c r="D26" s="13">
        <v>1.6100000000000001E-3</v>
      </c>
      <c r="E26" s="13" t="s">
        <v>6</v>
      </c>
      <c r="F26" s="13" t="s">
        <v>206</v>
      </c>
      <c r="G26" s="13" t="s">
        <v>21</v>
      </c>
      <c r="J26" s="13" t="s">
        <v>81</v>
      </c>
    </row>
    <row r="27" spans="1:10" x14ac:dyDescent="0.25">
      <c r="A27" s="13" t="s">
        <v>58</v>
      </c>
      <c r="B27" s="13" t="s">
        <v>59</v>
      </c>
      <c r="C27" s="13" t="s">
        <v>80</v>
      </c>
      <c r="D27" s="13">
        <v>0.5</v>
      </c>
      <c r="E27" s="13" t="s">
        <v>6</v>
      </c>
      <c r="F27" s="13" t="s">
        <v>206</v>
      </c>
      <c r="G27" s="13" t="s">
        <v>21</v>
      </c>
      <c r="J27" s="13" t="s">
        <v>81</v>
      </c>
    </row>
    <row r="28" spans="1:10" x14ac:dyDescent="0.25">
      <c r="A28" s="13" t="s">
        <v>106</v>
      </c>
      <c r="B28" s="13" t="s">
        <v>107</v>
      </c>
      <c r="C28" s="13" t="s">
        <v>25</v>
      </c>
      <c r="D28" s="13">
        <v>-1.3350000000000001E-2</v>
      </c>
      <c r="E28" s="13" t="s">
        <v>6</v>
      </c>
      <c r="F28" s="13" t="s">
        <v>206</v>
      </c>
      <c r="G28" s="13" t="s">
        <v>21</v>
      </c>
      <c r="J28" s="13" t="s">
        <v>81</v>
      </c>
    </row>
    <row r="29" spans="1:10" x14ac:dyDescent="0.25">
      <c r="A29" s="13" t="s">
        <v>104</v>
      </c>
      <c r="B29" s="13" t="s">
        <v>105</v>
      </c>
      <c r="C29" s="13" t="s">
        <v>25</v>
      </c>
      <c r="D29" s="13">
        <v>-0.24875</v>
      </c>
      <c r="E29" s="13" t="s">
        <v>50</v>
      </c>
      <c r="F29" s="13" t="s">
        <v>206</v>
      </c>
      <c r="G29" s="13" t="s">
        <v>21</v>
      </c>
      <c r="J29" s="13" t="s">
        <v>81</v>
      </c>
    </row>
    <row r="30" spans="1:10" x14ac:dyDescent="0.25">
      <c r="A30" s="13" t="s">
        <v>108</v>
      </c>
      <c r="B30" s="13" t="s">
        <v>109</v>
      </c>
      <c r="C30" s="13" t="s">
        <v>25</v>
      </c>
      <c r="D30" s="13">
        <v>-1.01E-3</v>
      </c>
      <c r="E30" s="13" t="s">
        <v>6</v>
      </c>
      <c r="F30" s="13" t="s">
        <v>206</v>
      </c>
      <c r="G30" s="13" t="s">
        <v>21</v>
      </c>
      <c r="J30" s="13" t="s">
        <v>81</v>
      </c>
    </row>
    <row r="31" spans="1:10" x14ac:dyDescent="0.25">
      <c r="A31" s="13" t="s">
        <v>163</v>
      </c>
      <c r="D31" s="13">
        <v>8.9999999999999992E-5</v>
      </c>
      <c r="E31" s="13" t="s">
        <v>50</v>
      </c>
      <c r="F31" s="13" t="s">
        <v>46</v>
      </c>
      <c r="G31" s="13" t="s">
        <v>47</v>
      </c>
      <c r="H31" s="13" t="s">
        <v>164</v>
      </c>
      <c r="J31" s="13" t="s">
        <v>81</v>
      </c>
    </row>
    <row r="32" spans="1:10" x14ac:dyDescent="0.25">
      <c r="A32" s="13" t="s">
        <v>49</v>
      </c>
      <c r="D32" s="13">
        <v>7.9060000000000005E-2</v>
      </c>
      <c r="E32" s="13" t="s">
        <v>50</v>
      </c>
      <c r="F32" s="13" t="s">
        <v>46</v>
      </c>
      <c r="G32" s="13" t="s">
        <v>47</v>
      </c>
      <c r="H32" s="13" t="s">
        <v>48</v>
      </c>
      <c r="J32" s="13" t="s">
        <v>81</v>
      </c>
    </row>
    <row r="33" spans="1:10" x14ac:dyDescent="0.25">
      <c r="A33" s="13" t="s">
        <v>139</v>
      </c>
      <c r="D33" s="13">
        <v>4.4299999999999999E-3</v>
      </c>
      <c r="E33" s="13" t="s">
        <v>112</v>
      </c>
      <c r="F33" s="13" t="s">
        <v>46</v>
      </c>
      <c r="G33" s="13" t="s">
        <v>47</v>
      </c>
      <c r="H33" s="13" t="s">
        <v>113</v>
      </c>
      <c r="J33" s="13" t="s">
        <v>81</v>
      </c>
    </row>
    <row r="34" spans="1:10" x14ac:dyDescent="0.25">
      <c r="A34" s="13" t="s">
        <v>118</v>
      </c>
      <c r="D34" s="13">
        <v>4.4600000000000004E-3</v>
      </c>
      <c r="E34" s="13" t="s">
        <v>6</v>
      </c>
      <c r="F34" s="13" t="s">
        <v>46</v>
      </c>
      <c r="G34" s="13" t="s">
        <v>47</v>
      </c>
      <c r="H34" s="13" t="s">
        <v>201</v>
      </c>
      <c r="J34" s="13" t="s">
        <v>81</v>
      </c>
    </row>
    <row r="35" spans="1:10" x14ac:dyDescent="0.25">
      <c r="A35" s="13" t="s">
        <v>165</v>
      </c>
      <c r="D35" s="13">
        <v>5.9999999999999995E-4</v>
      </c>
      <c r="E35" s="13" t="s">
        <v>6</v>
      </c>
      <c r="F35" s="13" t="s">
        <v>46</v>
      </c>
      <c r="G35" s="13" t="s">
        <v>47</v>
      </c>
      <c r="H35" s="13" t="s">
        <v>201</v>
      </c>
      <c r="J35" s="13" t="s">
        <v>81</v>
      </c>
    </row>
    <row r="36" spans="1:10" x14ac:dyDescent="0.25">
      <c r="A36" s="13" t="s">
        <v>166</v>
      </c>
      <c r="D36" s="13">
        <v>1.5100000000000001E-3</v>
      </c>
      <c r="E36" s="13" t="s">
        <v>6</v>
      </c>
      <c r="F36" s="13" t="s">
        <v>46</v>
      </c>
      <c r="G36" s="13" t="s">
        <v>47</v>
      </c>
      <c r="H36" s="13" t="s">
        <v>201</v>
      </c>
      <c r="J36" s="13" t="s">
        <v>81</v>
      </c>
    </row>
    <row r="37" spans="1:10" x14ac:dyDescent="0.25">
      <c r="A37" s="13" t="s">
        <v>128</v>
      </c>
      <c r="D37" s="13">
        <v>3.4210000000000013E-5</v>
      </c>
      <c r="E37" s="13" t="s">
        <v>6</v>
      </c>
      <c r="F37" s="13" t="s">
        <v>46</v>
      </c>
      <c r="G37" s="13" t="s">
        <v>47</v>
      </c>
      <c r="H37" s="13" t="s">
        <v>201</v>
      </c>
      <c r="J37" s="13" t="s">
        <v>81</v>
      </c>
    </row>
    <row r="38" spans="1:10" x14ac:dyDescent="0.25">
      <c r="A38" s="13" t="s">
        <v>127</v>
      </c>
      <c r="D38" s="13">
        <v>1.3190000000000001E-5</v>
      </c>
      <c r="E38" s="13" t="s">
        <v>6</v>
      </c>
      <c r="F38" s="13" t="s">
        <v>46</v>
      </c>
      <c r="G38" s="13" t="s">
        <v>47</v>
      </c>
      <c r="H38" s="13" t="s">
        <v>201</v>
      </c>
      <c r="J38" s="13" t="s">
        <v>81</v>
      </c>
    </row>
    <row r="39" spans="1:10" x14ac:dyDescent="0.25">
      <c r="A39" s="13" t="s">
        <v>167</v>
      </c>
      <c r="D39" s="13">
        <v>1.19E-6</v>
      </c>
      <c r="E39" s="13" t="s">
        <v>6</v>
      </c>
      <c r="F39" s="13" t="s">
        <v>46</v>
      </c>
      <c r="G39" s="13" t="s">
        <v>47</v>
      </c>
      <c r="H39" s="13" t="s">
        <v>201</v>
      </c>
      <c r="J39" s="13" t="s">
        <v>81</v>
      </c>
    </row>
    <row r="40" spans="1:10" x14ac:dyDescent="0.25">
      <c r="A40" s="13" t="s">
        <v>168</v>
      </c>
      <c r="D40" s="13">
        <v>1.1999999999999999E-7</v>
      </c>
      <c r="E40" s="13" t="s">
        <v>6</v>
      </c>
      <c r="F40" s="13" t="s">
        <v>46</v>
      </c>
      <c r="G40" s="13" t="s">
        <v>47</v>
      </c>
      <c r="H40" s="13" t="s">
        <v>201</v>
      </c>
      <c r="J40" s="13" t="s">
        <v>81</v>
      </c>
    </row>
    <row r="41" spans="1:10" x14ac:dyDescent="0.25">
      <c r="A41" s="13" t="s">
        <v>169</v>
      </c>
      <c r="D41" s="13">
        <v>1.1999999999999999E-7</v>
      </c>
      <c r="E41" s="13" t="s">
        <v>6</v>
      </c>
      <c r="F41" s="13" t="s">
        <v>46</v>
      </c>
      <c r="G41" s="13" t="s">
        <v>47</v>
      </c>
      <c r="H41" s="13" t="s">
        <v>201</v>
      </c>
      <c r="J41" s="13" t="s">
        <v>81</v>
      </c>
    </row>
    <row r="42" spans="1:10" x14ac:dyDescent="0.25">
      <c r="A42" s="13" t="s">
        <v>129</v>
      </c>
      <c r="D42" s="13">
        <v>3.5999999999999999E-7</v>
      </c>
      <c r="E42" s="13" t="s">
        <v>6</v>
      </c>
      <c r="F42" s="13" t="s">
        <v>46</v>
      </c>
      <c r="G42" s="13" t="s">
        <v>47</v>
      </c>
      <c r="H42" s="13" t="s">
        <v>201</v>
      </c>
      <c r="J42" s="13" t="s">
        <v>81</v>
      </c>
    </row>
    <row r="43" spans="1:10" x14ac:dyDescent="0.25">
      <c r="A43" s="13" t="s">
        <v>170</v>
      </c>
      <c r="D43" s="13">
        <v>2.3800000000000001E-6</v>
      </c>
      <c r="E43" s="13" t="s">
        <v>6</v>
      </c>
      <c r="F43" s="13" t="s">
        <v>46</v>
      </c>
      <c r="G43" s="13" t="s">
        <v>47</v>
      </c>
      <c r="H43" s="13" t="s">
        <v>201</v>
      </c>
      <c r="J43" s="13" t="s">
        <v>81</v>
      </c>
    </row>
    <row r="44" spans="1:10" x14ac:dyDescent="0.25">
      <c r="A44" s="13" t="s">
        <v>127</v>
      </c>
      <c r="D44" s="13">
        <v>2.932E-5</v>
      </c>
      <c r="E44" s="13" t="s">
        <v>6</v>
      </c>
      <c r="F44" s="13" t="s">
        <v>46</v>
      </c>
      <c r="G44" s="13" t="s">
        <v>47</v>
      </c>
      <c r="H44" s="13" t="s">
        <v>203</v>
      </c>
      <c r="J44" s="13" t="s">
        <v>81</v>
      </c>
    </row>
    <row r="45" spans="1:10" x14ac:dyDescent="0.25">
      <c r="A45" s="13" t="s">
        <v>128</v>
      </c>
      <c r="D45" s="13">
        <v>1.499E-5</v>
      </c>
      <c r="E45" s="13" t="s">
        <v>6</v>
      </c>
      <c r="F45" s="13" t="s">
        <v>46</v>
      </c>
      <c r="G45" s="13" t="s">
        <v>47</v>
      </c>
      <c r="H45" s="13" t="s">
        <v>203</v>
      </c>
      <c r="J45" s="13" t="s">
        <v>81</v>
      </c>
    </row>
    <row r="46" spans="1:10" x14ac:dyDescent="0.25">
      <c r="A46" s="13" t="s">
        <v>130</v>
      </c>
      <c r="D46" s="13">
        <v>1.9999999999999999E-6</v>
      </c>
      <c r="E46" s="13" t="s">
        <v>6</v>
      </c>
      <c r="F46" s="13" t="s">
        <v>46</v>
      </c>
      <c r="G46" s="13" t="s">
        <v>47</v>
      </c>
      <c r="H46" s="13" t="s">
        <v>203</v>
      </c>
      <c r="J46" s="13" t="s">
        <v>81</v>
      </c>
    </row>
    <row r="47" spans="1:10" x14ac:dyDescent="0.25">
      <c r="A47" s="13" t="s">
        <v>169</v>
      </c>
      <c r="D47" s="13">
        <v>7.4100000000000002E-6</v>
      </c>
      <c r="E47" s="13" t="s">
        <v>6</v>
      </c>
      <c r="F47" s="13" t="s">
        <v>46</v>
      </c>
      <c r="G47" s="13" t="s">
        <v>47</v>
      </c>
      <c r="H47" s="13" t="s">
        <v>203</v>
      </c>
      <c r="J47" s="13" t="s">
        <v>81</v>
      </c>
    </row>
    <row r="48" spans="1:10" x14ac:dyDescent="0.25">
      <c r="A48" s="13" t="s">
        <v>170</v>
      </c>
      <c r="D48" s="13">
        <v>4.0500000000000002E-6</v>
      </c>
      <c r="E48" s="13" t="s">
        <v>6</v>
      </c>
      <c r="F48" s="13" t="s">
        <v>46</v>
      </c>
      <c r="G48" s="13" t="s">
        <v>47</v>
      </c>
      <c r="H48" s="13" t="s">
        <v>203</v>
      </c>
      <c r="J48" s="13" t="s">
        <v>81</v>
      </c>
    </row>
    <row r="49" spans="1:14" s="21" customFormat="1" x14ac:dyDescent="0.25"/>
    <row r="50" spans="1:14" x14ac:dyDescent="0.25">
      <c r="A50" s="11" t="s">
        <v>0</v>
      </c>
      <c r="B50" s="12" t="s">
        <v>372</v>
      </c>
    </row>
    <row r="51" spans="1:14" x14ac:dyDescent="0.25">
      <c r="A51" s="14" t="s">
        <v>1</v>
      </c>
      <c r="B51" s="13" t="s">
        <v>225</v>
      </c>
    </row>
    <row r="52" spans="1:14" x14ac:dyDescent="0.25">
      <c r="A52" s="14" t="s">
        <v>2</v>
      </c>
      <c r="B52" s="13" t="s">
        <v>80</v>
      </c>
    </row>
    <row r="53" spans="1:14" x14ac:dyDescent="0.25">
      <c r="A53" s="14" t="s">
        <v>4</v>
      </c>
      <c r="B53" s="13">
        <v>1</v>
      </c>
    </row>
    <row r="54" spans="1:14" x14ac:dyDescent="0.25">
      <c r="A54" s="14" t="s">
        <v>5</v>
      </c>
      <c r="B54" s="13" t="s">
        <v>6</v>
      </c>
    </row>
    <row r="55" spans="1:14" x14ac:dyDescent="0.25">
      <c r="A55" s="14" t="s">
        <v>7</v>
      </c>
      <c r="B55" s="18" t="s">
        <v>8</v>
      </c>
    </row>
    <row r="56" spans="1:14" x14ac:dyDescent="0.25">
      <c r="A56" s="14" t="s">
        <v>9</v>
      </c>
    </row>
    <row r="57" spans="1:14" x14ac:dyDescent="0.25">
      <c r="A57" s="11" t="s">
        <v>10</v>
      </c>
      <c r="B57" s="11" t="s">
        <v>1</v>
      </c>
      <c r="C57" s="11" t="s">
        <v>2</v>
      </c>
      <c r="D57" s="11" t="s">
        <v>4</v>
      </c>
      <c r="E57" s="11" t="s">
        <v>5</v>
      </c>
      <c r="F57" s="11" t="s">
        <v>11</v>
      </c>
      <c r="G57" s="11" t="s">
        <v>12</v>
      </c>
      <c r="H57" s="11" t="s">
        <v>13</v>
      </c>
      <c r="I57" s="11" t="s">
        <v>14</v>
      </c>
      <c r="J57" s="11" t="s">
        <v>15</v>
      </c>
      <c r="K57" s="11" t="s">
        <v>16</v>
      </c>
      <c r="L57" s="11" t="s">
        <v>17</v>
      </c>
      <c r="M57" s="11" t="s">
        <v>18</v>
      </c>
      <c r="N57" s="11" t="s">
        <v>19</v>
      </c>
    </row>
    <row r="58" spans="1:14" x14ac:dyDescent="0.25">
      <c r="A58" s="13" t="s">
        <v>372</v>
      </c>
      <c r="B58" s="13" t="s">
        <v>225</v>
      </c>
      <c r="C58" s="13" t="s">
        <v>80</v>
      </c>
      <c r="D58" s="13">
        <v>1</v>
      </c>
      <c r="E58" s="13" t="s">
        <v>6</v>
      </c>
      <c r="F58" s="16" t="s">
        <v>56</v>
      </c>
      <c r="G58" s="13" t="s">
        <v>20</v>
      </c>
    </row>
    <row r="59" spans="1:14" x14ac:dyDescent="0.25">
      <c r="A59" s="13" t="s">
        <v>171</v>
      </c>
      <c r="B59" s="13" t="s">
        <v>172</v>
      </c>
      <c r="C59" s="13" t="s">
        <v>25</v>
      </c>
      <c r="D59" s="13">
        <v>0.02</v>
      </c>
      <c r="E59" s="13" t="s">
        <v>6</v>
      </c>
      <c r="F59" s="13" t="s">
        <v>206</v>
      </c>
      <c r="G59" s="13" t="s">
        <v>21</v>
      </c>
      <c r="J59" s="13" t="s">
        <v>81</v>
      </c>
    </row>
    <row r="60" spans="1:14" x14ac:dyDescent="0.25">
      <c r="A60" s="13" t="s">
        <v>173</v>
      </c>
      <c r="B60" s="13" t="s">
        <v>174</v>
      </c>
      <c r="C60" s="13" t="s">
        <v>28</v>
      </c>
      <c r="D60" s="13">
        <v>1.342E-2</v>
      </c>
      <c r="E60" s="13" t="s">
        <v>6</v>
      </c>
      <c r="F60" s="13" t="s">
        <v>206</v>
      </c>
      <c r="G60" s="13" t="s">
        <v>21</v>
      </c>
      <c r="J60" s="13" t="s">
        <v>81</v>
      </c>
    </row>
    <row r="61" spans="1:14" x14ac:dyDescent="0.25">
      <c r="A61" s="13" t="s">
        <v>175</v>
      </c>
      <c r="B61" s="13" t="s">
        <v>176</v>
      </c>
      <c r="C61" s="13" t="s">
        <v>28</v>
      </c>
      <c r="D61" s="13">
        <v>1.342E-2</v>
      </c>
      <c r="E61" s="13" t="s">
        <v>6</v>
      </c>
      <c r="F61" s="13" t="s">
        <v>206</v>
      </c>
      <c r="G61" s="13" t="s">
        <v>21</v>
      </c>
      <c r="J61" s="13" t="s">
        <v>81</v>
      </c>
    </row>
    <row r="62" spans="1:14" x14ac:dyDescent="0.25">
      <c r="A62" s="13" t="s">
        <v>60</v>
      </c>
      <c r="B62" s="13" t="s">
        <v>61</v>
      </c>
      <c r="C62" s="13" t="s">
        <v>25</v>
      </c>
      <c r="D62" s="13">
        <v>1.06</v>
      </c>
      <c r="E62" s="13" t="s">
        <v>50</v>
      </c>
      <c r="F62" s="13" t="s">
        <v>206</v>
      </c>
      <c r="G62" s="13" t="s">
        <v>21</v>
      </c>
      <c r="J62" s="13" t="s">
        <v>81</v>
      </c>
    </row>
    <row r="63" spans="1:14" x14ac:dyDescent="0.25">
      <c r="A63" s="13" t="s">
        <v>96</v>
      </c>
      <c r="B63" s="13" t="s">
        <v>97</v>
      </c>
      <c r="C63" s="13" t="s">
        <v>25</v>
      </c>
      <c r="D63" s="13">
        <v>7.3999999999999999E-4</v>
      </c>
      <c r="E63" s="13" t="s">
        <v>6</v>
      </c>
      <c r="F63" s="13" t="s">
        <v>206</v>
      </c>
      <c r="G63" s="13" t="s">
        <v>21</v>
      </c>
      <c r="J63" s="13" t="s">
        <v>81</v>
      </c>
    </row>
    <row r="64" spans="1:14" x14ac:dyDescent="0.25">
      <c r="A64" s="13" t="s">
        <v>74</v>
      </c>
      <c r="B64" s="13" t="s">
        <v>75</v>
      </c>
      <c r="C64" s="13" t="s">
        <v>25</v>
      </c>
      <c r="D64" s="13">
        <v>2.571E-2</v>
      </c>
      <c r="E64" s="13" t="s">
        <v>6</v>
      </c>
      <c r="F64" s="13" t="s">
        <v>206</v>
      </c>
      <c r="G64" s="13" t="s">
        <v>21</v>
      </c>
      <c r="J64" s="13" t="s">
        <v>81</v>
      </c>
    </row>
    <row r="65" spans="1:10" x14ac:dyDescent="0.25">
      <c r="A65" s="13" t="s">
        <v>177</v>
      </c>
      <c r="B65" s="13" t="s">
        <v>178</v>
      </c>
      <c r="C65" s="13" t="s">
        <v>28</v>
      </c>
      <c r="D65" s="13">
        <v>1.41E-3</v>
      </c>
      <c r="E65" s="13" t="s">
        <v>6</v>
      </c>
      <c r="F65" s="13" t="s">
        <v>206</v>
      </c>
      <c r="G65" s="13" t="s">
        <v>21</v>
      </c>
      <c r="J65" s="13" t="s">
        <v>81</v>
      </c>
    </row>
    <row r="66" spans="1:10" x14ac:dyDescent="0.25">
      <c r="A66" s="13" t="s">
        <v>179</v>
      </c>
      <c r="B66" s="13" t="s">
        <v>180</v>
      </c>
      <c r="C66" s="13" t="s">
        <v>25</v>
      </c>
      <c r="D66" s="13">
        <v>3.0000000000000001E-5</v>
      </c>
      <c r="E66" s="13" t="s">
        <v>6</v>
      </c>
      <c r="F66" s="13" t="s">
        <v>206</v>
      </c>
      <c r="G66" s="13" t="s">
        <v>21</v>
      </c>
      <c r="J66" s="13" t="s">
        <v>81</v>
      </c>
    </row>
    <row r="67" spans="1:10" x14ac:dyDescent="0.25">
      <c r="A67" s="13" t="s">
        <v>181</v>
      </c>
      <c r="B67" s="13" t="s">
        <v>182</v>
      </c>
      <c r="C67" s="13" t="s">
        <v>28</v>
      </c>
      <c r="D67" s="13">
        <v>9.4600000000000014E-3</v>
      </c>
      <c r="E67" s="13" t="s">
        <v>6</v>
      </c>
      <c r="F67" s="13" t="s">
        <v>206</v>
      </c>
      <c r="G67" s="13" t="s">
        <v>21</v>
      </c>
      <c r="J67" s="13" t="s">
        <v>81</v>
      </c>
    </row>
    <row r="68" spans="1:10" x14ac:dyDescent="0.25">
      <c r="A68" s="13" t="s">
        <v>36</v>
      </c>
      <c r="B68" s="13" t="s">
        <v>37</v>
      </c>
      <c r="C68" s="13" t="s">
        <v>25</v>
      </c>
      <c r="D68" s="13">
        <v>1.6670000000000001E-2</v>
      </c>
      <c r="E68" s="13" t="s">
        <v>38</v>
      </c>
      <c r="F68" s="13" t="s">
        <v>206</v>
      </c>
      <c r="G68" s="13" t="s">
        <v>21</v>
      </c>
      <c r="J68" s="13" t="s">
        <v>81</v>
      </c>
    </row>
    <row r="69" spans="1:10" x14ac:dyDescent="0.25">
      <c r="A69" s="13" t="s">
        <v>26</v>
      </c>
      <c r="B69" s="13" t="s">
        <v>27</v>
      </c>
      <c r="C69" s="13" t="s">
        <v>80</v>
      </c>
      <c r="D69" s="13">
        <v>0.55013999999999996</v>
      </c>
      <c r="E69" s="13" t="s">
        <v>29</v>
      </c>
      <c r="F69" s="13" t="s">
        <v>206</v>
      </c>
      <c r="G69" s="13" t="s">
        <v>21</v>
      </c>
      <c r="J69" s="13" t="s">
        <v>81</v>
      </c>
    </row>
    <row r="70" spans="1:10" x14ac:dyDescent="0.25">
      <c r="A70" s="13" t="s">
        <v>34</v>
      </c>
      <c r="B70" s="13" t="s">
        <v>35</v>
      </c>
      <c r="C70" s="13" t="s">
        <v>28</v>
      </c>
      <c r="D70" s="13">
        <v>0.60885</v>
      </c>
      <c r="E70" s="13" t="s">
        <v>33</v>
      </c>
      <c r="F70" s="13" t="s">
        <v>206</v>
      </c>
      <c r="G70" s="13" t="s">
        <v>21</v>
      </c>
      <c r="J70" s="13" t="s">
        <v>81</v>
      </c>
    </row>
    <row r="71" spans="1:10" x14ac:dyDescent="0.25">
      <c r="A71" s="13" t="s">
        <v>102</v>
      </c>
      <c r="B71" s="13" t="s">
        <v>103</v>
      </c>
      <c r="C71" s="13" t="s">
        <v>25</v>
      </c>
      <c r="D71" s="13">
        <v>0.17</v>
      </c>
      <c r="E71" s="13" t="s">
        <v>6</v>
      </c>
      <c r="F71" s="13" t="s">
        <v>206</v>
      </c>
      <c r="G71" s="13" t="s">
        <v>21</v>
      </c>
      <c r="J71" s="13" t="s">
        <v>81</v>
      </c>
    </row>
    <row r="72" spans="1:10" x14ac:dyDescent="0.25">
      <c r="A72" s="13" t="s">
        <v>104</v>
      </c>
      <c r="B72" s="13" t="s">
        <v>105</v>
      </c>
      <c r="C72" s="13" t="s">
        <v>25</v>
      </c>
      <c r="D72" s="13">
        <v>-3.74</v>
      </c>
      <c r="E72" s="13" t="s">
        <v>50</v>
      </c>
      <c r="F72" s="13" t="s">
        <v>206</v>
      </c>
      <c r="G72" s="13" t="s">
        <v>21</v>
      </c>
      <c r="J72" s="13" t="s">
        <v>81</v>
      </c>
    </row>
    <row r="73" spans="1:10" x14ac:dyDescent="0.25">
      <c r="A73" s="13" t="s">
        <v>106</v>
      </c>
      <c r="B73" s="13" t="s">
        <v>107</v>
      </c>
      <c r="C73" s="13" t="s">
        <v>25</v>
      </c>
      <c r="D73" s="13">
        <v>-0.1</v>
      </c>
      <c r="E73" s="13" t="s">
        <v>6</v>
      </c>
      <c r="F73" s="13" t="s">
        <v>206</v>
      </c>
      <c r="G73" s="13" t="s">
        <v>21</v>
      </c>
      <c r="J73" s="13" t="s">
        <v>81</v>
      </c>
    </row>
    <row r="74" spans="1:10" x14ac:dyDescent="0.25">
      <c r="A74" s="13" t="s">
        <v>108</v>
      </c>
      <c r="B74" s="13" t="s">
        <v>109</v>
      </c>
      <c r="C74" s="13" t="s">
        <v>25</v>
      </c>
      <c r="D74" s="13">
        <v>-9.3699999999999999E-3</v>
      </c>
      <c r="E74" s="13" t="s">
        <v>6</v>
      </c>
      <c r="F74" s="13" t="s">
        <v>206</v>
      </c>
      <c r="G74" s="13" t="s">
        <v>21</v>
      </c>
      <c r="J74" s="13" t="s">
        <v>81</v>
      </c>
    </row>
    <row r="75" spans="1:10" x14ac:dyDescent="0.25">
      <c r="A75" s="13" t="s">
        <v>49</v>
      </c>
      <c r="D75" s="13">
        <v>3.041E-2</v>
      </c>
      <c r="E75" s="13" t="s">
        <v>50</v>
      </c>
      <c r="F75" s="13" t="s">
        <v>46</v>
      </c>
      <c r="G75" s="13" t="s">
        <v>47</v>
      </c>
      <c r="H75" s="13" t="s">
        <v>48</v>
      </c>
      <c r="J75" s="13" t="s">
        <v>81</v>
      </c>
    </row>
    <row r="76" spans="1:10" x14ac:dyDescent="0.25">
      <c r="A76" s="13" t="s">
        <v>183</v>
      </c>
      <c r="D76" s="13">
        <v>1.37</v>
      </c>
      <c r="E76" s="13" t="s">
        <v>6</v>
      </c>
      <c r="F76" s="13" t="s">
        <v>46</v>
      </c>
      <c r="G76" s="13" t="s">
        <v>47</v>
      </c>
      <c r="H76" s="13" t="s">
        <v>48</v>
      </c>
      <c r="J76" s="13" t="s">
        <v>81</v>
      </c>
    </row>
    <row r="77" spans="1:10" x14ac:dyDescent="0.25">
      <c r="A77" s="13" t="s">
        <v>118</v>
      </c>
      <c r="D77" s="13">
        <v>1.2E-4</v>
      </c>
      <c r="E77" s="13" t="s">
        <v>6</v>
      </c>
      <c r="F77" s="13" t="s">
        <v>46</v>
      </c>
      <c r="G77" s="13" t="s">
        <v>47</v>
      </c>
      <c r="H77" s="13" t="s">
        <v>201</v>
      </c>
      <c r="J77" s="13" t="s">
        <v>81</v>
      </c>
    </row>
    <row r="78" spans="1:10" x14ac:dyDescent="0.25">
      <c r="A78" s="13" t="s">
        <v>165</v>
      </c>
      <c r="D78" s="13">
        <v>5.1000000000000004E-4</v>
      </c>
      <c r="E78" s="13" t="s">
        <v>6</v>
      </c>
      <c r="F78" s="13" t="s">
        <v>46</v>
      </c>
      <c r="G78" s="13" t="s">
        <v>47</v>
      </c>
      <c r="H78" s="13" t="s">
        <v>201</v>
      </c>
      <c r="J78" s="13" t="s">
        <v>81</v>
      </c>
    </row>
    <row r="79" spans="1:10" x14ac:dyDescent="0.25">
      <c r="A79" s="13" t="s">
        <v>166</v>
      </c>
      <c r="D79" s="13">
        <v>2.2599999999999999E-3</v>
      </c>
      <c r="E79" s="13" t="s">
        <v>6</v>
      </c>
      <c r="F79" s="13" t="s">
        <v>46</v>
      </c>
      <c r="G79" s="13" t="s">
        <v>47</v>
      </c>
      <c r="H79" s="13" t="s">
        <v>201</v>
      </c>
      <c r="J79" s="13" t="s">
        <v>81</v>
      </c>
    </row>
    <row r="80" spans="1:10" x14ac:dyDescent="0.25">
      <c r="A80" s="13" t="s">
        <v>116</v>
      </c>
      <c r="D80" s="13">
        <v>1.13E-6</v>
      </c>
      <c r="E80" s="13" t="s">
        <v>6</v>
      </c>
      <c r="F80" s="13" t="s">
        <v>46</v>
      </c>
      <c r="G80" s="13" t="s">
        <v>47</v>
      </c>
      <c r="H80" s="13" t="s">
        <v>201</v>
      </c>
      <c r="J80" s="13" t="s">
        <v>81</v>
      </c>
    </row>
    <row r="81" spans="1:10" x14ac:dyDescent="0.25">
      <c r="A81" s="13" t="s">
        <v>114</v>
      </c>
      <c r="D81" s="13">
        <v>3.8000000000000001E-7</v>
      </c>
      <c r="E81" s="13" t="s">
        <v>6</v>
      </c>
      <c r="F81" s="13" t="s">
        <v>46</v>
      </c>
      <c r="G81" s="13" t="s">
        <v>47</v>
      </c>
      <c r="H81" s="13" t="s">
        <v>201</v>
      </c>
      <c r="J81" s="13" t="s">
        <v>81</v>
      </c>
    </row>
    <row r="82" spans="1:10" x14ac:dyDescent="0.25">
      <c r="A82" s="13" t="s">
        <v>128</v>
      </c>
      <c r="D82" s="13">
        <v>7.4999999999999993E-9</v>
      </c>
      <c r="E82" s="13" t="s">
        <v>6</v>
      </c>
      <c r="F82" s="13" t="s">
        <v>46</v>
      </c>
      <c r="G82" s="13" t="s">
        <v>47</v>
      </c>
      <c r="H82" s="13" t="s">
        <v>201</v>
      </c>
      <c r="J82" s="13" t="s">
        <v>81</v>
      </c>
    </row>
    <row r="83" spans="1:10" x14ac:dyDescent="0.25">
      <c r="A83" s="13" t="s">
        <v>130</v>
      </c>
      <c r="D83" s="13">
        <v>1.7500000000000001E-14</v>
      </c>
      <c r="E83" s="13" t="s">
        <v>6</v>
      </c>
      <c r="F83" s="13" t="s">
        <v>46</v>
      </c>
      <c r="G83" s="13" t="s">
        <v>47</v>
      </c>
      <c r="H83" s="13" t="s">
        <v>201</v>
      </c>
      <c r="J83" s="13" t="s">
        <v>81</v>
      </c>
    </row>
    <row r="84" spans="1:10" x14ac:dyDescent="0.25">
      <c r="A84" s="13" t="s">
        <v>129</v>
      </c>
      <c r="D84" s="13">
        <v>8.3000000000000003E-10</v>
      </c>
      <c r="E84" s="13" t="s">
        <v>6</v>
      </c>
      <c r="F84" s="13" t="s">
        <v>46</v>
      </c>
      <c r="G84" s="13" t="s">
        <v>47</v>
      </c>
      <c r="H84" s="13" t="s">
        <v>201</v>
      </c>
      <c r="J84" s="13" t="s">
        <v>81</v>
      </c>
    </row>
    <row r="85" spans="1:10" x14ac:dyDescent="0.25">
      <c r="A85" s="13" t="s">
        <v>168</v>
      </c>
      <c r="D85" s="13">
        <v>7.6399999999999989E-12</v>
      </c>
      <c r="E85" s="13" t="s">
        <v>6</v>
      </c>
      <c r="F85" s="13" t="s">
        <v>46</v>
      </c>
      <c r="G85" s="13" t="s">
        <v>47</v>
      </c>
      <c r="H85" s="13" t="s">
        <v>201</v>
      </c>
      <c r="J85" s="13" t="s">
        <v>81</v>
      </c>
    </row>
    <row r="86" spans="1:10" x14ac:dyDescent="0.25">
      <c r="A86" s="13" t="s">
        <v>184</v>
      </c>
      <c r="D86" s="13">
        <v>3.7400000000000002E-13</v>
      </c>
      <c r="E86" s="13" t="s">
        <v>6</v>
      </c>
      <c r="F86" s="13" t="s">
        <v>46</v>
      </c>
      <c r="G86" s="13" t="s">
        <v>47</v>
      </c>
      <c r="H86" s="13" t="s">
        <v>201</v>
      </c>
      <c r="J86" s="13" t="s">
        <v>81</v>
      </c>
    </row>
    <row r="87" spans="1:10" x14ac:dyDescent="0.25">
      <c r="A87" s="13" t="s">
        <v>168</v>
      </c>
      <c r="D87" s="13">
        <v>6.0400000000000006E-6</v>
      </c>
      <c r="E87" s="13" t="s">
        <v>6</v>
      </c>
      <c r="F87" s="13" t="s">
        <v>46</v>
      </c>
      <c r="G87" s="13" t="s">
        <v>47</v>
      </c>
      <c r="H87" s="13" t="s">
        <v>203</v>
      </c>
      <c r="J87" s="13" t="s">
        <v>81</v>
      </c>
    </row>
    <row r="88" spans="1:10" x14ac:dyDescent="0.25">
      <c r="A88" s="13" t="s">
        <v>130</v>
      </c>
      <c r="D88" s="13">
        <v>7.0000000000000005E-8</v>
      </c>
      <c r="E88" s="13" t="s">
        <v>6</v>
      </c>
      <c r="F88" s="13" t="s">
        <v>46</v>
      </c>
      <c r="G88" s="13" t="s">
        <v>47</v>
      </c>
      <c r="H88" s="13" t="s">
        <v>203</v>
      </c>
      <c r="J88" s="13" t="s">
        <v>81</v>
      </c>
    </row>
    <row r="89" spans="1:10" x14ac:dyDescent="0.25">
      <c r="A89" s="13" t="s">
        <v>167</v>
      </c>
      <c r="D89" s="13">
        <v>2.3999999999999998E-7</v>
      </c>
      <c r="E89" s="13" t="s">
        <v>6</v>
      </c>
      <c r="F89" s="13" t="s">
        <v>46</v>
      </c>
      <c r="G89" s="13" t="s">
        <v>47</v>
      </c>
      <c r="H89" s="13" t="s">
        <v>203</v>
      </c>
      <c r="J89" s="13" t="s">
        <v>81</v>
      </c>
    </row>
    <row r="90" spans="1:10" x14ac:dyDescent="0.25">
      <c r="A90" s="13" t="s">
        <v>170</v>
      </c>
      <c r="D90" s="13">
        <v>5.7999999999999995E-7</v>
      </c>
      <c r="E90" s="13" t="s">
        <v>6</v>
      </c>
      <c r="F90" s="13" t="s">
        <v>46</v>
      </c>
      <c r="G90" s="13" t="s">
        <v>47</v>
      </c>
      <c r="H90" s="13" t="s">
        <v>203</v>
      </c>
      <c r="J90" s="13" t="s">
        <v>81</v>
      </c>
    </row>
    <row r="91" spans="1:10" x14ac:dyDescent="0.25">
      <c r="A91" s="13" t="s">
        <v>127</v>
      </c>
      <c r="D91" s="13">
        <v>9.4E-7</v>
      </c>
      <c r="E91" s="13" t="s">
        <v>6</v>
      </c>
      <c r="F91" s="13" t="s">
        <v>46</v>
      </c>
      <c r="G91" s="13" t="s">
        <v>47</v>
      </c>
      <c r="H91" s="13" t="s">
        <v>203</v>
      </c>
      <c r="J91" s="13" t="s">
        <v>81</v>
      </c>
    </row>
    <row r="92" spans="1:10" x14ac:dyDescent="0.25">
      <c r="A92" s="13" t="s">
        <v>184</v>
      </c>
      <c r="D92" s="13">
        <v>1.1999999999999999E-7</v>
      </c>
      <c r="E92" s="13" t="s">
        <v>6</v>
      </c>
      <c r="F92" s="13" t="s">
        <v>46</v>
      </c>
      <c r="G92" s="13" t="s">
        <v>47</v>
      </c>
      <c r="H92" s="13" t="s">
        <v>203</v>
      </c>
      <c r="J92" s="13" t="s">
        <v>81</v>
      </c>
    </row>
    <row r="93" spans="1:10" x14ac:dyDescent="0.25">
      <c r="A93" s="13" t="s">
        <v>128</v>
      </c>
      <c r="D93" s="13">
        <v>4.7500000000000003E-6</v>
      </c>
      <c r="E93" s="13" t="s">
        <v>6</v>
      </c>
      <c r="F93" s="13" t="s">
        <v>46</v>
      </c>
      <c r="G93" s="13" t="s">
        <v>47</v>
      </c>
      <c r="H93" s="13" t="s">
        <v>203</v>
      </c>
      <c r="J93" s="13" t="s">
        <v>81</v>
      </c>
    </row>
    <row r="94" spans="1:10" x14ac:dyDescent="0.25">
      <c r="A94" s="13" t="s">
        <v>129</v>
      </c>
      <c r="D94" s="13">
        <v>1.37E-6</v>
      </c>
      <c r="E94" s="13" t="s">
        <v>6</v>
      </c>
      <c r="F94" s="13" t="s">
        <v>46</v>
      </c>
      <c r="G94" s="13" t="s">
        <v>47</v>
      </c>
      <c r="H94" s="13" t="s">
        <v>203</v>
      </c>
      <c r="J94" s="13" t="s">
        <v>81</v>
      </c>
    </row>
    <row r="95" spans="1:10" x14ac:dyDescent="0.25">
      <c r="A95" s="13" t="s">
        <v>169</v>
      </c>
      <c r="D95" s="13">
        <v>7.6040000000000011E-5</v>
      </c>
      <c r="E95" s="13" t="s">
        <v>6</v>
      </c>
      <c r="F95" s="13" t="s">
        <v>46</v>
      </c>
      <c r="G95" s="13" t="s">
        <v>47</v>
      </c>
      <c r="H95" s="13" t="s">
        <v>203</v>
      </c>
      <c r="J95" s="13" t="s">
        <v>81</v>
      </c>
    </row>
    <row r="96" spans="1:10" s="21" customFormat="1" x14ac:dyDescent="0.25"/>
    <row r="97" spans="1:14" x14ac:dyDescent="0.25">
      <c r="A97" s="11" t="s">
        <v>0</v>
      </c>
      <c r="B97" s="12" t="s">
        <v>223</v>
      </c>
    </row>
    <row r="98" spans="1:14" x14ac:dyDescent="0.25">
      <c r="A98" s="14" t="s">
        <v>1</v>
      </c>
      <c r="B98" s="13" t="s">
        <v>205</v>
      </c>
    </row>
    <row r="99" spans="1:14" x14ac:dyDescent="0.25">
      <c r="A99" s="14" t="s">
        <v>2</v>
      </c>
      <c r="B99" s="13" t="s">
        <v>80</v>
      </c>
    </row>
    <row r="100" spans="1:14" x14ac:dyDescent="0.25">
      <c r="A100" s="14" t="s">
        <v>4</v>
      </c>
      <c r="B100" s="13">
        <v>1</v>
      </c>
    </row>
    <row r="101" spans="1:14" x14ac:dyDescent="0.25">
      <c r="A101" s="14" t="s">
        <v>5</v>
      </c>
      <c r="B101" s="13" t="s">
        <v>6</v>
      </c>
    </row>
    <row r="102" spans="1:14" ht="45" x14ac:dyDescent="0.25">
      <c r="A102" s="14" t="s">
        <v>7</v>
      </c>
      <c r="B102" s="19" t="s">
        <v>390</v>
      </c>
    </row>
    <row r="103" spans="1:14" x14ac:dyDescent="0.25">
      <c r="A103" s="14" t="s">
        <v>9</v>
      </c>
    </row>
    <row r="104" spans="1:14" x14ac:dyDescent="0.25">
      <c r="A104" s="11" t="s">
        <v>10</v>
      </c>
      <c r="B104" s="11" t="s">
        <v>1</v>
      </c>
      <c r="C104" s="11" t="s">
        <v>2</v>
      </c>
      <c r="D104" s="11" t="s">
        <v>4</v>
      </c>
      <c r="E104" s="11" t="s">
        <v>5</v>
      </c>
      <c r="F104" s="11" t="s">
        <v>11</v>
      </c>
      <c r="G104" s="11" t="s">
        <v>12</v>
      </c>
      <c r="H104" s="11" t="s">
        <v>13</v>
      </c>
      <c r="I104" s="11" t="s">
        <v>14</v>
      </c>
      <c r="J104" s="11" t="s">
        <v>15</v>
      </c>
      <c r="K104" s="11" t="s">
        <v>16</v>
      </c>
      <c r="L104" s="11" t="s">
        <v>17</v>
      </c>
      <c r="M104" s="11" t="s">
        <v>18</v>
      </c>
      <c r="N104" s="11" t="s">
        <v>19</v>
      </c>
    </row>
    <row r="105" spans="1:14" x14ac:dyDescent="0.25">
      <c r="A105" s="13" t="s">
        <v>223</v>
      </c>
      <c r="B105" s="13" t="s">
        <v>205</v>
      </c>
      <c r="C105" s="13" t="s">
        <v>80</v>
      </c>
      <c r="D105" s="13">
        <v>1</v>
      </c>
      <c r="E105" s="13" t="s">
        <v>6</v>
      </c>
      <c r="F105" s="16" t="s">
        <v>56</v>
      </c>
      <c r="G105" s="13" t="s">
        <v>20</v>
      </c>
    </row>
    <row r="106" spans="1:14" x14ac:dyDescent="0.25">
      <c r="A106" s="13" t="s">
        <v>82</v>
      </c>
      <c r="B106" s="13" t="s">
        <v>83</v>
      </c>
      <c r="C106" s="13" t="s">
        <v>28</v>
      </c>
      <c r="D106" s="15">
        <v>4.7360165523058191E-3</v>
      </c>
      <c r="E106" s="13" t="s">
        <v>6</v>
      </c>
      <c r="F106" s="13" t="s">
        <v>206</v>
      </c>
      <c r="G106" s="13" t="s">
        <v>21</v>
      </c>
      <c r="J106" s="13" t="s">
        <v>84</v>
      </c>
    </row>
    <row r="107" spans="1:14" x14ac:dyDescent="0.25">
      <c r="A107" s="13" t="s">
        <v>85</v>
      </c>
      <c r="B107" s="13" t="s">
        <v>86</v>
      </c>
      <c r="C107" s="13" t="s">
        <v>28</v>
      </c>
      <c r="D107" s="15">
        <v>0.62798009533336829</v>
      </c>
      <c r="E107" s="13" t="s">
        <v>6</v>
      </c>
      <c r="F107" s="13" t="s">
        <v>206</v>
      </c>
      <c r="G107" s="13" t="s">
        <v>21</v>
      </c>
      <c r="J107" s="13" t="s">
        <v>87</v>
      </c>
    </row>
    <row r="108" spans="1:14" x14ac:dyDescent="0.25">
      <c r="A108" s="13" t="s">
        <v>88</v>
      </c>
      <c r="B108" s="13" t="s">
        <v>89</v>
      </c>
      <c r="C108" s="13" t="s">
        <v>25</v>
      </c>
      <c r="D108" s="15">
        <v>0.22240961709723464</v>
      </c>
      <c r="E108" s="13" t="s">
        <v>6</v>
      </c>
      <c r="F108" s="13" t="s">
        <v>206</v>
      </c>
      <c r="G108" s="13" t="s">
        <v>21</v>
      </c>
      <c r="J108" s="13" t="s">
        <v>87</v>
      </c>
    </row>
    <row r="109" spans="1:14" x14ac:dyDescent="0.25">
      <c r="A109" s="13" t="s">
        <v>90</v>
      </c>
      <c r="B109" s="13" t="s">
        <v>91</v>
      </c>
      <c r="C109" s="13" t="s">
        <v>25</v>
      </c>
      <c r="D109" s="15">
        <v>9.1580430569449548E-5</v>
      </c>
      <c r="E109" s="13" t="s">
        <v>6</v>
      </c>
      <c r="F109" s="13" t="s">
        <v>206</v>
      </c>
      <c r="G109" s="13" t="s">
        <v>21</v>
      </c>
      <c r="J109" s="13" t="s">
        <v>87</v>
      </c>
    </row>
    <row r="110" spans="1:14" x14ac:dyDescent="0.25">
      <c r="A110" s="13" t="s">
        <v>92</v>
      </c>
      <c r="B110" s="13" t="s">
        <v>93</v>
      </c>
      <c r="C110" s="13" t="s">
        <v>25</v>
      </c>
      <c r="D110" s="15">
        <v>0.18316086113889912</v>
      </c>
      <c r="E110" s="13" t="s">
        <v>6</v>
      </c>
      <c r="F110" s="13" t="s">
        <v>206</v>
      </c>
      <c r="G110" s="13" t="s">
        <v>21</v>
      </c>
      <c r="J110" s="13" t="s">
        <v>87</v>
      </c>
    </row>
    <row r="111" spans="1:14" x14ac:dyDescent="0.25">
      <c r="A111" s="13" t="s">
        <v>94</v>
      </c>
      <c r="B111" s="13" t="s">
        <v>95</v>
      </c>
      <c r="C111" s="13" t="s">
        <v>28</v>
      </c>
      <c r="D111" s="15">
        <v>1.0466334922222806E-2</v>
      </c>
      <c r="E111" s="13" t="s">
        <v>6</v>
      </c>
      <c r="F111" s="13" t="s">
        <v>206</v>
      </c>
      <c r="G111" s="13" t="s">
        <v>21</v>
      </c>
      <c r="J111" s="13" t="s">
        <v>84</v>
      </c>
    </row>
    <row r="112" spans="1:14" x14ac:dyDescent="0.25">
      <c r="A112" s="13" t="s">
        <v>96</v>
      </c>
      <c r="B112" s="13" t="s">
        <v>97</v>
      </c>
      <c r="C112" s="13" t="s">
        <v>25</v>
      </c>
      <c r="D112" s="15">
        <v>2.6165837305557015E-2</v>
      </c>
      <c r="E112" s="13" t="s">
        <v>6</v>
      </c>
      <c r="F112" s="13" t="s">
        <v>206</v>
      </c>
      <c r="G112" s="13" t="s">
        <v>21</v>
      </c>
      <c r="J112" s="13" t="s">
        <v>87</v>
      </c>
    </row>
    <row r="113" spans="1:10" x14ac:dyDescent="0.25">
      <c r="A113" s="13" t="s">
        <v>98</v>
      </c>
      <c r="B113" s="13" t="s">
        <v>99</v>
      </c>
      <c r="C113" s="13" t="s">
        <v>80</v>
      </c>
      <c r="D113" s="15">
        <v>4.3173631554169071E-4</v>
      </c>
      <c r="E113" s="13" t="s">
        <v>6</v>
      </c>
      <c r="F113" s="13" t="s">
        <v>206</v>
      </c>
      <c r="G113" s="13" t="s">
        <v>21</v>
      </c>
      <c r="J113" s="13" t="s">
        <v>87</v>
      </c>
    </row>
    <row r="114" spans="1:10" x14ac:dyDescent="0.25">
      <c r="A114" s="13" t="s">
        <v>100</v>
      </c>
      <c r="B114" s="13" t="s">
        <v>101</v>
      </c>
      <c r="C114" s="13" t="s">
        <v>28</v>
      </c>
      <c r="D114" s="15">
        <v>1.8054427740834336E-6</v>
      </c>
      <c r="E114" s="13" t="s">
        <v>6</v>
      </c>
      <c r="F114" s="13" t="s">
        <v>206</v>
      </c>
      <c r="G114" s="13" t="s">
        <v>21</v>
      </c>
      <c r="J114" s="13" t="s">
        <v>84</v>
      </c>
    </row>
    <row r="115" spans="1:10" x14ac:dyDescent="0.25">
      <c r="A115" s="13" t="s">
        <v>36</v>
      </c>
      <c r="B115" s="13" t="s">
        <v>37</v>
      </c>
      <c r="C115" s="13" t="s">
        <v>25</v>
      </c>
      <c r="D115" s="15">
        <v>0.24284513603287461</v>
      </c>
      <c r="E115" s="13" t="s">
        <v>38</v>
      </c>
      <c r="F115" s="13" t="s">
        <v>206</v>
      </c>
      <c r="G115" s="13" t="s">
        <v>21</v>
      </c>
      <c r="J115" s="13" t="s">
        <v>87</v>
      </c>
    </row>
    <row r="116" spans="1:10" x14ac:dyDescent="0.25">
      <c r="A116" s="13" t="s">
        <v>26</v>
      </c>
      <c r="B116" s="13" t="s">
        <v>27</v>
      </c>
      <c r="C116" s="13" t="s">
        <v>80</v>
      </c>
      <c r="D116" s="15">
        <v>6.2557937976058335</v>
      </c>
      <c r="E116" s="13" t="s">
        <v>29</v>
      </c>
      <c r="F116" s="13" t="s">
        <v>206</v>
      </c>
      <c r="G116" s="13" t="s">
        <v>21</v>
      </c>
      <c r="J116" s="13" t="s">
        <v>87</v>
      </c>
    </row>
    <row r="117" spans="1:10" x14ac:dyDescent="0.25">
      <c r="A117" s="13" t="s">
        <v>58</v>
      </c>
      <c r="B117" s="13" t="s">
        <v>59</v>
      </c>
      <c r="C117" s="13" t="s">
        <v>80</v>
      </c>
      <c r="D117" s="15">
        <v>0.68031176994448239</v>
      </c>
      <c r="E117" s="13" t="s">
        <v>6</v>
      </c>
      <c r="F117" s="13" t="s">
        <v>206</v>
      </c>
      <c r="G117" s="13" t="s">
        <v>21</v>
      </c>
      <c r="J117" s="13" t="s">
        <v>87</v>
      </c>
    </row>
    <row r="118" spans="1:10" x14ac:dyDescent="0.25">
      <c r="A118" s="13" t="s">
        <v>102</v>
      </c>
      <c r="B118" s="13" t="s">
        <v>103</v>
      </c>
      <c r="C118" s="13" t="s">
        <v>25</v>
      </c>
      <c r="D118" s="15">
        <v>3.9117926771807738</v>
      </c>
      <c r="E118" s="13" t="s">
        <v>6</v>
      </c>
      <c r="F118" s="13" t="s">
        <v>206</v>
      </c>
      <c r="G118" s="13" t="s">
        <v>21</v>
      </c>
      <c r="J118" s="13" t="s">
        <v>87</v>
      </c>
    </row>
    <row r="119" spans="1:10" x14ac:dyDescent="0.25">
      <c r="A119" s="13" t="s">
        <v>104</v>
      </c>
      <c r="B119" s="13" t="s">
        <v>105</v>
      </c>
      <c r="C119" s="13" t="s">
        <v>25</v>
      </c>
      <c r="D119" s="15">
        <v>-1.3737064585417433E-2</v>
      </c>
      <c r="E119" s="13" t="s">
        <v>50</v>
      </c>
      <c r="F119" s="13" t="s">
        <v>206</v>
      </c>
      <c r="G119" s="13" t="s">
        <v>21</v>
      </c>
      <c r="J119" s="13" t="s">
        <v>87</v>
      </c>
    </row>
    <row r="120" spans="1:10" x14ac:dyDescent="0.25">
      <c r="A120" s="13" t="s">
        <v>106</v>
      </c>
      <c r="B120" s="13" t="s">
        <v>107</v>
      </c>
      <c r="C120" s="13" t="s">
        <v>25</v>
      </c>
      <c r="D120" s="15">
        <v>-5.4555770782086371E-3</v>
      </c>
      <c r="E120" s="13" t="s">
        <v>6</v>
      </c>
      <c r="F120" s="13" t="s">
        <v>206</v>
      </c>
      <c r="G120" s="13" t="s">
        <v>21</v>
      </c>
      <c r="J120" s="13" t="s">
        <v>87</v>
      </c>
    </row>
    <row r="121" spans="1:10" x14ac:dyDescent="0.25">
      <c r="A121" s="13" t="s">
        <v>108</v>
      </c>
      <c r="B121" s="13" t="s">
        <v>109</v>
      </c>
      <c r="C121" s="13" t="s">
        <v>25</v>
      </c>
      <c r="D121" s="15">
        <v>-7.4912792205809722E-2</v>
      </c>
      <c r="E121" s="13" t="s">
        <v>6</v>
      </c>
      <c r="F121" s="13" t="s">
        <v>206</v>
      </c>
      <c r="G121" s="13" t="s">
        <v>21</v>
      </c>
      <c r="J121" s="13" t="s">
        <v>87</v>
      </c>
    </row>
    <row r="122" spans="1:10" x14ac:dyDescent="0.25">
      <c r="A122" s="13" t="s">
        <v>49</v>
      </c>
      <c r="D122" s="15">
        <v>2.5184618406598625E-2</v>
      </c>
      <c r="E122" s="13" t="s">
        <v>50</v>
      </c>
      <c r="F122" s="13" t="s">
        <v>46</v>
      </c>
      <c r="G122" s="13" t="s">
        <v>47</v>
      </c>
      <c r="H122" s="13" t="s">
        <v>48</v>
      </c>
      <c r="J122" s="13" t="s">
        <v>87</v>
      </c>
    </row>
    <row r="123" spans="1:10" x14ac:dyDescent="0.25">
      <c r="A123" s="13" t="s">
        <v>111</v>
      </c>
      <c r="D123" s="15">
        <v>5.3378308103336311E-5</v>
      </c>
      <c r="E123" s="13" t="s">
        <v>112</v>
      </c>
      <c r="F123" s="13" t="s">
        <v>46</v>
      </c>
      <c r="G123" s="13" t="s">
        <v>47</v>
      </c>
      <c r="H123" s="13" t="s">
        <v>113</v>
      </c>
      <c r="J123" s="13" t="s">
        <v>84</v>
      </c>
    </row>
    <row r="124" spans="1:10" x14ac:dyDescent="0.25">
      <c r="A124" s="13" t="s">
        <v>114</v>
      </c>
      <c r="D124" s="15">
        <v>6.2994253313128503E-5</v>
      </c>
      <c r="E124" s="13" t="s">
        <v>6</v>
      </c>
      <c r="F124" s="13" t="s">
        <v>46</v>
      </c>
      <c r="G124" s="13" t="s">
        <v>47</v>
      </c>
      <c r="H124" s="13" t="s">
        <v>201</v>
      </c>
      <c r="J124" s="13" t="s">
        <v>115</v>
      </c>
    </row>
    <row r="125" spans="1:10" x14ac:dyDescent="0.25">
      <c r="A125" s="13" t="s">
        <v>116</v>
      </c>
      <c r="D125" s="15">
        <v>5.5955643077933693E-5</v>
      </c>
      <c r="E125" s="13" t="s">
        <v>6</v>
      </c>
      <c r="F125" s="13" t="s">
        <v>46</v>
      </c>
      <c r="G125" s="13" t="s">
        <v>47</v>
      </c>
      <c r="H125" s="13" t="s">
        <v>201</v>
      </c>
      <c r="J125" s="13" t="s">
        <v>115</v>
      </c>
    </row>
    <row r="126" spans="1:10" x14ac:dyDescent="0.25">
      <c r="A126" s="13" t="s">
        <v>117</v>
      </c>
      <c r="D126" s="15">
        <v>9.5047404012435851E-5</v>
      </c>
      <c r="E126" s="13" t="s">
        <v>6</v>
      </c>
      <c r="F126" s="13" t="s">
        <v>46</v>
      </c>
      <c r="G126" s="13" t="s">
        <v>47</v>
      </c>
      <c r="H126" s="13" t="s">
        <v>201</v>
      </c>
      <c r="J126" s="13" t="s">
        <v>115</v>
      </c>
    </row>
    <row r="127" spans="1:10" x14ac:dyDescent="0.25">
      <c r="A127" s="13" t="s">
        <v>118</v>
      </c>
      <c r="D127" s="15">
        <v>6.4106301398614675E-4</v>
      </c>
      <c r="E127" s="13" t="s">
        <v>6</v>
      </c>
      <c r="F127" s="13" t="s">
        <v>46</v>
      </c>
      <c r="G127" s="13" t="s">
        <v>47</v>
      </c>
      <c r="H127" s="13" t="s">
        <v>201</v>
      </c>
      <c r="J127" s="13" t="s">
        <v>115</v>
      </c>
    </row>
    <row r="128" spans="1:10" x14ac:dyDescent="0.25">
      <c r="A128" s="13" t="s">
        <v>119</v>
      </c>
      <c r="D128" s="15">
        <v>5.4948258341669723E-4</v>
      </c>
      <c r="E128" s="13" t="s">
        <v>6</v>
      </c>
      <c r="F128" s="13" t="s">
        <v>46</v>
      </c>
      <c r="G128" s="13" t="s">
        <v>47</v>
      </c>
      <c r="H128" s="13" t="s">
        <v>202</v>
      </c>
      <c r="J128" s="13" t="s">
        <v>115</v>
      </c>
    </row>
    <row r="129" spans="1:10" x14ac:dyDescent="0.25">
      <c r="A129" s="13" t="s">
        <v>120</v>
      </c>
      <c r="D129" s="15">
        <v>6.2274692787225706E-5</v>
      </c>
      <c r="E129" s="13" t="s">
        <v>6</v>
      </c>
      <c r="F129" s="13" t="s">
        <v>46</v>
      </c>
      <c r="G129" s="13" t="s">
        <v>47</v>
      </c>
      <c r="H129" s="13" t="s">
        <v>202</v>
      </c>
      <c r="J129" s="13" t="s">
        <v>115</v>
      </c>
    </row>
    <row r="130" spans="1:10" x14ac:dyDescent="0.25">
      <c r="A130" s="13" t="s">
        <v>121</v>
      </c>
      <c r="D130" s="15">
        <v>1.0113096118597785E-5</v>
      </c>
      <c r="E130" s="13" t="s">
        <v>6</v>
      </c>
      <c r="F130" s="13" t="s">
        <v>46</v>
      </c>
      <c r="G130" s="13" t="s">
        <v>47</v>
      </c>
      <c r="H130" s="13" t="s">
        <v>202</v>
      </c>
      <c r="J130" s="13" t="s">
        <v>115</v>
      </c>
    </row>
    <row r="131" spans="1:10" x14ac:dyDescent="0.25">
      <c r="A131" s="13" t="s">
        <v>122</v>
      </c>
      <c r="D131" s="15">
        <v>7.2924188570587405E-8</v>
      </c>
      <c r="E131" s="13" t="s">
        <v>6</v>
      </c>
      <c r="F131" s="13" t="s">
        <v>46</v>
      </c>
      <c r="G131" s="13" t="s">
        <v>47</v>
      </c>
      <c r="H131" s="13" t="s">
        <v>202</v>
      </c>
      <c r="J131" s="13" t="s">
        <v>115</v>
      </c>
    </row>
    <row r="132" spans="1:10" x14ac:dyDescent="0.25">
      <c r="A132" s="13" t="s">
        <v>123</v>
      </c>
      <c r="D132" s="15">
        <v>1.0335505735695021E-6</v>
      </c>
      <c r="E132" s="13" t="s">
        <v>6</v>
      </c>
      <c r="F132" s="13" t="s">
        <v>46</v>
      </c>
      <c r="G132" s="13" t="s">
        <v>47</v>
      </c>
      <c r="H132" s="13" t="s">
        <v>202</v>
      </c>
      <c r="J132" s="13" t="s">
        <v>115</v>
      </c>
    </row>
    <row r="133" spans="1:10" x14ac:dyDescent="0.25">
      <c r="A133" s="13" t="s">
        <v>124</v>
      </c>
      <c r="D133" s="15">
        <v>3.1137346393612849E-6</v>
      </c>
      <c r="E133" s="13" t="s">
        <v>6</v>
      </c>
      <c r="F133" s="13" t="s">
        <v>46</v>
      </c>
      <c r="G133" s="13" t="s">
        <v>47</v>
      </c>
      <c r="H133" s="13" t="s">
        <v>202</v>
      </c>
      <c r="J133" s="13" t="s">
        <v>115</v>
      </c>
    </row>
    <row r="134" spans="1:10" x14ac:dyDescent="0.25">
      <c r="A134" s="13" t="s">
        <v>125</v>
      </c>
      <c r="D134" s="15">
        <v>1.13821392279173E-6</v>
      </c>
      <c r="E134" s="13" t="s">
        <v>6</v>
      </c>
      <c r="F134" s="13" t="s">
        <v>46</v>
      </c>
      <c r="G134" s="13" t="s">
        <v>47</v>
      </c>
      <c r="H134" s="13" t="s">
        <v>202</v>
      </c>
      <c r="J134" s="13" t="s">
        <v>115</v>
      </c>
    </row>
    <row r="135" spans="1:10" x14ac:dyDescent="0.25">
      <c r="A135" s="13" t="s">
        <v>126</v>
      </c>
      <c r="D135" s="15">
        <v>6.7560191922948207E-5</v>
      </c>
      <c r="E135" s="13" t="s">
        <v>6</v>
      </c>
      <c r="F135" s="13" t="s">
        <v>46</v>
      </c>
      <c r="G135" s="13" t="s">
        <v>47</v>
      </c>
      <c r="H135" s="13" t="s">
        <v>202</v>
      </c>
      <c r="J135" s="13" t="s">
        <v>115</v>
      </c>
    </row>
    <row r="136" spans="1:10" x14ac:dyDescent="0.25">
      <c r="A136" s="13" t="s">
        <v>127</v>
      </c>
      <c r="D136" s="15">
        <v>2.0801840657917824E-6</v>
      </c>
      <c r="E136" s="13" t="s">
        <v>6</v>
      </c>
      <c r="F136" s="13" t="s">
        <v>46</v>
      </c>
      <c r="G136" s="13" t="s">
        <v>47</v>
      </c>
      <c r="H136" s="13" t="s">
        <v>202</v>
      </c>
      <c r="J136" s="13" t="s">
        <v>115</v>
      </c>
    </row>
    <row r="137" spans="1:10" x14ac:dyDescent="0.25">
      <c r="A137" s="13" t="s">
        <v>128</v>
      </c>
      <c r="D137" s="15">
        <v>2.1848474150140107E-6</v>
      </c>
      <c r="E137" s="13" t="s">
        <v>6</v>
      </c>
      <c r="F137" s="13" t="s">
        <v>46</v>
      </c>
      <c r="G137" s="13" t="s">
        <v>47</v>
      </c>
      <c r="H137" s="13" t="s">
        <v>202</v>
      </c>
      <c r="J137" s="13" t="s">
        <v>115</v>
      </c>
    </row>
    <row r="138" spans="1:10" x14ac:dyDescent="0.25">
      <c r="A138" s="13" t="s">
        <v>129</v>
      </c>
      <c r="D138" s="15">
        <v>1.242877272013958E-6</v>
      </c>
      <c r="E138" s="13" t="s">
        <v>6</v>
      </c>
      <c r="F138" s="13" t="s">
        <v>46</v>
      </c>
      <c r="G138" s="13" t="s">
        <v>47</v>
      </c>
      <c r="H138" s="13" t="s">
        <v>202</v>
      </c>
      <c r="J138" s="13" t="s">
        <v>115</v>
      </c>
    </row>
    <row r="139" spans="1:10" x14ac:dyDescent="0.25">
      <c r="A139" s="13" t="s">
        <v>130</v>
      </c>
      <c r="D139" s="15">
        <v>3.1399004766668415E-7</v>
      </c>
      <c r="E139" s="13" t="s">
        <v>6</v>
      </c>
      <c r="F139" s="13" t="s">
        <v>46</v>
      </c>
      <c r="G139" s="13" t="s">
        <v>47</v>
      </c>
      <c r="H139" s="13" t="s">
        <v>202</v>
      </c>
      <c r="J139" s="13" t="s">
        <v>115</v>
      </c>
    </row>
    <row r="140" spans="1:10" s="17" customFormat="1" x14ac:dyDescent="0.25"/>
    <row r="141" spans="1:10" x14ac:dyDescent="0.25">
      <c r="A141" s="11" t="s">
        <v>0</v>
      </c>
      <c r="B141" s="12" t="s">
        <v>226</v>
      </c>
    </row>
    <row r="142" spans="1:10" x14ac:dyDescent="0.25">
      <c r="A142" s="14" t="s">
        <v>1</v>
      </c>
      <c r="B142" s="13" t="s">
        <v>205</v>
      </c>
    </row>
    <row r="143" spans="1:10" x14ac:dyDescent="0.25">
      <c r="A143" s="14" t="s">
        <v>2</v>
      </c>
      <c r="B143" s="13" t="s">
        <v>80</v>
      </c>
    </row>
    <row r="144" spans="1:10" x14ac:dyDescent="0.25">
      <c r="A144" s="14" t="s">
        <v>4</v>
      </c>
      <c r="B144" s="13">
        <v>1</v>
      </c>
    </row>
    <row r="145" spans="1:14" x14ac:dyDescent="0.25">
      <c r="A145" s="14" t="s">
        <v>5</v>
      </c>
      <c r="B145" s="13" t="s">
        <v>6</v>
      </c>
    </row>
    <row r="146" spans="1:14" x14ac:dyDescent="0.25">
      <c r="A146" s="14" t="s">
        <v>7</v>
      </c>
      <c r="B146" s="15" t="s">
        <v>391</v>
      </c>
    </row>
    <row r="147" spans="1:14" x14ac:dyDescent="0.25">
      <c r="A147" s="14" t="s">
        <v>9</v>
      </c>
    </row>
    <row r="148" spans="1:14" x14ac:dyDescent="0.25">
      <c r="A148" s="11" t="s">
        <v>10</v>
      </c>
      <c r="B148" s="11" t="s">
        <v>1</v>
      </c>
      <c r="C148" s="11" t="s">
        <v>2</v>
      </c>
      <c r="D148" s="11" t="s">
        <v>4</v>
      </c>
      <c r="E148" s="11" t="s">
        <v>5</v>
      </c>
      <c r="F148" s="11" t="s">
        <v>11</v>
      </c>
      <c r="G148" s="11" t="s">
        <v>12</v>
      </c>
      <c r="H148" s="11" t="s">
        <v>13</v>
      </c>
      <c r="I148" s="11" t="s">
        <v>14</v>
      </c>
      <c r="J148" s="11" t="s">
        <v>15</v>
      </c>
      <c r="K148" s="11" t="s">
        <v>16</v>
      </c>
      <c r="L148" s="11" t="s">
        <v>17</v>
      </c>
      <c r="M148" s="11" t="s">
        <v>18</v>
      </c>
      <c r="N148" s="11" t="s">
        <v>19</v>
      </c>
    </row>
    <row r="149" spans="1:14" x14ac:dyDescent="0.25">
      <c r="A149" s="13" t="s">
        <v>226</v>
      </c>
      <c r="B149" s="13" t="s">
        <v>205</v>
      </c>
      <c r="C149" s="13" t="s">
        <v>80</v>
      </c>
      <c r="D149" s="13">
        <v>1</v>
      </c>
      <c r="E149" s="13" t="s">
        <v>6</v>
      </c>
      <c r="F149" s="16" t="s">
        <v>56</v>
      </c>
      <c r="G149" s="13" t="s">
        <v>20</v>
      </c>
    </row>
    <row r="150" spans="1:14" x14ac:dyDescent="0.25">
      <c r="A150" s="13" t="s">
        <v>223</v>
      </c>
      <c r="B150" s="13" t="s">
        <v>205</v>
      </c>
      <c r="C150" s="13" t="s">
        <v>80</v>
      </c>
      <c r="D150" s="13">
        <v>1</v>
      </c>
      <c r="E150" s="13" t="s">
        <v>6</v>
      </c>
      <c r="F150" s="16" t="s">
        <v>56</v>
      </c>
      <c r="G150" s="13" t="s">
        <v>21</v>
      </c>
    </row>
    <row r="151" spans="1:14" x14ac:dyDescent="0.25">
      <c r="A151" s="13" t="s">
        <v>372</v>
      </c>
      <c r="B151" s="13" t="s">
        <v>225</v>
      </c>
      <c r="C151" s="13" t="s">
        <v>80</v>
      </c>
      <c r="D151" s="15">
        <v>2.2895107642362387</v>
      </c>
      <c r="E151" s="13" t="s">
        <v>6</v>
      </c>
      <c r="F151" s="16" t="s">
        <v>56</v>
      </c>
      <c r="G151" s="13" t="s">
        <v>21</v>
      </c>
    </row>
    <row r="152" spans="1:14" x14ac:dyDescent="0.25">
      <c r="A152" s="13" t="s">
        <v>371</v>
      </c>
      <c r="B152" s="13" t="s">
        <v>209</v>
      </c>
      <c r="C152" s="13" t="s">
        <v>80</v>
      </c>
      <c r="D152" s="15">
        <v>2.2895107642362387</v>
      </c>
      <c r="E152" s="13" t="s">
        <v>6</v>
      </c>
      <c r="F152" s="16" t="s">
        <v>56</v>
      </c>
      <c r="G152" s="13" t="s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C9A4-FA7F-4BE9-8B2D-FD090D2BC0E3}">
  <sheetPr>
    <tabColor theme="8" tint="0.39997558519241921"/>
  </sheetPr>
  <dimension ref="A1:N148"/>
  <sheetViews>
    <sheetView workbookViewId="0">
      <selection activeCell="B157" sqref="B157"/>
    </sheetView>
  </sheetViews>
  <sheetFormatPr baseColWidth="10" defaultColWidth="8.7109375" defaultRowHeight="15" x14ac:dyDescent="0.25"/>
  <cols>
    <col min="1" max="1" width="66.7109375" style="13" bestFit="1" customWidth="1"/>
    <col min="2" max="2" width="67.28515625" style="13" bestFit="1" customWidth="1"/>
    <col min="3" max="3" width="8.28515625" style="13" bestFit="1" customWidth="1"/>
    <col min="4" max="4" width="11" style="13" bestFit="1" customWidth="1"/>
    <col min="5" max="5" width="17.5703125" style="13" bestFit="1" customWidth="1"/>
    <col min="6" max="6" width="20.28515625" style="13" bestFit="1" customWidth="1"/>
    <col min="7" max="7" width="13.28515625" style="13" bestFit="1" customWidth="1"/>
    <col min="8" max="8" width="25.28515625" style="13" bestFit="1" customWidth="1"/>
    <col min="9" max="9" width="15.5703125" style="13" bestFit="1" customWidth="1"/>
    <col min="10" max="10" width="9.7109375" style="13" bestFit="1" customWidth="1"/>
    <col min="11" max="11" width="3.5703125" style="13" bestFit="1" customWidth="1"/>
    <col min="12" max="12" width="5.42578125" style="13" bestFit="1" customWidth="1"/>
    <col min="13" max="13" width="9.5703125" style="13" bestFit="1" customWidth="1"/>
    <col min="14" max="14" width="9.7109375" style="13" bestFit="1" customWidth="1"/>
    <col min="15" max="16384" width="8.7109375" style="13"/>
  </cols>
  <sheetData>
    <row r="1" spans="1:14" x14ac:dyDescent="0.25">
      <c r="A1" s="11" t="s">
        <v>0</v>
      </c>
      <c r="B1" s="12" t="s">
        <v>373</v>
      </c>
    </row>
    <row r="2" spans="1:14" x14ac:dyDescent="0.25">
      <c r="A2" s="14" t="s">
        <v>1</v>
      </c>
      <c r="B2" s="13" t="s">
        <v>209</v>
      </c>
    </row>
    <row r="3" spans="1:14" x14ac:dyDescent="0.25">
      <c r="A3" s="14" t="s">
        <v>2</v>
      </c>
      <c r="B3" s="13" t="s">
        <v>80</v>
      </c>
    </row>
    <row r="4" spans="1:14" x14ac:dyDescent="0.25">
      <c r="A4" s="14" t="s">
        <v>4</v>
      </c>
      <c r="B4" s="13">
        <v>1</v>
      </c>
    </row>
    <row r="5" spans="1:14" x14ac:dyDescent="0.25">
      <c r="A5" s="14" t="s">
        <v>5</v>
      </c>
      <c r="B5" s="13" t="s">
        <v>6</v>
      </c>
    </row>
    <row r="6" spans="1:14" ht="60" x14ac:dyDescent="0.25">
      <c r="A6" s="14" t="s">
        <v>7</v>
      </c>
      <c r="B6" s="22" t="s">
        <v>401</v>
      </c>
    </row>
    <row r="7" spans="1:14" x14ac:dyDescent="0.25">
      <c r="A7" s="14" t="s">
        <v>9</v>
      </c>
    </row>
    <row r="8" spans="1:14" x14ac:dyDescent="0.25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25">
      <c r="A9" s="13" t="s">
        <v>373</v>
      </c>
      <c r="B9" s="13" t="s">
        <v>209</v>
      </c>
      <c r="C9" s="13" t="s">
        <v>80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25">
      <c r="A10" s="13" t="s">
        <v>140</v>
      </c>
      <c r="B10" s="13" t="s">
        <v>141</v>
      </c>
      <c r="C10" s="13" t="s">
        <v>28</v>
      </c>
      <c r="D10" s="13">
        <v>4.2049999999999997E-2</v>
      </c>
      <c r="E10" s="13" t="s">
        <v>6</v>
      </c>
      <c r="F10" s="13" t="s">
        <v>206</v>
      </c>
      <c r="G10" s="13" t="s">
        <v>21</v>
      </c>
      <c r="J10" s="13" t="s">
        <v>81</v>
      </c>
    </row>
    <row r="11" spans="1:14" x14ac:dyDescent="0.25">
      <c r="A11" s="13" t="s">
        <v>100</v>
      </c>
      <c r="B11" s="13" t="s">
        <v>101</v>
      </c>
      <c r="C11" s="13" t="s">
        <v>28</v>
      </c>
      <c r="D11" s="13">
        <v>5.7970000000000002E-5</v>
      </c>
      <c r="E11" s="13" t="s">
        <v>6</v>
      </c>
      <c r="F11" s="13" t="s">
        <v>206</v>
      </c>
      <c r="G11" s="13" t="s">
        <v>21</v>
      </c>
      <c r="J11" s="13" t="s">
        <v>81</v>
      </c>
    </row>
    <row r="12" spans="1:14" x14ac:dyDescent="0.25">
      <c r="A12" s="13" t="s">
        <v>142</v>
      </c>
      <c r="B12" s="13" t="s">
        <v>143</v>
      </c>
      <c r="C12" s="13" t="s">
        <v>28</v>
      </c>
      <c r="D12" s="13">
        <v>4.7790000000000003E-6</v>
      </c>
      <c r="E12" s="13" t="s">
        <v>6</v>
      </c>
      <c r="F12" s="13" t="s">
        <v>206</v>
      </c>
      <c r="G12" s="13" t="s">
        <v>21</v>
      </c>
      <c r="J12" s="13" t="s">
        <v>81</v>
      </c>
    </row>
    <row r="13" spans="1:14" x14ac:dyDescent="0.25">
      <c r="A13" s="13" t="s">
        <v>144</v>
      </c>
      <c r="B13" s="13" t="s">
        <v>145</v>
      </c>
      <c r="C13" s="13" t="s">
        <v>28</v>
      </c>
      <c r="D13" s="13">
        <v>0.11244</v>
      </c>
      <c r="E13" s="13" t="s">
        <v>6</v>
      </c>
      <c r="F13" s="13" t="s">
        <v>206</v>
      </c>
      <c r="G13" s="13" t="s">
        <v>21</v>
      </c>
      <c r="J13" s="13" t="s">
        <v>81</v>
      </c>
    </row>
    <row r="14" spans="1:14" x14ac:dyDescent="0.25">
      <c r="A14" s="13" t="s">
        <v>146</v>
      </c>
      <c r="B14" s="13" t="s">
        <v>147</v>
      </c>
      <c r="C14" s="13" t="s">
        <v>28</v>
      </c>
      <c r="D14" s="13">
        <v>9.1000000000000003E-5</v>
      </c>
      <c r="E14" s="13" t="s">
        <v>6</v>
      </c>
      <c r="F14" s="13" t="s">
        <v>206</v>
      </c>
      <c r="G14" s="13" t="s">
        <v>21</v>
      </c>
      <c r="J14" s="13" t="s">
        <v>81</v>
      </c>
    </row>
    <row r="15" spans="1:14" x14ac:dyDescent="0.25">
      <c r="A15" s="13" t="s">
        <v>148</v>
      </c>
      <c r="B15" s="13" t="s">
        <v>149</v>
      </c>
      <c r="C15" s="13" t="s">
        <v>25</v>
      </c>
      <c r="D15" s="13">
        <v>2.4700000000000002</v>
      </c>
      <c r="E15" s="13" t="s">
        <v>6</v>
      </c>
      <c r="F15" s="13" t="s">
        <v>206</v>
      </c>
      <c r="G15" s="13" t="s">
        <v>21</v>
      </c>
      <c r="J15" s="13" t="s">
        <v>81</v>
      </c>
    </row>
    <row r="16" spans="1:14" x14ac:dyDescent="0.25">
      <c r="A16" s="13" t="s">
        <v>150</v>
      </c>
      <c r="B16" s="13" t="s">
        <v>151</v>
      </c>
      <c r="C16" s="13" t="s">
        <v>25</v>
      </c>
      <c r="D16" s="13">
        <v>2.8999999999999998E-3</v>
      </c>
      <c r="E16" s="13" t="s">
        <v>6</v>
      </c>
      <c r="F16" s="13" t="s">
        <v>206</v>
      </c>
      <c r="G16" s="13" t="s">
        <v>21</v>
      </c>
      <c r="J16" s="13" t="s">
        <v>81</v>
      </c>
    </row>
    <row r="17" spans="1:10" x14ac:dyDescent="0.25">
      <c r="A17" s="13" t="s">
        <v>85</v>
      </c>
      <c r="B17" s="13" t="s">
        <v>86</v>
      </c>
      <c r="C17" s="13" t="s">
        <v>28</v>
      </c>
      <c r="D17" s="13">
        <v>2.2190000000000001E-2</v>
      </c>
      <c r="E17" s="13" t="s">
        <v>6</v>
      </c>
      <c r="F17" s="13" t="s">
        <v>206</v>
      </c>
      <c r="G17" s="13" t="s">
        <v>21</v>
      </c>
      <c r="J17" s="13" t="s">
        <v>81</v>
      </c>
    </row>
    <row r="18" spans="1:10" x14ac:dyDescent="0.25">
      <c r="A18" s="13" t="s">
        <v>152</v>
      </c>
      <c r="B18" s="13" t="s">
        <v>153</v>
      </c>
      <c r="C18" s="13" t="s">
        <v>28</v>
      </c>
      <c r="D18" s="13">
        <v>1.0869999999999999E-2</v>
      </c>
      <c r="E18" s="13" t="s">
        <v>6</v>
      </c>
      <c r="F18" s="13" t="s">
        <v>206</v>
      </c>
      <c r="G18" s="13" t="s">
        <v>21</v>
      </c>
      <c r="J18" s="13" t="s">
        <v>81</v>
      </c>
    </row>
    <row r="19" spans="1:10" x14ac:dyDescent="0.25">
      <c r="A19" s="13" t="s">
        <v>154</v>
      </c>
      <c r="B19" s="13" t="s">
        <v>155</v>
      </c>
      <c r="C19" s="13" t="s">
        <v>28</v>
      </c>
      <c r="D19" s="13">
        <v>1.8120000000000001E-2</v>
      </c>
      <c r="E19" s="13" t="s">
        <v>6</v>
      </c>
      <c r="F19" s="13" t="s">
        <v>206</v>
      </c>
      <c r="G19" s="13" t="s">
        <v>21</v>
      </c>
      <c r="J19" s="13" t="s">
        <v>81</v>
      </c>
    </row>
    <row r="20" spans="1:10" x14ac:dyDescent="0.25">
      <c r="A20" s="13" t="s">
        <v>98</v>
      </c>
      <c r="B20" s="13" t="s">
        <v>99</v>
      </c>
      <c r="C20" s="13" t="s">
        <v>80</v>
      </c>
      <c r="D20" s="13">
        <v>1.585E-2</v>
      </c>
      <c r="E20" s="13" t="s">
        <v>6</v>
      </c>
      <c r="F20" s="13" t="s">
        <v>206</v>
      </c>
      <c r="G20" s="13" t="s">
        <v>21</v>
      </c>
      <c r="J20" s="13" t="s">
        <v>81</v>
      </c>
    </row>
    <row r="21" spans="1:10" x14ac:dyDescent="0.25">
      <c r="A21" s="13" t="s">
        <v>156</v>
      </c>
      <c r="B21" s="13" t="s">
        <v>157</v>
      </c>
      <c r="C21" s="13" t="s">
        <v>28</v>
      </c>
      <c r="D21" s="13">
        <v>1.2999999999999999E-4</v>
      </c>
      <c r="E21" s="13" t="s">
        <v>158</v>
      </c>
      <c r="F21" s="13" t="s">
        <v>206</v>
      </c>
      <c r="G21" s="13" t="s">
        <v>21</v>
      </c>
      <c r="J21" s="13" t="s">
        <v>81</v>
      </c>
    </row>
    <row r="22" spans="1:10" x14ac:dyDescent="0.25">
      <c r="A22" s="13" t="s">
        <v>74</v>
      </c>
      <c r="B22" s="13" t="s">
        <v>75</v>
      </c>
      <c r="C22" s="13" t="s">
        <v>25</v>
      </c>
      <c r="D22" s="13">
        <v>5.5370000000000003E-2</v>
      </c>
      <c r="E22" s="13" t="s">
        <v>6</v>
      </c>
      <c r="F22" s="13" t="s">
        <v>206</v>
      </c>
      <c r="G22" s="13" t="s">
        <v>21</v>
      </c>
      <c r="J22" s="13" t="s">
        <v>81</v>
      </c>
    </row>
    <row r="23" spans="1:10" x14ac:dyDescent="0.25">
      <c r="A23" s="13" t="s">
        <v>36</v>
      </c>
      <c r="B23" s="13" t="s">
        <v>37</v>
      </c>
      <c r="C23" s="13" t="s">
        <v>25</v>
      </c>
      <c r="D23" s="13">
        <v>1.39</v>
      </c>
      <c r="E23" s="13" t="s">
        <v>38</v>
      </c>
      <c r="F23" s="13" t="s">
        <v>206</v>
      </c>
      <c r="G23" s="13" t="s">
        <v>21</v>
      </c>
      <c r="J23" s="13" t="s">
        <v>81</v>
      </c>
    </row>
    <row r="24" spans="1:10" x14ac:dyDescent="0.25">
      <c r="A24" s="13" t="s">
        <v>26</v>
      </c>
      <c r="B24" s="13" t="s">
        <v>27</v>
      </c>
      <c r="C24" s="13" t="s">
        <v>80</v>
      </c>
      <c r="D24" s="13">
        <v>4.16</v>
      </c>
      <c r="E24" s="13" t="s">
        <v>29</v>
      </c>
      <c r="F24" s="13" t="s">
        <v>206</v>
      </c>
      <c r="G24" s="13" t="s">
        <v>21</v>
      </c>
      <c r="J24" s="13" t="s">
        <v>81</v>
      </c>
    </row>
    <row r="25" spans="1:10" x14ac:dyDescent="0.25">
      <c r="A25" s="13" t="s">
        <v>159</v>
      </c>
      <c r="B25" s="13" t="s">
        <v>160</v>
      </c>
      <c r="C25" s="13" t="s">
        <v>28</v>
      </c>
      <c r="D25" s="13">
        <v>1.6100000000000001E-3</v>
      </c>
      <c r="E25" s="13" t="s">
        <v>6</v>
      </c>
      <c r="F25" s="13" t="s">
        <v>206</v>
      </c>
      <c r="G25" s="13" t="s">
        <v>21</v>
      </c>
      <c r="J25" s="13" t="s">
        <v>81</v>
      </c>
    </row>
    <row r="26" spans="1:10" x14ac:dyDescent="0.25">
      <c r="A26" s="13" t="s">
        <v>161</v>
      </c>
      <c r="B26" s="13" t="s">
        <v>162</v>
      </c>
      <c r="C26" s="13" t="s">
        <v>25</v>
      </c>
      <c r="D26" s="13">
        <v>1.6100000000000001E-3</v>
      </c>
      <c r="E26" s="13" t="s">
        <v>6</v>
      </c>
      <c r="F26" s="13" t="s">
        <v>206</v>
      </c>
      <c r="G26" s="13" t="s">
        <v>21</v>
      </c>
      <c r="J26" s="13" t="s">
        <v>81</v>
      </c>
    </row>
    <row r="27" spans="1:10" x14ac:dyDescent="0.25">
      <c r="A27" s="13" t="s">
        <v>58</v>
      </c>
      <c r="B27" s="13" t="s">
        <v>59</v>
      </c>
      <c r="C27" s="13" t="s">
        <v>80</v>
      </c>
      <c r="D27" s="13">
        <v>0.5</v>
      </c>
      <c r="E27" s="13" t="s">
        <v>6</v>
      </c>
      <c r="F27" s="13" t="s">
        <v>206</v>
      </c>
      <c r="G27" s="13" t="s">
        <v>21</v>
      </c>
      <c r="J27" s="13" t="s">
        <v>81</v>
      </c>
    </row>
    <row r="28" spans="1:10" x14ac:dyDescent="0.25">
      <c r="A28" s="13" t="s">
        <v>106</v>
      </c>
      <c r="B28" s="13" t="s">
        <v>107</v>
      </c>
      <c r="C28" s="13" t="s">
        <v>25</v>
      </c>
      <c r="D28" s="13">
        <v>-1.3350000000000001E-2</v>
      </c>
      <c r="E28" s="13" t="s">
        <v>6</v>
      </c>
      <c r="F28" s="13" t="s">
        <v>206</v>
      </c>
      <c r="G28" s="13" t="s">
        <v>21</v>
      </c>
      <c r="J28" s="13" t="s">
        <v>81</v>
      </c>
    </row>
    <row r="29" spans="1:10" x14ac:dyDescent="0.25">
      <c r="A29" s="13" t="s">
        <v>104</v>
      </c>
      <c r="B29" s="13" t="s">
        <v>105</v>
      </c>
      <c r="C29" s="13" t="s">
        <v>25</v>
      </c>
      <c r="D29" s="13">
        <v>-0.24875</v>
      </c>
      <c r="E29" s="13" t="s">
        <v>50</v>
      </c>
      <c r="F29" s="13" t="s">
        <v>206</v>
      </c>
      <c r="G29" s="13" t="s">
        <v>21</v>
      </c>
      <c r="J29" s="13" t="s">
        <v>81</v>
      </c>
    </row>
    <row r="30" spans="1:10" x14ac:dyDescent="0.25">
      <c r="A30" s="13" t="s">
        <v>108</v>
      </c>
      <c r="B30" s="13" t="s">
        <v>109</v>
      </c>
      <c r="C30" s="13" t="s">
        <v>25</v>
      </c>
      <c r="D30" s="13">
        <v>-1.01E-3</v>
      </c>
      <c r="E30" s="13" t="s">
        <v>6</v>
      </c>
      <c r="F30" s="13" t="s">
        <v>206</v>
      </c>
      <c r="G30" s="13" t="s">
        <v>21</v>
      </c>
      <c r="J30" s="13" t="s">
        <v>81</v>
      </c>
    </row>
    <row r="31" spans="1:10" x14ac:dyDescent="0.25">
      <c r="A31" s="13" t="s">
        <v>163</v>
      </c>
      <c r="D31" s="13">
        <v>8.9999999999999992E-5</v>
      </c>
      <c r="E31" s="13" t="s">
        <v>50</v>
      </c>
      <c r="F31" s="13" t="s">
        <v>46</v>
      </c>
      <c r="G31" s="13" t="s">
        <v>47</v>
      </c>
      <c r="H31" s="13" t="s">
        <v>164</v>
      </c>
      <c r="J31" s="13" t="s">
        <v>81</v>
      </c>
    </row>
    <row r="32" spans="1:10" x14ac:dyDescent="0.25">
      <c r="A32" s="13" t="s">
        <v>49</v>
      </c>
      <c r="D32" s="13">
        <v>7.9060000000000005E-2</v>
      </c>
      <c r="E32" s="13" t="s">
        <v>50</v>
      </c>
      <c r="F32" s="13" t="s">
        <v>46</v>
      </c>
      <c r="G32" s="13" t="s">
        <v>47</v>
      </c>
      <c r="H32" s="13" t="s">
        <v>48</v>
      </c>
      <c r="J32" s="13" t="s">
        <v>81</v>
      </c>
    </row>
    <row r="33" spans="1:10" x14ac:dyDescent="0.25">
      <c r="A33" s="13" t="s">
        <v>139</v>
      </c>
      <c r="D33" s="13">
        <v>4.4299999999999999E-3</v>
      </c>
      <c r="E33" s="13" t="s">
        <v>112</v>
      </c>
      <c r="F33" s="13" t="s">
        <v>46</v>
      </c>
      <c r="G33" s="13" t="s">
        <v>47</v>
      </c>
      <c r="H33" s="13" t="s">
        <v>113</v>
      </c>
      <c r="J33" s="13" t="s">
        <v>81</v>
      </c>
    </row>
    <row r="34" spans="1:10" x14ac:dyDescent="0.25">
      <c r="A34" s="13" t="s">
        <v>118</v>
      </c>
      <c r="D34" s="13">
        <v>4.4600000000000004E-3</v>
      </c>
      <c r="E34" s="13" t="s">
        <v>6</v>
      </c>
      <c r="F34" s="13" t="s">
        <v>46</v>
      </c>
      <c r="G34" s="13" t="s">
        <v>47</v>
      </c>
      <c r="H34" s="13" t="s">
        <v>201</v>
      </c>
      <c r="J34" s="13" t="s">
        <v>81</v>
      </c>
    </row>
    <row r="35" spans="1:10" x14ac:dyDescent="0.25">
      <c r="A35" s="13" t="s">
        <v>165</v>
      </c>
      <c r="D35" s="13">
        <v>5.9999999999999995E-4</v>
      </c>
      <c r="E35" s="13" t="s">
        <v>6</v>
      </c>
      <c r="F35" s="13" t="s">
        <v>46</v>
      </c>
      <c r="G35" s="13" t="s">
        <v>47</v>
      </c>
      <c r="H35" s="13" t="s">
        <v>201</v>
      </c>
      <c r="J35" s="13" t="s">
        <v>81</v>
      </c>
    </row>
    <row r="36" spans="1:10" x14ac:dyDescent="0.25">
      <c r="A36" s="13" t="s">
        <v>166</v>
      </c>
      <c r="D36" s="13">
        <v>1.5100000000000001E-3</v>
      </c>
      <c r="E36" s="13" t="s">
        <v>6</v>
      </c>
      <c r="F36" s="13" t="s">
        <v>46</v>
      </c>
      <c r="G36" s="13" t="s">
        <v>47</v>
      </c>
      <c r="H36" s="13" t="s">
        <v>201</v>
      </c>
      <c r="J36" s="13" t="s">
        <v>81</v>
      </c>
    </row>
    <row r="37" spans="1:10" x14ac:dyDescent="0.25">
      <c r="A37" s="13" t="s">
        <v>128</v>
      </c>
      <c r="D37" s="13">
        <v>3.4210000000000013E-5</v>
      </c>
      <c r="E37" s="13" t="s">
        <v>6</v>
      </c>
      <c r="F37" s="13" t="s">
        <v>46</v>
      </c>
      <c r="G37" s="13" t="s">
        <v>47</v>
      </c>
      <c r="H37" s="13" t="s">
        <v>201</v>
      </c>
      <c r="J37" s="13" t="s">
        <v>81</v>
      </c>
    </row>
    <row r="38" spans="1:10" x14ac:dyDescent="0.25">
      <c r="A38" s="13" t="s">
        <v>127</v>
      </c>
      <c r="D38" s="13">
        <v>1.3190000000000001E-5</v>
      </c>
      <c r="E38" s="13" t="s">
        <v>6</v>
      </c>
      <c r="F38" s="13" t="s">
        <v>46</v>
      </c>
      <c r="G38" s="13" t="s">
        <v>47</v>
      </c>
      <c r="H38" s="13" t="s">
        <v>201</v>
      </c>
      <c r="J38" s="13" t="s">
        <v>81</v>
      </c>
    </row>
    <row r="39" spans="1:10" x14ac:dyDescent="0.25">
      <c r="A39" s="13" t="s">
        <v>167</v>
      </c>
      <c r="D39" s="13">
        <v>1.19E-6</v>
      </c>
      <c r="E39" s="13" t="s">
        <v>6</v>
      </c>
      <c r="F39" s="13" t="s">
        <v>46</v>
      </c>
      <c r="G39" s="13" t="s">
        <v>47</v>
      </c>
      <c r="H39" s="13" t="s">
        <v>201</v>
      </c>
      <c r="J39" s="13" t="s">
        <v>81</v>
      </c>
    </row>
    <row r="40" spans="1:10" x14ac:dyDescent="0.25">
      <c r="A40" s="13" t="s">
        <v>168</v>
      </c>
      <c r="D40" s="13">
        <v>1.1999999999999999E-7</v>
      </c>
      <c r="E40" s="13" t="s">
        <v>6</v>
      </c>
      <c r="F40" s="13" t="s">
        <v>46</v>
      </c>
      <c r="G40" s="13" t="s">
        <v>47</v>
      </c>
      <c r="H40" s="13" t="s">
        <v>201</v>
      </c>
      <c r="J40" s="13" t="s">
        <v>81</v>
      </c>
    </row>
    <row r="41" spans="1:10" x14ac:dyDescent="0.25">
      <c r="A41" s="13" t="s">
        <v>169</v>
      </c>
      <c r="D41" s="13">
        <v>1.1999999999999999E-7</v>
      </c>
      <c r="E41" s="13" t="s">
        <v>6</v>
      </c>
      <c r="F41" s="13" t="s">
        <v>46</v>
      </c>
      <c r="G41" s="13" t="s">
        <v>47</v>
      </c>
      <c r="H41" s="13" t="s">
        <v>201</v>
      </c>
      <c r="J41" s="13" t="s">
        <v>81</v>
      </c>
    </row>
    <row r="42" spans="1:10" x14ac:dyDescent="0.25">
      <c r="A42" s="13" t="s">
        <v>129</v>
      </c>
      <c r="D42" s="13">
        <v>3.5999999999999999E-7</v>
      </c>
      <c r="E42" s="13" t="s">
        <v>6</v>
      </c>
      <c r="F42" s="13" t="s">
        <v>46</v>
      </c>
      <c r="G42" s="13" t="s">
        <v>47</v>
      </c>
      <c r="H42" s="13" t="s">
        <v>201</v>
      </c>
      <c r="J42" s="13" t="s">
        <v>81</v>
      </c>
    </row>
    <row r="43" spans="1:10" x14ac:dyDescent="0.25">
      <c r="A43" s="13" t="s">
        <v>170</v>
      </c>
      <c r="D43" s="13">
        <v>2.3800000000000001E-6</v>
      </c>
      <c r="E43" s="13" t="s">
        <v>6</v>
      </c>
      <c r="F43" s="13" t="s">
        <v>46</v>
      </c>
      <c r="G43" s="13" t="s">
        <v>47</v>
      </c>
      <c r="H43" s="13" t="s">
        <v>201</v>
      </c>
      <c r="J43" s="13" t="s">
        <v>81</v>
      </c>
    </row>
    <row r="44" spans="1:10" x14ac:dyDescent="0.25">
      <c r="A44" s="13" t="s">
        <v>127</v>
      </c>
      <c r="D44" s="13">
        <v>2.932E-5</v>
      </c>
      <c r="E44" s="13" t="s">
        <v>6</v>
      </c>
      <c r="F44" s="13" t="s">
        <v>46</v>
      </c>
      <c r="G44" s="13" t="s">
        <v>47</v>
      </c>
      <c r="H44" s="13" t="s">
        <v>203</v>
      </c>
      <c r="J44" s="13" t="s">
        <v>81</v>
      </c>
    </row>
    <row r="45" spans="1:10" x14ac:dyDescent="0.25">
      <c r="A45" s="13" t="s">
        <v>128</v>
      </c>
      <c r="D45" s="13">
        <v>1.499E-5</v>
      </c>
      <c r="E45" s="13" t="s">
        <v>6</v>
      </c>
      <c r="F45" s="13" t="s">
        <v>46</v>
      </c>
      <c r="G45" s="13" t="s">
        <v>47</v>
      </c>
      <c r="H45" s="13" t="s">
        <v>203</v>
      </c>
      <c r="J45" s="13" t="s">
        <v>81</v>
      </c>
    </row>
    <row r="46" spans="1:10" x14ac:dyDescent="0.25">
      <c r="A46" s="13" t="s">
        <v>130</v>
      </c>
      <c r="D46" s="13">
        <v>1.9999999999999999E-6</v>
      </c>
      <c r="E46" s="13" t="s">
        <v>6</v>
      </c>
      <c r="F46" s="13" t="s">
        <v>46</v>
      </c>
      <c r="G46" s="13" t="s">
        <v>47</v>
      </c>
      <c r="H46" s="13" t="s">
        <v>203</v>
      </c>
      <c r="J46" s="13" t="s">
        <v>81</v>
      </c>
    </row>
    <row r="47" spans="1:10" x14ac:dyDescent="0.25">
      <c r="A47" s="13" t="s">
        <v>169</v>
      </c>
      <c r="D47" s="13">
        <v>7.4100000000000002E-6</v>
      </c>
      <c r="E47" s="13" t="s">
        <v>6</v>
      </c>
      <c r="F47" s="13" t="s">
        <v>46</v>
      </c>
      <c r="G47" s="13" t="s">
        <v>47</v>
      </c>
      <c r="H47" s="13" t="s">
        <v>203</v>
      </c>
      <c r="J47" s="13" t="s">
        <v>81</v>
      </c>
    </row>
    <row r="48" spans="1:10" x14ac:dyDescent="0.25">
      <c r="A48" s="13" t="s">
        <v>170</v>
      </c>
      <c r="D48" s="13">
        <v>4.0500000000000002E-6</v>
      </c>
      <c r="E48" s="13" t="s">
        <v>6</v>
      </c>
      <c r="F48" s="13" t="s">
        <v>46</v>
      </c>
      <c r="G48" s="13" t="s">
        <v>47</v>
      </c>
      <c r="H48" s="13" t="s">
        <v>203</v>
      </c>
      <c r="J48" s="13" t="s">
        <v>81</v>
      </c>
    </row>
    <row r="49" spans="1:14" s="21" customFormat="1" x14ac:dyDescent="0.25"/>
    <row r="50" spans="1:14" x14ac:dyDescent="0.25">
      <c r="A50" s="11" t="s">
        <v>0</v>
      </c>
      <c r="B50" s="12" t="s">
        <v>374</v>
      </c>
    </row>
    <row r="51" spans="1:14" x14ac:dyDescent="0.25">
      <c r="A51" s="14" t="s">
        <v>1</v>
      </c>
      <c r="B51" s="13" t="s">
        <v>225</v>
      </c>
    </row>
    <row r="52" spans="1:14" x14ac:dyDescent="0.25">
      <c r="A52" s="14" t="s">
        <v>2</v>
      </c>
      <c r="B52" s="13" t="s">
        <v>80</v>
      </c>
    </row>
    <row r="53" spans="1:14" x14ac:dyDescent="0.25">
      <c r="A53" s="14" t="s">
        <v>4</v>
      </c>
      <c r="B53" s="13">
        <v>1</v>
      </c>
    </row>
    <row r="54" spans="1:14" x14ac:dyDescent="0.25">
      <c r="A54" s="14" t="s">
        <v>5</v>
      </c>
      <c r="B54" s="13" t="s">
        <v>6</v>
      </c>
    </row>
    <row r="55" spans="1:14" x14ac:dyDescent="0.25">
      <c r="A55" s="14" t="s">
        <v>7</v>
      </c>
      <c r="B55" s="18" t="s">
        <v>8</v>
      </c>
    </row>
    <row r="56" spans="1:14" x14ac:dyDescent="0.25">
      <c r="A56" s="14" t="s">
        <v>9</v>
      </c>
    </row>
    <row r="57" spans="1:14" x14ac:dyDescent="0.25">
      <c r="A57" s="11" t="s">
        <v>10</v>
      </c>
      <c r="B57" s="11" t="s">
        <v>1</v>
      </c>
      <c r="C57" s="11" t="s">
        <v>2</v>
      </c>
      <c r="D57" s="11" t="s">
        <v>4</v>
      </c>
      <c r="E57" s="11" t="s">
        <v>5</v>
      </c>
      <c r="F57" s="11" t="s">
        <v>11</v>
      </c>
      <c r="G57" s="11" t="s">
        <v>12</v>
      </c>
      <c r="H57" s="11" t="s">
        <v>13</v>
      </c>
      <c r="I57" s="11" t="s">
        <v>14</v>
      </c>
      <c r="J57" s="11" t="s">
        <v>15</v>
      </c>
      <c r="K57" s="11" t="s">
        <v>16</v>
      </c>
      <c r="L57" s="11" t="s">
        <v>17</v>
      </c>
      <c r="M57" s="11" t="s">
        <v>18</v>
      </c>
      <c r="N57" s="11" t="s">
        <v>19</v>
      </c>
    </row>
    <row r="58" spans="1:14" x14ac:dyDescent="0.25">
      <c r="A58" s="13" t="s">
        <v>374</v>
      </c>
      <c r="B58" s="13" t="s">
        <v>225</v>
      </c>
      <c r="C58" s="13" t="s">
        <v>80</v>
      </c>
      <c r="D58" s="13">
        <v>1</v>
      </c>
      <c r="E58" s="13" t="s">
        <v>6</v>
      </c>
      <c r="F58" s="16" t="s">
        <v>56</v>
      </c>
      <c r="G58" s="13" t="s">
        <v>20</v>
      </c>
    </row>
    <row r="59" spans="1:14" x14ac:dyDescent="0.25">
      <c r="A59" s="13" t="s">
        <v>171</v>
      </c>
      <c r="B59" s="13" t="s">
        <v>172</v>
      </c>
      <c r="C59" s="13" t="s">
        <v>25</v>
      </c>
      <c r="D59" s="13">
        <v>0.02</v>
      </c>
      <c r="E59" s="13" t="s">
        <v>6</v>
      </c>
      <c r="F59" s="13" t="s">
        <v>206</v>
      </c>
      <c r="G59" s="13" t="s">
        <v>21</v>
      </c>
      <c r="J59" s="13" t="s">
        <v>81</v>
      </c>
    </row>
    <row r="60" spans="1:14" x14ac:dyDescent="0.25">
      <c r="A60" s="13" t="s">
        <v>173</v>
      </c>
      <c r="B60" s="13" t="s">
        <v>174</v>
      </c>
      <c r="C60" s="13" t="s">
        <v>28</v>
      </c>
      <c r="D60" s="13">
        <v>1.342E-2</v>
      </c>
      <c r="E60" s="13" t="s">
        <v>6</v>
      </c>
      <c r="F60" s="13" t="s">
        <v>206</v>
      </c>
      <c r="G60" s="13" t="s">
        <v>21</v>
      </c>
      <c r="J60" s="13" t="s">
        <v>81</v>
      </c>
    </row>
    <row r="61" spans="1:14" x14ac:dyDescent="0.25">
      <c r="A61" s="13" t="s">
        <v>175</v>
      </c>
      <c r="B61" s="13" t="s">
        <v>176</v>
      </c>
      <c r="C61" s="13" t="s">
        <v>28</v>
      </c>
      <c r="D61" s="13">
        <v>1.342E-2</v>
      </c>
      <c r="E61" s="13" t="s">
        <v>6</v>
      </c>
      <c r="F61" s="13" t="s">
        <v>206</v>
      </c>
      <c r="G61" s="13" t="s">
        <v>21</v>
      </c>
      <c r="J61" s="13" t="s">
        <v>81</v>
      </c>
    </row>
    <row r="62" spans="1:14" x14ac:dyDescent="0.25">
      <c r="A62" s="13" t="s">
        <v>60</v>
      </c>
      <c r="B62" s="13" t="s">
        <v>61</v>
      </c>
      <c r="C62" s="13" t="s">
        <v>25</v>
      </c>
      <c r="D62" s="13">
        <v>1.06</v>
      </c>
      <c r="E62" s="13" t="s">
        <v>50</v>
      </c>
      <c r="F62" s="13" t="s">
        <v>206</v>
      </c>
      <c r="G62" s="13" t="s">
        <v>21</v>
      </c>
      <c r="J62" s="13" t="s">
        <v>81</v>
      </c>
    </row>
    <row r="63" spans="1:14" x14ac:dyDescent="0.25">
      <c r="A63" s="13" t="s">
        <v>96</v>
      </c>
      <c r="B63" s="13" t="s">
        <v>97</v>
      </c>
      <c r="C63" s="13" t="s">
        <v>25</v>
      </c>
      <c r="D63" s="13">
        <v>7.3999999999999999E-4</v>
      </c>
      <c r="E63" s="13" t="s">
        <v>6</v>
      </c>
      <c r="F63" s="13" t="s">
        <v>206</v>
      </c>
      <c r="G63" s="13" t="s">
        <v>21</v>
      </c>
      <c r="J63" s="13" t="s">
        <v>81</v>
      </c>
    </row>
    <row r="64" spans="1:14" x14ac:dyDescent="0.25">
      <c r="A64" s="13" t="s">
        <v>74</v>
      </c>
      <c r="B64" s="13" t="s">
        <v>75</v>
      </c>
      <c r="C64" s="13" t="s">
        <v>25</v>
      </c>
      <c r="D64" s="13">
        <v>2.571E-2</v>
      </c>
      <c r="E64" s="13" t="s">
        <v>6</v>
      </c>
      <c r="F64" s="13" t="s">
        <v>206</v>
      </c>
      <c r="G64" s="13" t="s">
        <v>21</v>
      </c>
      <c r="J64" s="13" t="s">
        <v>81</v>
      </c>
    </row>
    <row r="65" spans="1:10" x14ac:dyDescent="0.25">
      <c r="A65" s="13" t="s">
        <v>177</v>
      </c>
      <c r="B65" s="13" t="s">
        <v>178</v>
      </c>
      <c r="C65" s="13" t="s">
        <v>28</v>
      </c>
      <c r="D65" s="13">
        <v>1.41E-3</v>
      </c>
      <c r="E65" s="13" t="s">
        <v>6</v>
      </c>
      <c r="F65" s="13" t="s">
        <v>206</v>
      </c>
      <c r="G65" s="13" t="s">
        <v>21</v>
      </c>
      <c r="J65" s="13" t="s">
        <v>81</v>
      </c>
    </row>
    <row r="66" spans="1:10" x14ac:dyDescent="0.25">
      <c r="A66" s="13" t="s">
        <v>179</v>
      </c>
      <c r="B66" s="13" t="s">
        <v>180</v>
      </c>
      <c r="C66" s="13" t="s">
        <v>25</v>
      </c>
      <c r="D66" s="13">
        <v>3.0000000000000001E-5</v>
      </c>
      <c r="E66" s="13" t="s">
        <v>6</v>
      </c>
      <c r="F66" s="13" t="s">
        <v>206</v>
      </c>
      <c r="G66" s="13" t="s">
        <v>21</v>
      </c>
      <c r="J66" s="13" t="s">
        <v>81</v>
      </c>
    </row>
    <row r="67" spans="1:10" x14ac:dyDescent="0.25">
      <c r="A67" s="13" t="s">
        <v>181</v>
      </c>
      <c r="B67" s="13" t="s">
        <v>182</v>
      </c>
      <c r="C67" s="13" t="s">
        <v>28</v>
      </c>
      <c r="D67" s="13">
        <v>9.4600000000000014E-3</v>
      </c>
      <c r="E67" s="13" t="s">
        <v>6</v>
      </c>
      <c r="F67" s="13" t="s">
        <v>206</v>
      </c>
      <c r="G67" s="13" t="s">
        <v>21</v>
      </c>
      <c r="J67" s="13" t="s">
        <v>81</v>
      </c>
    </row>
    <row r="68" spans="1:10" x14ac:dyDescent="0.25">
      <c r="A68" s="13" t="s">
        <v>36</v>
      </c>
      <c r="B68" s="13" t="s">
        <v>37</v>
      </c>
      <c r="C68" s="13" t="s">
        <v>25</v>
      </c>
      <c r="D68" s="13">
        <v>1.6670000000000001E-2</v>
      </c>
      <c r="E68" s="13" t="s">
        <v>38</v>
      </c>
      <c r="F68" s="13" t="s">
        <v>206</v>
      </c>
      <c r="G68" s="13" t="s">
        <v>21</v>
      </c>
      <c r="J68" s="13" t="s">
        <v>81</v>
      </c>
    </row>
    <row r="69" spans="1:10" x14ac:dyDescent="0.25">
      <c r="A69" s="13" t="s">
        <v>26</v>
      </c>
      <c r="B69" s="13" t="s">
        <v>27</v>
      </c>
      <c r="C69" s="13" t="s">
        <v>80</v>
      </c>
      <c r="D69" s="13">
        <v>0.55013999999999996</v>
      </c>
      <c r="E69" s="13" t="s">
        <v>29</v>
      </c>
      <c r="F69" s="13" t="s">
        <v>206</v>
      </c>
      <c r="G69" s="13" t="s">
        <v>21</v>
      </c>
      <c r="J69" s="13" t="s">
        <v>81</v>
      </c>
    </row>
    <row r="70" spans="1:10" x14ac:dyDescent="0.25">
      <c r="A70" s="13" t="s">
        <v>34</v>
      </c>
      <c r="B70" s="13" t="s">
        <v>35</v>
      </c>
      <c r="C70" s="13" t="s">
        <v>28</v>
      </c>
      <c r="D70" s="13">
        <v>0.60885</v>
      </c>
      <c r="E70" s="13" t="s">
        <v>33</v>
      </c>
      <c r="F70" s="13" t="s">
        <v>206</v>
      </c>
      <c r="G70" s="13" t="s">
        <v>21</v>
      </c>
      <c r="J70" s="13" t="s">
        <v>81</v>
      </c>
    </row>
    <row r="71" spans="1:10" x14ac:dyDescent="0.25">
      <c r="A71" s="13" t="s">
        <v>102</v>
      </c>
      <c r="B71" s="13" t="s">
        <v>103</v>
      </c>
      <c r="C71" s="13" t="s">
        <v>25</v>
      </c>
      <c r="D71" s="13">
        <v>0.17</v>
      </c>
      <c r="E71" s="13" t="s">
        <v>6</v>
      </c>
      <c r="F71" s="13" t="s">
        <v>206</v>
      </c>
      <c r="G71" s="13" t="s">
        <v>21</v>
      </c>
      <c r="J71" s="13" t="s">
        <v>81</v>
      </c>
    </row>
    <row r="72" spans="1:10" x14ac:dyDescent="0.25">
      <c r="A72" s="13" t="s">
        <v>104</v>
      </c>
      <c r="B72" s="13" t="s">
        <v>105</v>
      </c>
      <c r="C72" s="13" t="s">
        <v>25</v>
      </c>
      <c r="D72" s="13">
        <v>-3.74</v>
      </c>
      <c r="E72" s="13" t="s">
        <v>50</v>
      </c>
      <c r="F72" s="13" t="s">
        <v>206</v>
      </c>
      <c r="G72" s="13" t="s">
        <v>21</v>
      </c>
      <c r="J72" s="13" t="s">
        <v>81</v>
      </c>
    </row>
    <row r="73" spans="1:10" x14ac:dyDescent="0.25">
      <c r="A73" s="13" t="s">
        <v>106</v>
      </c>
      <c r="B73" s="13" t="s">
        <v>107</v>
      </c>
      <c r="C73" s="13" t="s">
        <v>25</v>
      </c>
      <c r="D73" s="13">
        <v>-0.1</v>
      </c>
      <c r="E73" s="13" t="s">
        <v>6</v>
      </c>
      <c r="F73" s="13" t="s">
        <v>206</v>
      </c>
      <c r="G73" s="13" t="s">
        <v>21</v>
      </c>
      <c r="J73" s="13" t="s">
        <v>81</v>
      </c>
    </row>
    <row r="74" spans="1:10" x14ac:dyDescent="0.25">
      <c r="A74" s="13" t="s">
        <v>108</v>
      </c>
      <c r="B74" s="13" t="s">
        <v>109</v>
      </c>
      <c r="C74" s="13" t="s">
        <v>25</v>
      </c>
      <c r="D74" s="13">
        <v>-9.3699999999999999E-3</v>
      </c>
      <c r="E74" s="13" t="s">
        <v>6</v>
      </c>
      <c r="F74" s="13" t="s">
        <v>206</v>
      </c>
      <c r="G74" s="13" t="s">
        <v>21</v>
      </c>
      <c r="J74" s="13" t="s">
        <v>81</v>
      </c>
    </row>
    <row r="75" spans="1:10" x14ac:dyDescent="0.25">
      <c r="A75" s="13" t="s">
        <v>49</v>
      </c>
      <c r="D75" s="13">
        <v>3.041E-2</v>
      </c>
      <c r="E75" s="13" t="s">
        <v>50</v>
      </c>
      <c r="F75" s="13" t="s">
        <v>46</v>
      </c>
      <c r="G75" s="13" t="s">
        <v>47</v>
      </c>
      <c r="H75" s="13" t="s">
        <v>48</v>
      </c>
      <c r="J75" s="13" t="s">
        <v>81</v>
      </c>
    </row>
    <row r="76" spans="1:10" x14ac:dyDescent="0.25">
      <c r="A76" s="13" t="s">
        <v>183</v>
      </c>
      <c r="D76" s="13">
        <v>1.37</v>
      </c>
      <c r="E76" s="13" t="s">
        <v>6</v>
      </c>
      <c r="F76" s="13" t="s">
        <v>46</v>
      </c>
      <c r="G76" s="13" t="s">
        <v>47</v>
      </c>
      <c r="H76" s="13" t="s">
        <v>48</v>
      </c>
      <c r="J76" s="13" t="s">
        <v>81</v>
      </c>
    </row>
    <row r="77" spans="1:10" x14ac:dyDescent="0.25">
      <c r="A77" s="13" t="s">
        <v>118</v>
      </c>
      <c r="D77" s="13">
        <v>1.2E-4</v>
      </c>
      <c r="E77" s="13" t="s">
        <v>6</v>
      </c>
      <c r="F77" s="13" t="s">
        <v>46</v>
      </c>
      <c r="G77" s="13" t="s">
        <v>47</v>
      </c>
      <c r="H77" s="13" t="s">
        <v>201</v>
      </c>
      <c r="J77" s="13" t="s">
        <v>81</v>
      </c>
    </row>
    <row r="78" spans="1:10" x14ac:dyDescent="0.25">
      <c r="A78" s="13" t="s">
        <v>165</v>
      </c>
      <c r="D78" s="13">
        <v>5.1000000000000004E-4</v>
      </c>
      <c r="E78" s="13" t="s">
        <v>6</v>
      </c>
      <c r="F78" s="13" t="s">
        <v>46</v>
      </c>
      <c r="G78" s="13" t="s">
        <v>47</v>
      </c>
      <c r="H78" s="13" t="s">
        <v>201</v>
      </c>
      <c r="J78" s="13" t="s">
        <v>81</v>
      </c>
    </row>
    <row r="79" spans="1:10" x14ac:dyDescent="0.25">
      <c r="A79" s="13" t="s">
        <v>166</v>
      </c>
      <c r="D79" s="13">
        <v>2.2599999999999999E-3</v>
      </c>
      <c r="E79" s="13" t="s">
        <v>6</v>
      </c>
      <c r="F79" s="13" t="s">
        <v>46</v>
      </c>
      <c r="G79" s="13" t="s">
        <v>47</v>
      </c>
      <c r="H79" s="13" t="s">
        <v>201</v>
      </c>
      <c r="J79" s="13" t="s">
        <v>81</v>
      </c>
    </row>
    <row r="80" spans="1:10" x14ac:dyDescent="0.25">
      <c r="A80" s="13" t="s">
        <v>116</v>
      </c>
      <c r="D80" s="13">
        <v>1.13E-6</v>
      </c>
      <c r="E80" s="13" t="s">
        <v>6</v>
      </c>
      <c r="F80" s="13" t="s">
        <v>46</v>
      </c>
      <c r="G80" s="13" t="s">
        <v>47</v>
      </c>
      <c r="H80" s="13" t="s">
        <v>201</v>
      </c>
      <c r="J80" s="13" t="s">
        <v>81</v>
      </c>
    </row>
    <row r="81" spans="1:10" x14ac:dyDescent="0.25">
      <c r="A81" s="13" t="s">
        <v>114</v>
      </c>
      <c r="D81" s="13">
        <v>3.8000000000000001E-7</v>
      </c>
      <c r="E81" s="13" t="s">
        <v>6</v>
      </c>
      <c r="F81" s="13" t="s">
        <v>46</v>
      </c>
      <c r="G81" s="13" t="s">
        <v>47</v>
      </c>
      <c r="H81" s="13" t="s">
        <v>201</v>
      </c>
      <c r="J81" s="13" t="s">
        <v>81</v>
      </c>
    </row>
    <row r="82" spans="1:10" x14ac:dyDescent="0.25">
      <c r="A82" s="13" t="s">
        <v>128</v>
      </c>
      <c r="D82" s="13">
        <v>7.4999999999999993E-9</v>
      </c>
      <c r="E82" s="13" t="s">
        <v>6</v>
      </c>
      <c r="F82" s="13" t="s">
        <v>46</v>
      </c>
      <c r="G82" s="13" t="s">
        <v>47</v>
      </c>
      <c r="H82" s="13" t="s">
        <v>201</v>
      </c>
      <c r="J82" s="13" t="s">
        <v>81</v>
      </c>
    </row>
    <row r="83" spans="1:10" x14ac:dyDescent="0.25">
      <c r="A83" s="13" t="s">
        <v>130</v>
      </c>
      <c r="D83" s="13">
        <v>1.7500000000000001E-14</v>
      </c>
      <c r="E83" s="13" t="s">
        <v>6</v>
      </c>
      <c r="F83" s="13" t="s">
        <v>46</v>
      </c>
      <c r="G83" s="13" t="s">
        <v>47</v>
      </c>
      <c r="H83" s="13" t="s">
        <v>201</v>
      </c>
      <c r="J83" s="13" t="s">
        <v>81</v>
      </c>
    </row>
    <row r="84" spans="1:10" x14ac:dyDescent="0.25">
      <c r="A84" s="13" t="s">
        <v>129</v>
      </c>
      <c r="D84" s="13">
        <v>8.3000000000000003E-10</v>
      </c>
      <c r="E84" s="13" t="s">
        <v>6</v>
      </c>
      <c r="F84" s="13" t="s">
        <v>46</v>
      </c>
      <c r="G84" s="13" t="s">
        <v>47</v>
      </c>
      <c r="H84" s="13" t="s">
        <v>201</v>
      </c>
      <c r="J84" s="13" t="s">
        <v>81</v>
      </c>
    </row>
    <row r="85" spans="1:10" x14ac:dyDescent="0.25">
      <c r="A85" s="13" t="s">
        <v>168</v>
      </c>
      <c r="D85" s="13">
        <v>7.6399999999999989E-12</v>
      </c>
      <c r="E85" s="13" t="s">
        <v>6</v>
      </c>
      <c r="F85" s="13" t="s">
        <v>46</v>
      </c>
      <c r="G85" s="13" t="s">
        <v>47</v>
      </c>
      <c r="H85" s="13" t="s">
        <v>201</v>
      </c>
      <c r="J85" s="13" t="s">
        <v>81</v>
      </c>
    </row>
    <row r="86" spans="1:10" x14ac:dyDescent="0.25">
      <c r="A86" s="13" t="s">
        <v>184</v>
      </c>
      <c r="D86" s="13">
        <v>3.7400000000000002E-13</v>
      </c>
      <c r="E86" s="13" t="s">
        <v>6</v>
      </c>
      <c r="F86" s="13" t="s">
        <v>46</v>
      </c>
      <c r="G86" s="13" t="s">
        <v>47</v>
      </c>
      <c r="H86" s="13" t="s">
        <v>201</v>
      </c>
      <c r="J86" s="13" t="s">
        <v>81</v>
      </c>
    </row>
    <row r="87" spans="1:10" x14ac:dyDescent="0.25">
      <c r="A87" s="13" t="s">
        <v>168</v>
      </c>
      <c r="D87" s="13">
        <v>6.0400000000000006E-6</v>
      </c>
      <c r="E87" s="13" t="s">
        <v>6</v>
      </c>
      <c r="F87" s="13" t="s">
        <v>46</v>
      </c>
      <c r="G87" s="13" t="s">
        <v>47</v>
      </c>
      <c r="H87" s="13" t="s">
        <v>203</v>
      </c>
      <c r="J87" s="13" t="s">
        <v>81</v>
      </c>
    </row>
    <row r="88" spans="1:10" x14ac:dyDescent="0.25">
      <c r="A88" s="13" t="s">
        <v>130</v>
      </c>
      <c r="D88" s="13">
        <v>7.0000000000000005E-8</v>
      </c>
      <c r="E88" s="13" t="s">
        <v>6</v>
      </c>
      <c r="F88" s="13" t="s">
        <v>46</v>
      </c>
      <c r="G88" s="13" t="s">
        <v>47</v>
      </c>
      <c r="H88" s="13" t="s">
        <v>203</v>
      </c>
      <c r="J88" s="13" t="s">
        <v>81</v>
      </c>
    </row>
    <row r="89" spans="1:10" x14ac:dyDescent="0.25">
      <c r="A89" s="13" t="s">
        <v>167</v>
      </c>
      <c r="D89" s="13">
        <v>2.3999999999999998E-7</v>
      </c>
      <c r="E89" s="13" t="s">
        <v>6</v>
      </c>
      <c r="F89" s="13" t="s">
        <v>46</v>
      </c>
      <c r="G89" s="13" t="s">
        <v>47</v>
      </c>
      <c r="H89" s="13" t="s">
        <v>203</v>
      </c>
      <c r="J89" s="13" t="s">
        <v>81</v>
      </c>
    </row>
    <row r="90" spans="1:10" x14ac:dyDescent="0.25">
      <c r="A90" s="13" t="s">
        <v>170</v>
      </c>
      <c r="D90" s="13">
        <v>5.7999999999999995E-7</v>
      </c>
      <c r="E90" s="13" t="s">
        <v>6</v>
      </c>
      <c r="F90" s="13" t="s">
        <v>46</v>
      </c>
      <c r="G90" s="13" t="s">
        <v>47</v>
      </c>
      <c r="H90" s="13" t="s">
        <v>203</v>
      </c>
      <c r="J90" s="13" t="s">
        <v>81</v>
      </c>
    </row>
    <row r="91" spans="1:10" x14ac:dyDescent="0.25">
      <c r="A91" s="13" t="s">
        <v>127</v>
      </c>
      <c r="D91" s="13">
        <v>9.4E-7</v>
      </c>
      <c r="E91" s="13" t="s">
        <v>6</v>
      </c>
      <c r="F91" s="13" t="s">
        <v>46</v>
      </c>
      <c r="G91" s="13" t="s">
        <v>47</v>
      </c>
      <c r="H91" s="13" t="s">
        <v>203</v>
      </c>
      <c r="J91" s="13" t="s">
        <v>81</v>
      </c>
    </row>
    <row r="92" spans="1:10" x14ac:dyDescent="0.25">
      <c r="A92" s="13" t="s">
        <v>184</v>
      </c>
      <c r="D92" s="13">
        <v>1.1999999999999999E-7</v>
      </c>
      <c r="E92" s="13" t="s">
        <v>6</v>
      </c>
      <c r="F92" s="13" t="s">
        <v>46</v>
      </c>
      <c r="G92" s="13" t="s">
        <v>47</v>
      </c>
      <c r="H92" s="13" t="s">
        <v>203</v>
      </c>
      <c r="J92" s="13" t="s">
        <v>81</v>
      </c>
    </row>
    <row r="93" spans="1:10" x14ac:dyDescent="0.25">
      <c r="A93" s="13" t="s">
        <v>128</v>
      </c>
      <c r="D93" s="13">
        <v>4.7500000000000003E-6</v>
      </c>
      <c r="E93" s="13" t="s">
        <v>6</v>
      </c>
      <c r="F93" s="13" t="s">
        <v>46</v>
      </c>
      <c r="G93" s="13" t="s">
        <v>47</v>
      </c>
      <c r="H93" s="13" t="s">
        <v>203</v>
      </c>
      <c r="J93" s="13" t="s">
        <v>81</v>
      </c>
    </row>
    <row r="94" spans="1:10" x14ac:dyDescent="0.25">
      <c r="A94" s="13" t="s">
        <v>129</v>
      </c>
      <c r="D94" s="13">
        <v>1.37E-6</v>
      </c>
      <c r="E94" s="13" t="s">
        <v>6</v>
      </c>
      <c r="F94" s="13" t="s">
        <v>46</v>
      </c>
      <c r="G94" s="13" t="s">
        <v>47</v>
      </c>
      <c r="H94" s="13" t="s">
        <v>203</v>
      </c>
      <c r="J94" s="13" t="s">
        <v>81</v>
      </c>
    </row>
    <row r="95" spans="1:10" x14ac:dyDescent="0.25">
      <c r="A95" s="13" t="s">
        <v>169</v>
      </c>
      <c r="D95" s="13">
        <v>7.6040000000000011E-5</v>
      </c>
      <c r="E95" s="13" t="s">
        <v>6</v>
      </c>
      <c r="F95" s="13" t="s">
        <v>46</v>
      </c>
      <c r="G95" s="13" t="s">
        <v>47</v>
      </c>
      <c r="H95" s="13" t="s">
        <v>203</v>
      </c>
      <c r="J95" s="13" t="s">
        <v>81</v>
      </c>
    </row>
    <row r="96" spans="1:10" s="21" customFormat="1" x14ac:dyDescent="0.25"/>
    <row r="97" spans="1:14" x14ac:dyDescent="0.25">
      <c r="A97" s="11" t="s">
        <v>0</v>
      </c>
      <c r="B97" s="12" t="s">
        <v>224</v>
      </c>
    </row>
    <row r="98" spans="1:14" x14ac:dyDescent="0.25">
      <c r="A98" s="14" t="s">
        <v>1</v>
      </c>
      <c r="B98" s="13" t="s">
        <v>205</v>
      </c>
    </row>
    <row r="99" spans="1:14" x14ac:dyDescent="0.25">
      <c r="A99" s="14" t="s">
        <v>2</v>
      </c>
      <c r="B99" s="13" t="s">
        <v>80</v>
      </c>
    </row>
    <row r="100" spans="1:14" x14ac:dyDescent="0.25">
      <c r="A100" s="14" t="s">
        <v>4</v>
      </c>
      <c r="B100" s="13">
        <v>1</v>
      </c>
    </row>
    <row r="101" spans="1:14" x14ac:dyDescent="0.25">
      <c r="A101" s="14" t="s">
        <v>5</v>
      </c>
      <c r="B101" s="13" t="s">
        <v>6</v>
      </c>
    </row>
    <row r="102" spans="1:14" ht="30" x14ac:dyDescent="0.25">
      <c r="A102" s="14" t="s">
        <v>7</v>
      </c>
      <c r="B102" s="19" t="s">
        <v>392</v>
      </c>
    </row>
    <row r="103" spans="1:14" x14ac:dyDescent="0.25">
      <c r="A103" s="14" t="s">
        <v>9</v>
      </c>
    </row>
    <row r="104" spans="1:14" x14ac:dyDescent="0.25">
      <c r="A104" s="11" t="s">
        <v>10</v>
      </c>
      <c r="B104" s="11" t="s">
        <v>1</v>
      </c>
      <c r="C104" s="11" t="s">
        <v>2</v>
      </c>
      <c r="D104" s="11" t="s">
        <v>4</v>
      </c>
      <c r="E104" s="11" t="s">
        <v>5</v>
      </c>
      <c r="F104" s="11" t="s">
        <v>11</v>
      </c>
      <c r="G104" s="11" t="s">
        <v>12</v>
      </c>
      <c r="H104" s="11" t="s">
        <v>13</v>
      </c>
      <c r="I104" s="11" t="s">
        <v>14</v>
      </c>
      <c r="J104" s="11" t="s">
        <v>15</v>
      </c>
      <c r="K104" s="11" t="s">
        <v>16</v>
      </c>
      <c r="L104" s="11" t="s">
        <v>17</v>
      </c>
      <c r="M104" s="11" t="s">
        <v>18</v>
      </c>
      <c r="N104" s="11" t="s">
        <v>19</v>
      </c>
    </row>
    <row r="105" spans="1:14" x14ac:dyDescent="0.25">
      <c r="A105" s="13" t="s">
        <v>224</v>
      </c>
      <c r="B105" s="13" t="s">
        <v>205</v>
      </c>
      <c r="C105" s="13" t="s">
        <v>80</v>
      </c>
      <c r="D105" s="13">
        <v>1</v>
      </c>
      <c r="E105" s="13" t="s">
        <v>6</v>
      </c>
      <c r="F105" s="16" t="s">
        <v>56</v>
      </c>
      <c r="G105" s="13" t="s">
        <v>20</v>
      </c>
    </row>
    <row r="106" spans="1:14" x14ac:dyDescent="0.25">
      <c r="A106" s="13" t="s">
        <v>85</v>
      </c>
      <c r="B106" s="13" t="s">
        <v>86</v>
      </c>
      <c r="C106" s="13" t="s">
        <v>28</v>
      </c>
      <c r="D106" s="15">
        <v>0.90370962596470195</v>
      </c>
      <c r="E106" s="13" t="s">
        <v>6</v>
      </c>
      <c r="F106" s="13" t="s">
        <v>206</v>
      </c>
      <c r="G106" s="13" t="s">
        <v>21</v>
      </c>
      <c r="J106" s="13" t="s">
        <v>87</v>
      </c>
    </row>
    <row r="107" spans="1:14" x14ac:dyDescent="0.25">
      <c r="A107" s="13" t="s">
        <v>88</v>
      </c>
      <c r="B107" s="13" t="s">
        <v>89</v>
      </c>
      <c r="C107" s="13" t="s">
        <v>25</v>
      </c>
      <c r="D107" s="15">
        <v>0.28473043009846777</v>
      </c>
      <c r="E107" s="13" t="s">
        <v>6</v>
      </c>
      <c r="F107" s="13" t="s">
        <v>206</v>
      </c>
      <c r="G107" s="13" t="s">
        <v>21</v>
      </c>
      <c r="J107" s="13" t="s">
        <v>87</v>
      </c>
    </row>
    <row r="108" spans="1:14" x14ac:dyDescent="0.25">
      <c r="A108" s="13" t="s">
        <v>131</v>
      </c>
      <c r="B108" s="13" t="s">
        <v>132</v>
      </c>
      <c r="C108" s="13" t="s">
        <v>28</v>
      </c>
      <c r="D108" s="15">
        <v>3.5900793360241586E-4</v>
      </c>
      <c r="E108" s="13" t="s">
        <v>6</v>
      </c>
      <c r="F108" s="13" t="s">
        <v>206</v>
      </c>
      <c r="G108" s="13" t="s">
        <v>21</v>
      </c>
      <c r="J108" s="13" t="s">
        <v>84</v>
      </c>
    </row>
    <row r="109" spans="1:14" x14ac:dyDescent="0.25">
      <c r="A109" s="13" t="s">
        <v>133</v>
      </c>
      <c r="B109" s="13" t="s">
        <v>134</v>
      </c>
      <c r="C109" s="13" t="s">
        <v>25</v>
      </c>
      <c r="D109" s="15">
        <v>6.3259673817529141E-3</v>
      </c>
      <c r="E109" s="13" t="s">
        <v>6</v>
      </c>
      <c r="F109" s="13" t="s">
        <v>206</v>
      </c>
      <c r="G109" s="13" t="s">
        <v>21</v>
      </c>
      <c r="J109" s="13" t="s">
        <v>84</v>
      </c>
    </row>
    <row r="110" spans="1:14" x14ac:dyDescent="0.25">
      <c r="A110" s="13" t="s">
        <v>135</v>
      </c>
      <c r="B110" s="13" t="s">
        <v>136</v>
      </c>
      <c r="C110" s="13" t="s">
        <v>28</v>
      </c>
      <c r="D110" s="15">
        <v>4.3823727067329385E-3</v>
      </c>
      <c r="E110" s="13" t="s">
        <v>6</v>
      </c>
      <c r="F110" s="13" t="s">
        <v>206</v>
      </c>
      <c r="G110" s="13" t="s">
        <v>21</v>
      </c>
      <c r="J110" s="13" t="s">
        <v>87</v>
      </c>
    </row>
    <row r="111" spans="1:14" x14ac:dyDescent="0.25">
      <c r="A111" s="13" t="s">
        <v>96</v>
      </c>
      <c r="B111" s="13" t="s">
        <v>97</v>
      </c>
      <c r="C111" s="13" t="s">
        <v>25</v>
      </c>
      <c r="D111" s="15">
        <v>6.1897919586623433E-2</v>
      </c>
      <c r="E111" s="13" t="s">
        <v>6</v>
      </c>
      <c r="F111" s="13" t="s">
        <v>206</v>
      </c>
      <c r="G111" s="13" t="s">
        <v>21</v>
      </c>
      <c r="J111" s="13" t="s">
        <v>87</v>
      </c>
    </row>
    <row r="112" spans="1:14" x14ac:dyDescent="0.25">
      <c r="A112" s="13" t="s">
        <v>137</v>
      </c>
      <c r="B112" s="13" t="s">
        <v>138</v>
      </c>
      <c r="C112" s="13" t="s">
        <v>28</v>
      </c>
      <c r="D112" s="15">
        <v>4.5804460494101341E-4</v>
      </c>
      <c r="E112" s="13" t="s">
        <v>6</v>
      </c>
      <c r="F112" s="13" t="s">
        <v>206</v>
      </c>
      <c r="G112" s="13" t="s">
        <v>21</v>
      </c>
      <c r="J112" s="13" t="s">
        <v>84</v>
      </c>
    </row>
    <row r="113" spans="1:10" x14ac:dyDescent="0.25">
      <c r="A113" s="13" t="s">
        <v>100</v>
      </c>
      <c r="B113" s="13" t="s">
        <v>101</v>
      </c>
      <c r="C113" s="13" t="s">
        <v>28</v>
      </c>
      <c r="D113" s="15">
        <v>1.5598275735829105E-3</v>
      </c>
      <c r="E113" s="13" t="s">
        <v>6</v>
      </c>
      <c r="F113" s="13" t="s">
        <v>206</v>
      </c>
      <c r="G113" s="13" t="s">
        <v>21</v>
      </c>
      <c r="J113" s="13" t="s">
        <v>84</v>
      </c>
    </row>
    <row r="114" spans="1:10" x14ac:dyDescent="0.25">
      <c r="A114" s="13" t="s">
        <v>36</v>
      </c>
      <c r="B114" s="13" t="s">
        <v>37</v>
      </c>
      <c r="C114" s="13" t="s">
        <v>25</v>
      </c>
      <c r="D114" s="15">
        <v>0.15338304473565284</v>
      </c>
      <c r="E114" s="13" t="s">
        <v>38</v>
      </c>
      <c r="F114" s="13" t="s">
        <v>206</v>
      </c>
      <c r="G114" s="13" t="s">
        <v>21</v>
      </c>
      <c r="J114" s="13" t="s">
        <v>87</v>
      </c>
    </row>
    <row r="115" spans="1:10" x14ac:dyDescent="0.25">
      <c r="A115" s="13" t="s">
        <v>26</v>
      </c>
      <c r="B115" s="13" t="s">
        <v>27</v>
      </c>
      <c r="C115" s="13" t="s">
        <v>80</v>
      </c>
      <c r="D115" s="15">
        <v>4.3743878751062644</v>
      </c>
      <c r="E115" s="13" t="s">
        <v>29</v>
      </c>
      <c r="F115" s="13" t="s">
        <v>206</v>
      </c>
      <c r="G115" s="13" t="s">
        <v>21</v>
      </c>
      <c r="J115" s="13" t="s">
        <v>87</v>
      </c>
    </row>
    <row r="116" spans="1:10" x14ac:dyDescent="0.25">
      <c r="A116" s="13" t="s">
        <v>104</v>
      </c>
      <c r="B116" s="13" t="s">
        <v>105</v>
      </c>
      <c r="C116" s="13" t="s">
        <v>25</v>
      </c>
      <c r="D116" s="15">
        <v>-1.1005450102501646E-2</v>
      </c>
      <c r="E116" s="13" t="s">
        <v>50</v>
      </c>
      <c r="F116" s="13" t="s">
        <v>206</v>
      </c>
      <c r="G116" s="13" t="s">
        <v>21</v>
      </c>
      <c r="J116" s="13" t="s">
        <v>87</v>
      </c>
    </row>
    <row r="117" spans="1:10" x14ac:dyDescent="0.25">
      <c r="A117" s="13" t="s">
        <v>106</v>
      </c>
      <c r="B117" s="13" t="s">
        <v>107</v>
      </c>
      <c r="C117" s="13" t="s">
        <v>25</v>
      </c>
      <c r="D117" s="15">
        <v>-2.2407046890357682E-3</v>
      </c>
      <c r="E117" s="13" t="s">
        <v>6</v>
      </c>
      <c r="F117" s="13" t="s">
        <v>206</v>
      </c>
      <c r="G117" s="13" t="s">
        <v>21</v>
      </c>
      <c r="J117" s="13" t="s">
        <v>87</v>
      </c>
    </row>
    <row r="118" spans="1:10" x14ac:dyDescent="0.25">
      <c r="A118" s="13" t="s">
        <v>108</v>
      </c>
      <c r="B118" s="13" t="s">
        <v>109</v>
      </c>
      <c r="C118" s="13" t="s">
        <v>25</v>
      </c>
      <c r="D118" s="15">
        <v>-3.0948959793311711E-4</v>
      </c>
      <c r="E118" s="13" t="s">
        <v>6</v>
      </c>
      <c r="F118" s="13" t="s">
        <v>206</v>
      </c>
      <c r="G118" s="13" t="s">
        <v>21</v>
      </c>
      <c r="J118" s="13" t="s">
        <v>87</v>
      </c>
    </row>
    <row r="119" spans="1:10" x14ac:dyDescent="0.25">
      <c r="A119" s="13" t="s">
        <v>49</v>
      </c>
      <c r="D119" s="15">
        <v>2.7111288778941061E-3</v>
      </c>
      <c r="E119" s="13" t="s">
        <v>50</v>
      </c>
      <c r="F119" s="13" t="s">
        <v>46</v>
      </c>
      <c r="G119" s="13" t="s">
        <v>47</v>
      </c>
      <c r="H119" s="13" t="s">
        <v>48</v>
      </c>
      <c r="J119" s="13" t="s">
        <v>87</v>
      </c>
    </row>
    <row r="120" spans="1:10" x14ac:dyDescent="0.25">
      <c r="A120" s="13" t="s">
        <v>139</v>
      </c>
      <c r="D120" s="15">
        <v>4.9270743990952249E-6</v>
      </c>
      <c r="E120" s="13" t="s">
        <v>112</v>
      </c>
      <c r="F120" s="13" t="s">
        <v>46</v>
      </c>
      <c r="G120" s="13" t="s">
        <v>47</v>
      </c>
      <c r="H120" s="13" t="s">
        <v>113</v>
      </c>
      <c r="J120" s="13" t="s">
        <v>84</v>
      </c>
    </row>
    <row r="121" spans="1:10" x14ac:dyDescent="0.25">
      <c r="A121" s="13" t="s">
        <v>114</v>
      </c>
      <c r="D121" s="15">
        <v>2.3459311523330278E-5</v>
      </c>
      <c r="E121" s="13" t="s">
        <v>6</v>
      </c>
      <c r="F121" s="13" t="s">
        <v>46</v>
      </c>
      <c r="G121" s="13" t="s">
        <v>47</v>
      </c>
      <c r="H121" s="13" t="s">
        <v>201</v>
      </c>
      <c r="J121" s="13" t="s">
        <v>115</v>
      </c>
    </row>
    <row r="122" spans="1:10" x14ac:dyDescent="0.25">
      <c r="A122" s="13" t="s">
        <v>116</v>
      </c>
      <c r="D122" s="15">
        <v>7.3039545112215638E-7</v>
      </c>
      <c r="E122" s="13" t="s">
        <v>6</v>
      </c>
      <c r="F122" s="13" t="s">
        <v>46</v>
      </c>
      <c r="G122" s="13" t="s">
        <v>47</v>
      </c>
      <c r="H122" s="13" t="s">
        <v>201</v>
      </c>
      <c r="J122" s="13" t="s">
        <v>115</v>
      </c>
    </row>
    <row r="123" spans="1:10" x14ac:dyDescent="0.25">
      <c r="A123" s="13" t="s">
        <v>117</v>
      </c>
      <c r="D123" s="15">
        <v>3.7138751751974055E-8</v>
      </c>
      <c r="E123" s="13" t="s">
        <v>6</v>
      </c>
      <c r="F123" s="13" t="s">
        <v>46</v>
      </c>
      <c r="G123" s="13" t="s">
        <v>47</v>
      </c>
      <c r="H123" s="13" t="s">
        <v>201</v>
      </c>
      <c r="J123" s="13" t="s">
        <v>115</v>
      </c>
    </row>
    <row r="124" spans="1:10" x14ac:dyDescent="0.25">
      <c r="A124" s="13" t="s">
        <v>119</v>
      </c>
      <c r="D124" s="15">
        <v>5.0756294061031211E-4</v>
      </c>
      <c r="E124" s="13" t="s">
        <v>6</v>
      </c>
      <c r="F124" s="13" t="s">
        <v>46</v>
      </c>
      <c r="G124" s="13" t="s">
        <v>47</v>
      </c>
      <c r="H124" s="13" t="s">
        <v>202</v>
      </c>
      <c r="J124" s="13" t="s">
        <v>115</v>
      </c>
    </row>
    <row r="125" spans="1:10" x14ac:dyDescent="0.25">
      <c r="A125" s="13" t="s">
        <v>120</v>
      </c>
      <c r="D125" s="15">
        <v>5.731747353721328E-5</v>
      </c>
      <c r="E125" s="13" t="s">
        <v>6</v>
      </c>
      <c r="F125" s="13" t="s">
        <v>46</v>
      </c>
      <c r="G125" s="13" t="s">
        <v>47</v>
      </c>
      <c r="H125" s="13" t="s">
        <v>202</v>
      </c>
      <c r="J125" s="13" t="s">
        <v>115</v>
      </c>
    </row>
    <row r="126" spans="1:10" x14ac:dyDescent="0.25">
      <c r="A126" s="13" t="s">
        <v>121</v>
      </c>
      <c r="D126" s="15">
        <v>9.3094471058281639E-6</v>
      </c>
      <c r="E126" s="13" t="s">
        <v>6</v>
      </c>
      <c r="F126" s="13" t="s">
        <v>46</v>
      </c>
      <c r="G126" s="13" t="s">
        <v>47</v>
      </c>
      <c r="H126" s="13" t="s">
        <v>202</v>
      </c>
      <c r="J126" s="13" t="s">
        <v>115</v>
      </c>
    </row>
    <row r="127" spans="1:10" x14ac:dyDescent="0.25">
      <c r="A127" s="13" t="s">
        <v>122</v>
      </c>
      <c r="D127" s="15">
        <v>6.7134483583651761E-8</v>
      </c>
      <c r="E127" s="13" t="s">
        <v>6</v>
      </c>
      <c r="F127" s="13" t="s">
        <v>46</v>
      </c>
      <c r="G127" s="13" t="s">
        <v>47</v>
      </c>
      <c r="H127" s="13" t="s">
        <v>202</v>
      </c>
      <c r="J127" s="13" t="s">
        <v>115</v>
      </c>
    </row>
    <row r="128" spans="1:10" x14ac:dyDescent="0.25">
      <c r="A128" s="13" t="s">
        <v>123</v>
      </c>
      <c r="D128" s="15">
        <v>9.5322796163400081E-7</v>
      </c>
      <c r="E128" s="13" t="s">
        <v>6</v>
      </c>
      <c r="F128" s="13" t="s">
        <v>46</v>
      </c>
      <c r="G128" s="13" t="s">
        <v>47</v>
      </c>
      <c r="H128" s="13" t="s">
        <v>202</v>
      </c>
      <c r="J128" s="13" t="s">
        <v>115</v>
      </c>
    </row>
    <row r="129" spans="1:14" x14ac:dyDescent="0.25">
      <c r="A129" s="13" t="s">
        <v>124</v>
      </c>
      <c r="D129" s="15">
        <v>2.8596838849020023E-6</v>
      </c>
      <c r="E129" s="13" t="s">
        <v>6</v>
      </c>
      <c r="F129" s="13" t="s">
        <v>46</v>
      </c>
      <c r="G129" s="13" t="s">
        <v>47</v>
      </c>
      <c r="H129" s="13" t="s">
        <v>202</v>
      </c>
      <c r="J129" s="13" t="s">
        <v>115</v>
      </c>
    </row>
    <row r="130" spans="1:14" x14ac:dyDescent="0.25">
      <c r="A130" s="13" t="s">
        <v>125</v>
      </c>
      <c r="D130" s="15">
        <v>1.0522646329725983E-6</v>
      </c>
      <c r="E130" s="13" t="s">
        <v>6</v>
      </c>
      <c r="F130" s="13" t="s">
        <v>46</v>
      </c>
      <c r="G130" s="13" t="s">
        <v>47</v>
      </c>
      <c r="H130" s="13" t="s">
        <v>202</v>
      </c>
      <c r="J130" s="13" t="s">
        <v>115</v>
      </c>
    </row>
    <row r="131" spans="1:14" x14ac:dyDescent="0.25">
      <c r="A131" s="13" t="s">
        <v>126</v>
      </c>
      <c r="D131" s="15">
        <v>6.2195029600639224E-5</v>
      </c>
      <c r="E131" s="13" t="s">
        <v>6</v>
      </c>
      <c r="F131" s="13" t="s">
        <v>46</v>
      </c>
      <c r="G131" s="13" t="s">
        <v>47</v>
      </c>
      <c r="H131" s="13" t="s">
        <v>202</v>
      </c>
      <c r="J131" s="13" t="s">
        <v>115</v>
      </c>
    </row>
    <row r="132" spans="1:14" x14ac:dyDescent="0.25">
      <c r="A132" s="13" t="s">
        <v>127</v>
      </c>
      <c r="D132" s="15">
        <v>1.9064559232680016E-6</v>
      </c>
      <c r="E132" s="13" t="s">
        <v>6</v>
      </c>
      <c r="F132" s="13" t="s">
        <v>46</v>
      </c>
      <c r="G132" s="13" t="s">
        <v>47</v>
      </c>
      <c r="H132" s="13" t="s">
        <v>202</v>
      </c>
      <c r="J132" s="13" t="s">
        <v>115</v>
      </c>
    </row>
    <row r="133" spans="1:14" x14ac:dyDescent="0.25">
      <c r="A133" s="13" t="s">
        <v>128</v>
      </c>
      <c r="D133" s="15">
        <v>2.005492594606599E-6</v>
      </c>
      <c r="E133" s="13" t="s">
        <v>6</v>
      </c>
      <c r="F133" s="13" t="s">
        <v>46</v>
      </c>
      <c r="G133" s="13" t="s">
        <v>47</v>
      </c>
      <c r="H133" s="13" t="s">
        <v>202</v>
      </c>
      <c r="J133" s="13" t="s">
        <v>115</v>
      </c>
    </row>
    <row r="134" spans="1:14" x14ac:dyDescent="0.25">
      <c r="A134" s="13" t="s">
        <v>129</v>
      </c>
      <c r="D134" s="15">
        <v>1.1513013043111958E-6</v>
      </c>
      <c r="E134" s="13" t="s">
        <v>6</v>
      </c>
      <c r="F134" s="13" t="s">
        <v>46</v>
      </c>
      <c r="G134" s="13" t="s">
        <v>47</v>
      </c>
      <c r="H134" s="13" t="s">
        <v>202</v>
      </c>
      <c r="J134" s="13" t="s">
        <v>115</v>
      </c>
    </row>
    <row r="135" spans="1:14" x14ac:dyDescent="0.25">
      <c r="A135" s="13" t="s">
        <v>130</v>
      </c>
      <c r="D135" s="15">
        <v>2.8473043009846775E-7</v>
      </c>
      <c r="E135" s="13" t="s">
        <v>6</v>
      </c>
      <c r="F135" s="13" t="s">
        <v>46</v>
      </c>
      <c r="G135" s="13" t="s">
        <v>47</v>
      </c>
      <c r="H135" s="13" t="s">
        <v>202</v>
      </c>
      <c r="J135" s="13" t="s">
        <v>115</v>
      </c>
    </row>
    <row r="136" spans="1:14" s="17" customFormat="1" x14ac:dyDescent="0.25"/>
    <row r="137" spans="1:14" x14ac:dyDescent="0.25">
      <c r="A137" s="11" t="s">
        <v>0</v>
      </c>
      <c r="B137" s="12" t="s">
        <v>227</v>
      </c>
    </row>
    <row r="138" spans="1:14" x14ac:dyDescent="0.25">
      <c r="A138" s="14" t="s">
        <v>1</v>
      </c>
      <c r="B138" s="13" t="s">
        <v>205</v>
      </c>
    </row>
    <row r="139" spans="1:14" x14ac:dyDescent="0.25">
      <c r="A139" s="14" t="s">
        <v>2</v>
      </c>
      <c r="B139" s="13" t="s">
        <v>80</v>
      </c>
    </row>
    <row r="140" spans="1:14" x14ac:dyDescent="0.25">
      <c r="A140" s="14" t="s">
        <v>4</v>
      </c>
      <c r="B140" s="13">
        <v>1</v>
      </c>
    </row>
    <row r="141" spans="1:14" x14ac:dyDescent="0.25">
      <c r="A141" s="14" t="s">
        <v>5</v>
      </c>
      <c r="B141" s="13" t="s">
        <v>6</v>
      </c>
    </row>
    <row r="142" spans="1:14" x14ac:dyDescent="0.25">
      <c r="A142" s="14" t="s">
        <v>7</v>
      </c>
      <c r="B142" s="15" t="s">
        <v>393</v>
      </c>
    </row>
    <row r="143" spans="1:14" x14ac:dyDescent="0.25">
      <c r="A143" s="14" t="s">
        <v>9</v>
      </c>
    </row>
    <row r="144" spans="1:14" x14ac:dyDescent="0.25">
      <c r="A144" s="11" t="s">
        <v>10</v>
      </c>
      <c r="B144" s="11" t="s">
        <v>1</v>
      </c>
      <c r="C144" s="11" t="s">
        <v>2</v>
      </c>
      <c r="D144" s="11" t="s">
        <v>4</v>
      </c>
      <c r="E144" s="11" t="s">
        <v>5</v>
      </c>
      <c r="F144" s="11" t="s">
        <v>11</v>
      </c>
      <c r="G144" s="11" t="s">
        <v>12</v>
      </c>
      <c r="H144" s="11" t="s">
        <v>13</v>
      </c>
      <c r="I144" s="11" t="s">
        <v>14</v>
      </c>
      <c r="J144" s="11" t="s">
        <v>15</v>
      </c>
      <c r="K144" s="11" t="s">
        <v>16</v>
      </c>
      <c r="L144" s="11" t="s">
        <v>17</v>
      </c>
      <c r="M144" s="11" t="s">
        <v>18</v>
      </c>
      <c r="N144" s="11" t="s">
        <v>19</v>
      </c>
    </row>
    <row r="145" spans="1:7" x14ac:dyDescent="0.25">
      <c r="A145" s="13" t="s">
        <v>227</v>
      </c>
      <c r="B145" s="13" t="s">
        <v>205</v>
      </c>
      <c r="C145" s="13" t="s">
        <v>80</v>
      </c>
      <c r="D145" s="13">
        <v>1</v>
      </c>
      <c r="E145" s="13" t="s">
        <v>6</v>
      </c>
      <c r="F145" s="16" t="s">
        <v>56</v>
      </c>
      <c r="G145" s="13" t="s">
        <v>20</v>
      </c>
    </row>
    <row r="146" spans="1:7" x14ac:dyDescent="0.25">
      <c r="A146" s="13" t="s">
        <v>224</v>
      </c>
      <c r="B146" s="13" t="s">
        <v>205</v>
      </c>
      <c r="C146" s="13" t="s">
        <v>80</v>
      </c>
      <c r="D146" s="13">
        <v>1</v>
      </c>
      <c r="E146" s="13" t="s">
        <v>6</v>
      </c>
      <c r="F146" s="16" t="s">
        <v>56</v>
      </c>
      <c r="G146" s="13" t="s">
        <v>21</v>
      </c>
    </row>
    <row r="147" spans="1:7" x14ac:dyDescent="0.25">
      <c r="A147" s="13" t="s">
        <v>374</v>
      </c>
      <c r="B147" s="13" t="s">
        <v>225</v>
      </c>
      <c r="C147" s="13" t="s">
        <v>80</v>
      </c>
      <c r="D147" s="15">
        <v>1.7455213323427807</v>
      </c>
      <c r="E147" s="13" t="s">
        <v>6</v>
      </c>
      <c r="F147" s="16" t="s">
        <v>56</v>
      </c>
      <c r="G147" s="13" t="s">
        <v>21</v>
      </c>
    </row>
    <row r="148" spans="1:7" x14ac:dyDescent="0.25">
      <c r="A148" s="13" t="s">
        <v>373</v>
      </c>
      <c r="B148" s="13" t="s">
        <v>209</v>
      </c>
      <c r="C148" s="13" t="s">
        <v>80</v>
      </c>
      <c r="D148" s="15">
        <v>1.7455213323427807</v>
      </c>
      <c r="E148" s="13" t="s">
        <v>6</v>
      </c>
      <c r="F148" s="16" t="s">
        <v>56</v>
      </c>
      <c r="G148" s="13" t="s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39997558519241921"/>
  </sheetPr>
  <dimension ref="A1:N54"/>
  <sheetViews>
    <sheetView workbookViewId="0">
      <selection activeCell="B50" sqref="B50"/>
    </sheetView>
  </sheetViews>
  <sheetFormatPr baseColWidth="10" defaultColWidth="8.7109375" defaultRowHeight="15" x14ac:dyDescent="0.25"/>
  <cols>
    <col min="1" max="1" width="72.28515625" style="1" bestFit="1" customWidth="1"/>
    <col min="2" max="2" width="72.7109375" style="1" customWidth="1"/>
    <col min="3" max="3" width="8.28515625" style="1" bestFit="1" customWidth="1"/>
    <col min="4" max="5" width="12.7109375" style="1" bestFit="1" customWidth="1"/>
    <col min="6" max="6" width="20.2851562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7109375" style="1" bestFit="1" customWidth="1"/>
    <col min="15" max="16384" width="8.7109375" style="1"/>
  </cols>
  <sheetData>
    <row r="1" spans="1:14" x14ac:dyDescent="0.25">
      <c r="A1" s="2" t="s">
        <v>0</v>
      </c>
      <c r="B1" s="4" t="s">
        <v>375</v>
      </c>
    </row>
    <row r="2" spans="1:14" x14ac:dyDescent="0.25">
      <c r="A2" s="5" t="s">
        <v>1</v>
      </c>
      <c r="B2" s="1" t="s">
        <v>185</v>
      </c>
    </row>
    <row r="3" spans="1:14" x14ac:dyDescent="0.25">
      <c r="A3" s="5" t="s">
        <v>2</v>
      </c>
      <c r="B3" s="1" t="s">
        <v>80</v>
      </c>
    </row>
    <row r="4" spans="1:14" x14ac:dyDescent="0.25">
      <c r="A4" s="5" t="s">
        <v>4</v>
      </c>
      <c r="B4" s="1">
        <v>1</v>
      </c>
    </row>
    <row r="5" spans="1:14" x14ac:dyDescent="0.25">
      <c r="A5" s="5" t="s">
        <v>5</v>
      </c>
      <c r="B5" s="1" t="s">
        <v>6</v>
      </c>
    </row>
    <row r="6" spans="1:14" x14ac:dyDescent="0.25">
      <c r="A6" s="5" t="s">
        <v>7</v>
      </c>
      <c r="B6" s="1" t="s">
        <v>8</v>
      </c>
    </row>
    <row r="7" spans="1:14" x14ac:dyDescent="0.25">
      <c r="A7" s="5" t="s">
        <v>9</v>
      </c>
    </row>
    <row r="8" spans="1:14" x14ac:dyDescent="0.25">
      <c r="A8" s="2" t="s">
        <v>10</v>
      </c>
      <c r="B8" s="2" t="s">
        <v>1</v>
      </c>
      <c r="C8" s="2" t="s">
        <v>2</v>
      </c>
      <c r="D8" s="2" t="s">
        <v>4</v>
      </c>
      <c r="E8" s="2" t="s">
        <v>5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25">
      <c r="A9" s="1" t="s">
        <v>375</v>
      </c>
      <c r="B9" s="1" t="s">
        <v>185</v>
      </c>
      <c r="C9" s="1" t="s">
        <v>80</v>
      </c>
      <c r="D9" s="1">
        <v>1</v>
      </c>
      <c r="E9" s="1" t="s">
        <v>6</v>
      </c>
      <c r="F9" s="3" t="s">
        <v>56</v>
      </c>
      <c r="G9" s="1" t="s">
        <v>20</v>
      </c>
    </row>
    <row r="10" spans="1:14" x14ac:dyDescent="0.25">
      <c r="A10" s="1" t="s">
        <v>60</v>
      </c>
      <c r="B10" s="1" t="s">
        <v>61</v>
      </c>
      <c r="C10" s="1" t="s">
        <v>25</v>
      </c>
      <c r="D10" s="1">
        <v>3.165263157894737E-3</v>
      </c>
      <c r="E10" s="1" t="s">
        <v>50</v>
      </c>
      <c r="F10" s="1" t="s">
        <v>206</v>
      </c>
      <c r="G10" s="1" t="s">
        <v>21</v>
      </c>
      <c r="J10" s="1" t="s">
        <v>186</v>
      </c>
    </row>
    <row r="11" spans="1:14" x14ac:dyDescent="0.25">
      <c r="A11" s="1" t="s">
        <v>58</v>
      </c>
      <c r="B11" s="1" t="s">
        <v>59</v>
      </c>
      <c r="C11" s="1" t="s">
        <v>80</v>
      </c>
      <c r="D11" s="1">
        <v>1.2</v>
      </c>
      <c r="E11" s="1" t="s">
        <v>6</v>
      </c>
      <c r="F11" s="1" t="s">
        <v>206</v>
      </c>
      <c r="G11" s="1" t="s">
        <v>21</v>
      </c>
      <c r="J11" s="1" t="s">
        <v>186</v>
      </c>
    </row>
    <row r="12" spans="1:14" x14ac:dyDescent="0.25">
      <c r="A12" s="1" t="s">
        <v>64</v>
      </c>
      <c r="B12" s="1" t="s">
        <v>65</v>
      </c>
      <c r="C12" s="1" t="s">
        <v>80</v>
      </c>
      <c r="D12" s="1">
        <v>2.4882000000000001E-2</v>
      </c>
      <c r="E12" s="1" t="s">
        <v>33</v>
      </c>
      <c r="F12" s="1" t="s">
        <v>206</v>
      </c>
      <c r="G12" s="1" t="s">
        <v>21</v>
      </c>
      <c r="J12" s="1" t="s">
        <v>186</v>
      </c>
    </row>
    <row r="13" spans="1:14" x14ac:dyDescent="0.25">
      <c r="A13" s="1" t="s">
        <v>74</v>
      </c>
      <c r="B13" s="1" t="s">
        <v>75</v>
      </c>
      <c r="C13" s="1" t="s">
        <v>25</v>
      </c>
      <c r="D13" s="1">
        <v>7.0000000000000007E-2</v>
      </c>
      <c r="E13" s="1" t="s">
        <v>6</v>
      </c>
      <c r="F13" s="1" t="s">
        <v>206</v>
      </c>
      <c r="G13" s="1" t="s">
        <v>21</v>
      </c>
      <c r="J13" s="1" t="s">
        <v>186</v>
      </c>
    </row>
    <row r="14" spans="1:14" x14ac:dyDescent="0.25">
      <c r="A14" s="1" t="s">
        <v>60</v>
      </c>
      <c r="B14" s="1" t="s">
        <v>61</v>
      </c>
      <c r="C14" s="1" t="s">
        <v>25</v>
      </c>
      <c r="D14" s="1">
        <v>7.3684210526315793E-6</v>
      </c>
      <c r="E14" s="1" t="s">
        <v>50</v>
      </c>
      <c r="F14" s="1" t="s">
        <v>206</v>
      </c>
      <c r="G14" s="1" t="s">
        <v>21</v>
      </c>
      <c r="J14" s="1" t="s">
        <v>186</v>
      </c>
    </row>
    <row r="15" spans="1:14" x14ac:dyDescent="0.25">
      <c r="A15" s="1" t="s">
        <v>187</v>
      </c>
      <c r="B15" s="1" t="s">
        <v>188</v>
      </c>
      <c r="C15" s="1" t="s">
        <v>25</v>
      </c>
      <c r="D15" s="1">
        <v>0.02</v>
      </c>
      <c r="E15" s="1" t="s">
        <v>6</v>
      </c>
      <c r="F15" s="1" t="s">
        <v>206</v>
      </c>
      <c r="G15" s="1" t="s">
        <v>21</v>
      </c>
      <c r="J15" s="1" t="s">
        <v>186</v>
      </c>
    </row>
    <row r="16" spans="1:14" x14ac:dyDescent="0.25">
      <c r="A16" s="1" t="s">
        <v>189</v>
      </c>
      <c r="B16" s="1" t="s">
        <v>190</v>
      </c>
      <c r="C16" s="1" t="s">
        <v>25</v>
      </c>
      <c r="D16" s="1">
        <v>0.95</v>
      </c>
      <c r="E16" s="1" t="s">
        <v>6</v>
      </c>
      <c r="F16" s="1" t="s">
        <v>206</v>
      </c>
      <c r="G16" s="1" t="s">
        <v>21</v>
      </c>
      <c r="J16" s="1" t="s">
        <v>186</v>
      </c>
    </row>
    <row r="17" spans="1:10" x14ac:dyDescent="0.25">
      <c r="A17" s="1" t="s">
        <v>26</v>
      </c>
      <c r="B17" s="1" t="s">
        <v>27</v>
      </c>
      <c r="C17" s="1" t="s">
        <v>80</v>
      </c>
      <c r="D17" s="1">
        <v>5.7333299999999996</v>
      </c>
      <c r="E17" s="1" t="s">
        <v>29</v>
      </c>
      <c r="F17" s="1" t="s">
        <v>206</v>
      </c>
      <c r="G17" s="1" t="s">
        <v>21</v>
      </c>
      <c r="J17" s="1" t="s">
        <v>186</v>
      </c>
    </row>
    <row r="18" spans="1:10" x14ac:dyDescent="0.25">
      <c r="A18" s="1" t="s">
        <v>173</v>
      </c>
      <c r="B18" s="1" t="s">
        <v>174</v>
      </c>
      <c r="C18" s="1" t="s">
        <v>28</v>
      </c>
      <c r="D18" s="1">
        <v>0.02</v>
      </c>
      <c r="E18" s="1" t="s">
        <v>6</v>
      </c>
      <c r="F18" s="1" t="s">
        <v>206</v>
      </c>
      <c r="G18" s="1" t="s">
        <v>21</v>
      </c>
      <c r="J18" s="1" t="s">
        <v>186</v>
      </c>
    </row>
    <row r="19" spans="1:10" x14ac:dyDescent="0.25">
      <c r="A19" s="1" t="s">
        <v>175</v>
      </c>
      <c r="B19" s="1" t="s">
        <v>176</v>
      </c>
      <c r="C19" s="1" t="s">
        <v>28</v>
      </c>
      <c r="D19" s="1">
        <v>0.02</v>
      </c>
      <c r="E19" s="1" t="s">
        <v>6</v>
      </c>
      <c r="F19" s="1" t="s">
        <v>206</v>
      </c>
      <c r="G19" s="1" t="s">
        <v>21</v>
      </c>
      <c r="J19" s="1" t="s">
        <v>186</v>
      </c>
    </row>
    <row r="20" spans="1:10" x14ac:dyDescent="0.25">
      <c r="A20" s="1" t="s">
        <v>175</v>
      </c>
      <c r="B20" s="1" t="s">
        <v>176</v>
      </c>
      <c r="C20" s="1" t="s">
        <v>28</v>
      </c>
      <c r="D20" s="1">
        <v>1.73E-3</v>
      </c>
      <c r="E20" s="1" t="s">
        <v>6</v>
      </c>
      <c r="F20" s="1" t="s">
        <v>206</v>
      </c>
      <c r="G20" s="1" t="s">
        <v>21</v>
      </c>
      <c r="J20" s="1" t="s">
        <v>186</v>
      </c>
    </row>
    <row r="21" spans="1:10" x14ac:dyDescent="0.25">
      <c r="A21" s="1" t="s">
        <v>39</v>
      </c>
      <c r="B21" s="1" t="s">
        <v>40</v>
      </c>
      <c r="C21" s="1" t="s">
        <v>25</v>
      </c>
      <c r="D21" s="1">
        <v>7.3299999999999997E-3</v>
      </c>
      <c r="E21" s="1" t="s">
        <v>6</v>
      </c>
      <c r="F21" s="1" t="s">
        <v>206</v>
      </c>
      <c r="G21" s="1" t="s">
        <v>21</v>
      </c>
      <c r="J21" s="1" t="s">
        <v>186</v>
      </c>
    </row>
    <row r="22" spans="1:10" x14ac:dyDescent="0.25">
      <c r="A22" s="1" t="s">
        <v>191</v>
      </c>
      <c r="B22" s="1" t="s">
        <v>192</v>
      </c>
      <c r="C22" s="1" t="s">
        <v>25</v>
      </c>
      <c r="D22" s="1">
        <v>-1.3869625520111E-5</v>
      </c>
      <c r="E22" s="1" t="s">
        <v>50</v>
      </c>
      <c r="F22" s="1" t="s">
        <v>206</v>
      </c>
      <c r="G22" s="1" t="s">
        <v>21</v>
      </c>
      <c r="J22" s="1" t="s">
        <v>186</v>
      </c>
    </row>
    <row r="23" spans="1:10" x14ac:dyDescent="0.25">
      <c r="A23" s="1" t="s">
        <v>193</v>
      </c>
      <c r="B23" s="1" t="s">
        <v>194</v>
      </c>
      <c r="C23" s="1" t="s">
        <v>25</v>
      </c>
      <c r="D23" s="1">
        <v>-3.5999999999999999E-7</v>
      </c>
      <c r="E23" s="1" t="s">
        <v>6</v>
      </c>
      <c r="F23" s="1" t="s">
        <v>206</v>
      </c>
      <c r="G23" s="1" t="s">
        <v>21</v>
      </c>
      <c r="J23" s="1" t="s">
        <v>186</v>
      </c>
    </row>
    <row r="24" spans="1:10" x14ac:dyDescent="0.25">
      <c r="A24" s="1" t="s">
        <v>106</v>
      </c>
      <c r="B24" s="1" t="s">
        <v>107</v>
      </c>
      <c r="C24" s="1" t="s">
        <v>25</v>
      </c>
      <c r="D24" s="1">
        <v>-2.2100000000000002E-3</v>
      </c>
      <c r="E24" s="1" t="s">
        <v>6</v>
      </c>
      <c r="F24" s="1" t="s">
        <v>206</v>
      </c>
      <c r="G24" s="1" t="s">
        <v>21</v>
      </c>
      <c r="J24" s="1" t="s">
        <v>186</v>
      </c>
    </row>
    <row r="25" spans="1:10" x14ac:dyDescent="0.25">
      <c r="A25" s="1" t="s">
        <v>56</v>
      </c>
      <c r="D25" s="1">
        <v>12.67</v>
      </c>
      <c r="E25" s="1" t="s">
        <v>6</v>
      </c>
      <c r="F25" s="1" t="s">
        <v>46</v>
      </c>
      <c r="G25" s="1" t="s">
        <v>47</v>
      </c>
      <c r="H25" s="1" t="s">
        <v>48</v>
      </c>
      <c r="J25" s="1" t="s">
        <v>186</v>
      </c>
    </row>
    <row r="26" spans="1:10" x14ac:dyDescent="0.25">
      <c r="A26" s="1" t="s">
        <v>49</v>
      </c>
      <c r="D26" s="1">
        <v>3.5799999999999998E-3</v>
      </c>
      <c r="E26" s="1" t="s">
        <v>50</v>
      </c>
      <c r="F26" s="1" t="s">
        <v>46</v>
      </c>
      <c r="G26" s="1" t="s">
        <v>47</v>
      </c>
      <c r="H26" s="1" t="s">
        <v>48</v>
      </c>
      <c r="J26" s="1" t="s">
        <v>186</v>
      </c>
    </row>
    <row r="27" spans="1:10" x14ac:dyDescent="0.25">
      <c r="A27" s="1" t="s">
        <v>118</v>
      </c>
      <c r="D27" s="1">
        <v>2.9999999999999997E-4</v>
      </c>
      <c r="E27" s="1" t="s">
        <v>6</v>
      </c>
      <c r="F27" s="1" t="s">
        <v>46</v>
      </c>
      <c r="G27" s="1" t="s">
        <v>47</v>
      </c>
      <c r="H27" s="1" t="s">
        <v>201</v>
      </c>
      <c r="J27" s="1" t="s">
        <v>186</v>
      </c>
    </row>
    <row r="28" spans="1:10" x14ac:dyDescent="0.25">
      <c r="A28" s="1" t="s">
        <v>118</v>
      </c>
      <c r="D28" s="1">
        <v>2.2000000000000001E-4</v>
      </c>
      <c r="E28" s="1" t="s">
        <v>6</v>
      </c>
      <c r="F28" s="1" t="s">
        <v>46</v>
      </c>
      <c r="G28" s="1" t="s">
        <v>47</v>
      </c>
      <c r="H28" s="1" t="s">
        <v>201</v>
      </c>
      <c r="J28" s="1" t="s">
        <v>186</v>
      </c>
    </row>
    <row r="29" spans="1:10" x14ac:dyDescent="0.25">
      <c r="A29" s="1" t="s">
        <v>165</v>
      </c>
      <c r="D29" s="1">
        <v>9.5999999999999992E-4</v>
      </c>
      <c r="E29" s="1" t="s">
        <v>6</v>
      </c>
      <c r="F29" s="1" t="s">
        <v>46</v>
      </c>
      <c r="G29" s="1" t="s">
        <v>47</v>
      </c>
      <c r="H29" s="1" t="s">
        <v>201</v>
      </c>
      <c r="J29" s="1" t="s">
        <v>186</v>
      </c>
    </row>
    <row r="30" spans="1:10" x14ac:dyDescent="0.25">
      <c r="A30" s="1" t="s">
        <v>166</v>
      </c>
      <c r="D30" s="1">
        <v>3.0899999999999999E-3</v>
      </c>
      <c r="E30" s="1" t="s">
        <v>6</v>
      </c>
      <c r="F30" s="1" t="s">
        <v>46</v>
      </c>
      <c r="G30" s="1" t="s">
        <v>47</v>
      </c>
      <c r="H30" s="1" t="s">
        <v>201</v>
      </c>
      <c r="J30" s="1" t="s">
        <v>186</v>
      </c>
    </row>
    <row r="31" spans="1:10" x14ac:dyDescent="0.25">
      <c r="A31" s="1" t="s">
        <v>128</v>
      </c>
      <c r="D31" s="1">
        <v>1.17E-6</v>
      </c>
      <c r="E31" s="1" t="s">
        <v>6</v>
      </c>
      <c r="F31" s="1" t="s">
        <v>46</v>
      </c>
      <c r="G31" s="1" t="s">
        <v>47</v>
      </c>
      <c r="H31" s="1" t="s">
        <v>201</v>
      </c>
      <c r="J31" s="1" t="s">
        <v>186</v>
      </c>
    </row>
    <row r="32" spans="1:10" x14ac:dyDescent="0.25">
      <c r="A32" s="1" t="s">
        <v>170</v>
      </c>
      <c r="D32" s="1">
        <v>8.4999999999999991E-7</v>
      </c>
      <c r="E32" s="1" t="s">
        <v>6</v>
      </c>
      <c r="F32" s="1" t="s">
        <v>46</v>
      </c>
      <c r="G32" s="1" t="s">
        <v>47</v>
      </c>
      <c r="H32" s="1" t="s">
        <v>201</v>
      </c>
      <c r="J32" s="1" t="s">
        <v>186</v>
      </c>
    </row>
    <row r="33" spans="1:14" s="6" customFormat="1" x14ac:dyDescent="0.25"/>
    <row r="34" spans="1:14" x14ac:dyDescent="0.25">
      <c r="A34" s="2" t="s">
        <v>0</v>
      </c>
      <c r="B34" s="2" t="s">
        <v>228</v>
      </c>
    </row>
    <row r="35" spans="1:14" x14ac:dyDescent="0.25">
      <c r="A35" s="5" t="s">
        <v>1</v>
      </c>
      <c r="B35" s="1" t="s">
        <v>185</v>
      </c>
    </row>
    <row r="36" spans="1:14" x14ac:dyDescent="0.25">
      <c r="A36" s="5" t="s">
        <v>2</v>
      </c>
      <c r="B36" s="1" t="s">
        <v>80</v>
      </c>
    </row>
    <row r="37" spans="1:14" x14ac:dyDescent="0.25">
      <c r="A37" s="5" t="s">
        <v>4</v>
      </c>
      <c r="B37" s="1">
        <v>1</v>
      </c>
    </row>
    <row r="38" spans="1:14" x14ac:dyDescent="0.25">
      <c r="A38" s="5" t="s">
        <v>5</v>
      </c>
      <c r="B38" s="1" t="s">
        <v>6</v>
      </c>
    </row>
    <row r="39" spans="1:14" x14ac:dyDescent="0.25">
      <c r="A39" s="5" t="s">
        <v>7</v>
      </c>
      <c r="B39" s="7" t="s">
        <v>8</v>
      </c>
    </row>
    <row r="40" spans="1:14" x14ac:dyDescent="0.25">
      <c r="A40" s="5" t="s">
        <v>9</v>
      </c>
    </row>
    <row r="41" spans="1:14" x14ac:dyDescent="0.25">
      <c r="A41" s="2" t="s">
        <v>10</v>
      </c>
      <c r="B41" s="2" t="s">
        <v>1</v>
      </c>
      <c r="C41" s="2" t="s">
        <v>2</v>
      </c>
      <c r="D41" s="2" t="s">
        <v>4</v>
      </c>
      <c r="E41" s="2" t="s">
        <v>5</v>
      </c>
      <c r="F41" s="2" t="s">
        <v>11</v>
      </c>
      <c r="G41" s="2" t="s">
        <v>12</v>
      </c>
      <c r="H41" s="2" t="s">
        <v>13</v>
      </c>
      <c r="I41" s="2" t="s">
        <v>14</v>
      </c>
      <c r="J41" s="2" t="s">
        <v>15</v>
      </c>
      <c r="K41" s="2" t="s">
        <v>16</v>
      </c>
      <c r="L41" s="2" t="s">
        <v>17</v>
      </c>
      <c r="M41" s="2" t="s">
        <v>18</v>
      </c>
      <c r="N41" s="2" t="s">
        <v>19</v>
      </c>
    </row>
    <row r="42" spans="1:14" x14ac:dyDescent="0.25">
      <c r="A42" s="1" t="s">
        <v>228</v>
      </c>
      <c r="B42" s="1" t="s">
        <v>185</v>
      </c>
      <c r="C42" s="1" t="s">
        <v>80</v>
      </c>
      <c r="D42" s="1">
        <v>1</v>
      </c>
      <c r="E42" s="1" t="s">
        <v>6</v>
      </c>
      <c r="F42" s="3" t="s">
        <v>56</v>
      </c>
      <c r="G42" s="1" t="s">
        <v>20</v>
      </c>
    </row>
    <row r="43" spans="1:14" x14ac:dyDescent="0.25">
      <c r="A43" s="1" t="s">
        <v>375</v>
      </c>
      <c r="B43" s="1" t="s">
        <v>185</v>
      </c>
      <c r="C43" s="1" t="s">
        <v>80</v>
      </c>
      <c r="D43" s="1">
        <f>1</f>
        <v>1</v>
      </c>
      <c r="E43" s="1" t="s">
        <v>6</v>
      </c>
      <c r="F43" s="3" t="s">
        <v>56</v>
      </c>
      <c r="G43" s="1" t="s">
        <v>21</v>
      </c>
    </row>
    <row r="44" spans="1:14" s="6" customFormat="1" x14ac:dyDescent="0.25"/>
    <row r="45" spans="1:14" x14ac:dyDescent="0.25">
      <c r="A45" s="2" t="s">
        <v>0</v>
      </c>
      <c r="B45" s="4" t="s">
        <v>382</v>
      </c>
    </row>
    <row r="46" spans="1:14" x14ac:dyDescent="0.25">
      <c r="A46" s="5" t="s">
        <v>1</v>
      </c>
      <c r="B46" s="1" t="s">
        <v>218</v>
      </c>
    </row>
    <row r="47" spans="1:14" x14ac:dyDescent="0.25">
      <c r="A47" s="5" t="s">
        <v>2</v>
      </c>
      <c r="B47" s="1" t="s">
        <v>80</v>
      </c>
    </row>
    <row r="48" spans="1:14" x14ac:dyDescent="0.25">
      <c r="A48" s="5" t="s">
        <v>4</v>
      </c>
      <c r="B48" s="1">
        <v>1</v>
      </c>
    </row>
    <row r="49" spans="1:14" x14ac:dyDescent="0.25">
      <c r="A49" s="5" t="s">
        <v>5</v>
      </c>
      <c r="B49" s="1" t="s">
        <v>6</v>
      </c>
    </row>
    <row r="50" spans="1:14" x14ac:dyDescent="0.25">
      <c r="A50" s="5" t="s">
        <v>7</v>
      </c>
      <c r="B50" s="7" t="s">
        <v>208</v>
      </c>
    </row>
    <row r="51" spans="1:14" x14ac:dyDescent="0.25">
      <c r="A51" s="5" t="s">
        <v>9</v>
      </c>
    </row>
    <row r="52" spans="1:14" x14ac:dyDescent="0.25">
      <c r="A52" s="2" t="s">
        <v>10</v>
      </c>
      <c r="B52" s="2" t="s">
        <v>1</v>
      </c>
      <c r="C52" s="2" t="s">
        <v>2</v>
      </c>
      <c r="D52" s="2" t="s">
        <v>4</v>
      </c>
      <c r="E52" s="2" t="s">
        <v>5</v>
      </c>
      <c r="F52" s="2" t="s">
        <v>11</v>
      </c>
      <c r="G52" s="2" t="s">
        <v>12</v>
      </c>
      <c r="H52" s="2" t="s">
        <v>13</v>
      </c>
      <c r="I52" s="2" t="s">
        <v>14</v>
      </c>
      <c r="J52" s="2" t="s">
        <v>15</v>
      </c>
      <c r="K52" s="2" t="s">
        <v>16</v>
      </c>
      <c r="L52" s="2" t="s">
        <v>17</v>
      </c>
      <c r="M52" s="2" t="s">
        <v>18</v>
      </c>
      <c r="N52" s="2" t="s">
        <v>19</v>
      </c>
    </row>
    <row r="53" spans="1:14" x14ac:dyDescent="0.25">
      <c r="A53" s="1" t="s">
        <v>382</v>
      </c>
      <c r="B53" s="1" t="s">
        <v>218</v>
      </c>
      <c r="C53" s="1" t="s">
        <v>80</v>
      </c>
      <c r="D53" s="1">
        <v>1</v>
      </c>
      <c r="E53" s="1" t="s">
        <v>6</v>
      </c>
      <c r="F53" s="3" t="s">
        <v>56</v>
      </c>
      <c r="G53" s="1" t="s">
        <v>20</v>
      </c>
    </row>
    <row r="54" spans="1:14" x14ac:dyDescent="0.25">
      <c r="A54" s="1" t="s">
        <v>375</v>
      </c>
      <c r="B54" s="1" t="s">
        <v>185</v>
      </c>
      <c r="C54" s="1" t="s">
        <v>80</v>
      </c>
      <c r="D54" s="1">
        <f>1/(16/100)</f>
        <v>6.25</v>
      </c>
      <c r="E54" s="1" t="s">
        <v>6</v>
      </c>
      <c r="F54" s="3" t="s">
        <v>56</v>
      </c>
      <c r="G54" s="1" t="s">
        <v>21</v>
      </c>
    </row>
  </sheetData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39997558519241921"/>
  </sheetPr>
  <dimension ref="A1:N54"/>
  <sheetViews>
    <sheetView workbookViewId="0">
      <selection activeCell="D55" sqref="D55"/>
    </sheetView>
  </sheetViews>
  <sheetFormatPr baseColWidth="10" defaultColWidth="8.7109375" defaultRowHeight="15" x14ac:dyDescent="0.25"/>
  <cols>
    <col min="1" max="1" width="59.28515625" style="1" bestFit="1" customWidth="1"/>
    <col min="2" max="2" width="59" style="1" customWidth="1"/>
    <col min="3" max="3" width="8.28515625" style="1" bestFit="1" customWidth="1"/>
    <col min="4" max="4" width="12" style="1" bestFit="1" customWidth="1"/>
    <col min="5" max="5" width="12.710937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7109375" style="1" bestFit="1" customWidth="1"/>
    <col min="15" max="16384" width="8.7109375" style="1"/>
  </cols>
  <sheetData>
    <row r="1" spans="1:14" x14ac:dyDescent="0.25">
      <c r="A1" s="2" t="s">
        <v>0</v>
      </c>
      <c r="B1" s="4" t="s">
        <v>376</v>
      </c>
    </row>
    <row r="2" spans="1:14" x14ac:dyDescent="0.25">
      <c r="A2" s="5" t="s">
        <v>1</v>
      </c>
      <c r="B2" s="1" t="s">
        <v>229</v>
      </c>
    </row>
    <row r="3" spans="1:14" x14ac:dyDescent="0.25">
      <c r="A3" s="5" t="s">
        <v>2</v>
      </c>
      <c r="B3" s="1" t="s">
        <v>3</v>
      </c>
    </row>
    <row r="4" spans="1:14" x14ac:dyDescent="0.25">
      <c r="A4" s="5" t="s">
        <v>4</v>
      </c>
      <c r="B4" s="1">
        <v>1</v>
      </c>
    </row>
    <row r="5" spans="1:14" x14ac:dyDescent="0.25">
      <c r="A5" s="5" t="s">
        <v>5</v>
      </c>
      <c r="B5" s="1" t="s">
        <v>6</v>
      </c>
    </row>
    <row r="6" spans="1:14" x14ac:dyDescent="0.25">
      <c r="A6" s="5" t="s">
        <v>7</v>
      </c>
      <c r="B6" s="1" t="s">
        <v>8</v>
      </c>
    </row>
    <row r="7" spans="1:14" x14ac:dyDescent="0.25">
      <c r="A7" s="5" t="s">
        <v>9</v>
      </c>
    </row>
    <row r="8" spans="1:14" x14ac:dyDescent="0.25">
      <c r="A8" s="2" t="s">
        <v>10</v>
      </c>
      <c r="B8" s="2" t="s">
        <v>1</v>
      </c>
      <c r="C8" s="2" t="s">
        <v>2</v>
      </c>
      <c r="D8" s="2" t="s">
        <v>4</v>
      </c>
      <c r="E8" s="2" t="s">
        <v>5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25">
      <c r="A9" s="1" t="s">
        <v>376</v>
      </c>
      <c r="B9" s="1" t="s">
        <v>229</v>
      </c>
      <c r="C9" s="1" t="s">
        <v>3</v>
      </c>
      <c r="D9" s="1">
        <v>1</v>
      </c>
      <c r="E9" s="1" t="s">
        <v>6</v>
      </c>
      <c r="F9" s="3" t="s">
        <v>56</v>
      </c>
      <c r="G9" s="1" t="s">
        <v>20</v>
      </c>
    </row>
    <row r="10" spans="1:14" x14ac:dyDescent="0.25">
      <c r="A10" s="1" t="s">
        <v>52</v>
      </c>
      <c r="B10" s="1" t="s">
        <v>27</v>
      </c>
      <c r="C10" s="1" t="s">
        <v>3</v>
      </c>
      <c r="D10" s="1">
        <v>1.2800000000000001E-2</v>
      </c>
      <c r="E10" s="1" t="s">
        <v>29</v>
      </c>
      <c r="F10" s="1" t="s">
        <v>206</v>
      </c>
      <c r="G10" s="1" t="s">
        <v>21</v>
      </c>
      <c r="J10" s="1" t="s">
        <v>195</v>
      </c>
    </row>
    <row r="11" spans="1:14" x14ac:dyDescent="0.25">
      <c r="A11" s="1" t="s">
        <v>34</v>
      </c>
      <c r="B11" s="1" t="s">
        <v>35</v>
      </c>
      <c r="C11" s="1" t="s">
        <v>28</v>
      </c>
      <c r="D11" s="1">
        <v>0.1125</v>
      </c>
      <c r="E11" s="1" t="s">
        <v>33</v>
      </c>
      <c r="F11" s="1" t="s">
        <v>206</v>
      </c>
      <c r="G11" s="1" t="s">
        <v>21</v>
      </c>
      <c r="J11" s="1" t="s">
        <v>195</v>
      </c>
    </row>
    <row r="12" spans="1:14" s="8" customFormat="1" x14ac:dyDescent="0.25"/>
    <row r="13" spans="1:14" x14ac:dyDescent="0.25">
      <c r="A13" s="2" t="s">
        <v>0</v>
      </c>
      <c r="B13" s="4" t="s">
        <v>230</v>
      </c>
    </row>
    <row r="14" spans="1:14" x14ac:dyDescent="0.25">
      <c r="A14" s="5" t="s">
        <v>1</v>
      </c>
      <c r="B14" s="1" t="s">
        <v>185</v>
      </c>
    </row>
    <row r="15" spans="1:14" x14ac:dyDescent="0.25">
      <c r="A15" s="5" t="s">
        <v>2</v>
      </c>
      <c r="B15" s="1" t="s">
        <v>3</v>
      </c>
    </row>
    <row r="16" spans="1:14" x14ac:dyDescent="0.25">
      <c r="A16" s="5" t="s">
        <v>4</v>
      </c>
      <c r="B16" s="1">
        <v>1</v>
      </c>
    </row>
    <row r="17" spans="1:14" x14ac:dyDescent="0.25">
      <c r="A17" s="5" t="s">
        <v>5</v>
      </c>
      <c r="B17" s="1" t="s">
        <v>6</v>
      </c>
    </row>
    <row r="18" spans="1:14" x14ac:dyDescent="0.25">
      <c r="A18" s="5" t="s">
        <v>7</v>
      </c>
      <c r="B18" s="1" t="s">
        <v>8</v>
      </c>
    </row>
    <row r="19" spans="1:14" x14ac:dyDescent="0.25">
      <c r="A19" s="5" t="s">
        <v>9</v>
      </c>
    </row>
    <row r="20" spans="1:14" x14ac:dyDescent="0.25">
      <c r="A20" s="2" t="s">
        <v>10</v>
      </c>
      <c r="B20" s="2" t="s">
        <v>1</v>
      </c>
      <c r="C20" s="2" t="s">
        <v>2</v>
      </c>
      <c r="D20" s="2" t="s">
        <v>4</v>
      </c>
      <c r="E20" s="2" t="s">
        <v>5</v>
      </c>
      <c r="F20" s="2" t="s">
        <v>11</v>
      </c>
      <c r="G20" s="2" t="s">
        <v>12</v>
      </c>
      <c r="H20" s="2" t="s">
        <v>13</v>
      </c>
      <c r="I20" s="2" t="s">
        <v>14</v>
      </c>
      <c r="J20" s="2" t="s">
        <v>15</v>
      </c>
      <c r="K20" s="2" t="s">
        <v>16</v>
      </c>
      <c r="L20" s="2" t="s">
        <v>17</v>
      </c>
      <c r="M20" s="2" t="s">
        <v>18</v>
      </c>
      <c r="N20" s="2" t="s">
        <v>19</v>
      </c>
    </row>
    <row r="21" spans="1:14" x14ac:dyDescent="0.25">
      <c r="A21" s="1" t="s">
        <v>230</v>
      </c>
      <c r="B21" s="1" t="s">
        <v>185</v>
      </c>
      <c r="C21" s="1" t="s">
        <v>3</v>
      </c>
      <c r="D21" s="1">
        <v>1</v>
      </c>
      <c r="E21" s="1" t="s">
        <v>6</v>
      </c>
      <c r="F21" s="3" t="s">
        <v>56</v>
      </c>
      <c r="G21" s="1" t="s">
        <v>20</v>
      </c>
    </row>
    <row r="22" spans="1:14" x14ac:dyDescent="0.25">
      <c r="A22" s="1" t="s">
        <v>58</v>
      </c>
      <c r="B22" s="1" t="s">
        <v>59</v>
      </c>
      <c r="C22" s="1" t="s">
        <v>3</v>
      </c>
      <c r="D22" s="1">
        <v>3.9</v>
      </c>
      <c r="E22" s="1" t="s">
        <v>6</v>
      </c>
      <c r="F22" s="1" t="s">
        <v>206</v>
      </c>
      <c r="G22" s="1" t="s">
        <v>21</v>
      </c>
      <c r="J22" s="1" t="s">
        <v>195</v>
      </c>
    </row>
    <row r="23" spans="1:14" x14ac:dyDescent="0.25">
      <c r="A23" s="1" t="s">
        <v>52</v>
      </c>
      <c r="B23" s="1" t="s">
        <v>27</v>
      </c>
      <c r="C23" s="1" t="s">
        <v>3</v>
      </c>
      <c r="D23" s="1">
        <v>10.907</v>
      </c>
      <c r="E23" s="1" t="s">
        <v>29</v>
      </c>
      <c r="F23" s="1" t="s">
        <v>206</v>
      </c>
      <c r="G23" s="1" t="s">
        <v>21</v>
      </c>
      <c r="J23" s="1" t="s">
        <v>195</v>
      </c>
    </row>
    <row r="24" spans="1:14" x14ac:dyDescent="0.25">
      <c r="A24" s="1" t="s">
        <v>175</v>
      </c>
      <c r="B24" s="1" t="s">
        <v>176</v>
      </c>
      <c r="C24" s="1" t="s">
        <v>28</v>
      </c>
      <c r="D24" s="1">
        <v>4.3700000000000003E-2</v>
      </c>
      <c r="E24" s="1" t="s">
        <v>6</v>
      </c>
      <c r="F24" s="1" t="s">
        <v>206</v>
      </c>
      <c r="G24" s="1" t="s">
        <v>21</v>
      </c>
      <c r="J24" s="1" t="s">
        <v>195</v>
      </c>
    </row>
    <row r="25" spans="1:14" x14ac:dyDescent="0.25">
      <c r="A25" s="1" t="s">
        <v>74</v>
      </c>
      <c r="B25" s="1" t="s">
        <v>75</v>
      </c>
      <c r="C25" s="1" t="s">
        <v>25</v>
      </c>
      <c r="D25" s="1">
        <v>7.0999999999999994E-2</v>
      </c>
      <c r="E25" s="1" t="s">
        <v>6</v>
      </c>
      <c r="F25" s="1" t="s">
        <v>206</v>
      </c>
      <c r="G25" s="1" t="s">
        <v>21</v>
      </c>
      <c r="J25" s="1" t="s">
        <v>195</v>
      </c>
    </row>
    <row r="26" spans="1:14" x14ac:dyDescent="0.25">
      <c r="A26" s="1" t="s">
        <v>60</v>
      </c>
      <c r="B26" s="1" t="s">
        <v>61</v>
      </c>
      <c r="C26" s="1" t="s">
        <v>25</v>
      </c>
      <c r="D26" s="1">
        <v>5.1578947368421052E-3</v>
      </c>
      <c r="E26" s="1" t="s">
        <v>50</v>
      </c>
      <c r="F26" s="1" t="s">
        <v>206</v>
      </c>
      <c r="G26" s="1" t="s">
        <v>21</v>
      </c>
      <c r="J26" s="1" t="s">
        <v>195</v>
      </c>
    </row>
    <row r="27" spans="1:14" x14ac:dyDescent="0.25">
      <c r="A27" s="1" t="s">
        <v>76</v>
      </c>
      <c r="B27" s="1" t="s">
        <v>77</v>
      </c>
      <c r="C27" s="1" t="s">
        <v>28</v>
      </c>
      <c r="D27" s="1">
        <v>2.8E-3</v>
      </c>
      <c r="E27" s="1" t="s">
        <v>6</v>
      </c>
      <c r="F27" s="1" t="s">
        <v>206</v>
      </c>
      <c r="G27" s="1" t="s">
        <v>21</v>
      </c>
      <c r="J27" s="1" t="s">
        <v>195</v>
      </c>
    </row>
    <row r="28" spans="1:14" x14ac:dyDescent="0.25">
      <c r="A28" s="1" t="s">
        <v>196</v>
      </c>
      <c r="B28" s="1" t="s">
        <v>197</v>
      </c>
      <c r="C28" s="1" t="s">
        <v>25</v>
      </c>
      <c r="D28" s="1">
        <v>2E-3</v>
      </c>
      <c r="E28" s="1" t="s">
        <v>6</v>
      </c>
      <c r="F28" s="1" t="s">
        <v>206</v>
      </c>
      <c r="G28" s="1" t="s">
        <v>21</v>
      </c>
      <c r="J28" s="1" t="s">
        <v>195</v>
      </c>
    </row>
    <row r="29" spans="1:14" x14ac:dyDescent="0.25">
      <c r="A29" s="1" t="s">
        <v>198</v>
      </c>
      <c r="B29" s="1" t="s">
        <v>199</v>
      </c>
      <c r="C29" s="1" t="s">
        <v>28</v>
      </c>
      <c r="D29" s="1">
        <v>6.0000000000000001E-3</v>
      </c>
      <c r="E29" s="1" t="s">
        <v>6</v>
      </c>
      <c r="F29" s="1" t="s">
        <v>206</v>
      </c>
      <c r="G29" s="1" t="s">
        <v>21</v>
      </c>
      <c r="J29" s="1" t="s">
        <v>195</v>
      </c>
    </row>
    <row r="30" spans="1:14" x14ac:dyDescent="0.25">
      <c r="A30" s="1" t="s">
        <v>56</v>
      </c>
      <c r="D30" s="1">
        <f>24.3*(2.4/100)</f>
        <v>0.58320000000000005</v>
      </c>
      <c r="E30" s="1" t="s">
        <v>6</v>
      </c>
      <c r="F30" s="1" t="s">
        <v>46</v>
      </c>
      <c r="G30" s="1" t="s">
        <v>47</v>
      </c>
      <c r="H30" s="1" t="s">
        <v>48</v>
      </c>
      <c r="J30" s="1" t="s">
        <v>195</v>
      </c>
    </row>
    <row r="31" spans="1:14" s="6" customFormat="1" x14ac:dyDescent="0.25"/>
    <row r="32" spans="1:14" x14ac:dyDescent="0.25">
      <c r="A32" s="2" t="s">
        <v>0</v>
      </c>
      <c r="B32" s="2" t="s">
        <v>231</v>
      </c>
    </row>
    <row r="33" spans="1:14" x14ac:dyDescent="0.25">
      <c r="A33" s="5" t="s">
        <v>1</v>
      </c>
      <c r="B33" s="1" t="s">
        <v>185</v>
      </c>
    </row>
    <row r="34" spans="1:14" x14ac:dyDescent="0.25">
      <c r="A34" s="5" t="s">
        <v>2</v>
      </c>
      <c r="B34" s="1" t="s">
        <v>3</v>
      </c>
    </row>
    <row r="35" spans="1:14" x14ac:dyDescent="0.25">
      <c r="A35" s="5" t="s">
        <v>4</v>
      </c>
      <c r="B35" s="1">
        <v>1</v>
      </c>
    </row>
    <row r="36" spans="1:14" x14ac:dyDescent="0.25">
      <c r="A36" s="5" t="s">
        <v>5</v>
      </c>
      <c r="B36" s="1" t="s">
        <v>6</v>
      </c>
    </row>
    <row r="37" spans="1:14" x14ac:dyDescent="0.25">
      <c r="A37" s="5" t="s">
        <v>7</v>
      </c>
      <c r="B37" s="7" t="s">
        <v>8</v>
      </c>
    </row>
    <row r="38" spans="1:14" x14ac:dyDescent="0.25">
      <c r="A38" s="5" t="s">
        <v>9</v>
      </c>
    </row>
    <row r="39" spans="1:14" x14ac:dyDescent="0.25">
      <c r="A39" s="2" t="s">
        <v>10</v>
      </c>
      <c r="B39" s="2" t="s">
        <v>1</v>
      </c>
      <c r="C39" s="2" t="s">
        <v>2</v>
      </c>
      <c r="D39" s="2" t="s">
        <v>4</v>
      </c>
      <c r="E39" s="2" t="s">
        <v>5</v>
      </c>
      <c r="F39" s="2" t="s">
        <v>11</v>
      </c>
      <c r="G39" s="2" t="s">
        <v>12</v>
      </c>
      <c r="H39" s="2" t="s">
        <v>13</v>
      </c>
      <c r="I39" s="2" t="s">
        <v>14</v>
      </c>
      <c r="J39" s="2" t="s">
        <v>15</v>
      </c>
      <c r="K39" s="2" t="s">
        <v>16</v>
      </c>
      <c r="L39" s="2" t="s">
        <v>17</v>
      </c>
      <c r="M39" s="2" t="s">
        <v>18</v>
      </c>
      <c r="N39" s="2" t="s">
        <v>19</v>
      </c>
    </row>
    <row r="40" spans="1:14" x14ac:dyDescent="0.25">
      <c r="A40" s="1" t="s">
        <v>231</v>
      </c>
      <c r="B40" s="1" t="s">
        <v>185</v>
      </c>
      <c r="C40" s="1" t="s">
        <v>3</v>
      </c>
      <c r="D40" s="1">
        <v>1</v>
      </c>
      <c r="E40" s="1" t="s">
        <v>6</v>
      </c>
      <c r="F40" s="3" t="s">
        <v>56</v>
      </c>
      <c r="G40" s="1" t="s">
        <v>20</v>
      </c>
    </row>
    <row r="41" spans="1:14" x14ac:dyDescent="0.25">
      <c r="A41" s="1" t="s">
        <v>230</v>
      </c>
      <c r="B41" s="1" t="s">
        <v>185</v>
      </c>
      <c r="C41" s="1" t="s">
        <v>3</v>
      </c>
      <c r="D41" s="1">
        <f>D53*(30/100)</f>
        <v>1</v>
      </c>
      <c r="E41" s="1" t="s">
        <v>6</v>
      </c>
      <c r="F41" s="3" t="s">
        <v>56</v>
      </c>
      <c r="G41" s="1" t="s">
        <v>21</v>
      </c>
    </row>
    <row r="42" spans="1:14" x14ac:dyDescent="0.25">
      <c r="A42" s="1" t="s">
        <v>376</v>
      </c>
      <c r="B42" s="1" t="s">
        <v>229</v>
      </c>
      <c r="C42" s="1" t="s">
        <v>3</v>
      </c>
      <c r="D42" s="1">
        <f>D41*24.3</f>
        <v>24.3</v>
      </c>
      <c r="E42" s="1" t="s">
        <v>6</v>
      </c>
      <c r="F42" s="3" t="s">
        <v>56</v>
      </c>
      <c r="G42" s="1" t="s">
        <v>21</v>
      </c>
    </row>
    <row r="43" spans="1:14" s="6" customFormat="1" x14ac:dyDescent="0.25"/>
    <row r="44" spans="1:14" x14ac:dyDescent="0.25">
      <c r="A44" s="2" t="s">
        <v>0</v>
      </c>
      <c r="B44" s="4" t="s">
        <v>381</v>
      </c>
    </row>
    <row r="45" spans="1:14" x14ac:dyDescent="0.25">
      <c r="A45" s="5" t="s">
        <v>1</v>
      </c>
      <c r="B45" s="1" t="s">
        <v>218</v>
      </c>
    </row>
    <row r="46" spans="1:14" x14ac:dyDescent="0.25">
      <c r="A46" s="5" t="s">
        <v>2</v>
      </c>
      <c r="B46" s="1" t="s">
        <v>3</v>
      </c>
    </row>
    <row r="47" spans="1:14" x14ac:dyDescent="0.25">
      <c r="A47" s="5" t="s">
        <v>4</v>
      </c>
      <c r="B47" s="1">
        <v>1</v>
      </c>
    </row>
    <row r="48" spans="1:14" x14ac:dyDescent="0.25">
      <c r="A48" s="5" t="s">
        <v>5</v>
      </c>
      <c r="B48" s="1" t="s">
        <v>6</v>
      </c>
    </row>
    <row r="49" spans="1:14" x14ac:dyDescent="0.25">
      <c r="A49" s="5" t="s">
        <v>7</v>
      </c>
      <c r="B49" s="7" t="s">
        <v>208</v>
      </c>
    </row>
    <row r="50" spans="1:14" x14ac:dyDescent="0.25">
      <c r="A50" s="5" t="s">
        <v>9</v>
      </c>
    </row>
    <row r="51" spans="1:14" x14ac:dyDescent="0.25">
      <c r="A51" s="2" t="s">
        <v>10</v>
      </c>
      <c r="B51" s="2" t="s">
        <v>1</v>
      </c>
      <c r="C51" s="2" t="s">
        <v>2</v>
      </c>
      <c r="D51" s="2" t="s">
        <v>4</v>
      </c>
      <c r="E51" s="2" t="s">
        <v>5</v>
      </c>
      <c r="F51" s="2" t="s">
        <v>11</v>
      </c>
      <c r="G51" s="2" t="s">
        <v>12</v>
      </c>
      <c r="H51" s="2" t="s">
        <v>13</v>
      </c>
      <c r="I51" s="2" t="s">
        <v>14</v>
      </c>
      <c r="J51" s="2" t="s">
        <v>15</v>
      </c>
      <c r="K51" s="2" t="s">
        <v>16</v>
      </c>
      <c r="L51" s="2" t="s">
        <v>17</v>
      </c>
      <c r="M51" s="2" t="s">
        <v>18</v>
      </c>
      <c r="N51" s="2" t="s">
        <v>19</v>
      </c>
    </row>
    <row r="52" spans="1:14" x14ac:dyDescent="0.25">
      <c r="A52" s="1" t="s">
        <v>381</v>
      </c>
      <c r="B52" s="1" t="s">
        <v>218</v>
      </c>
      <c r="C52" s="1" t="s">
        <v>3</v>
      </c>
      <c r="D52" s="1">
        <v>1</v>
      </c>
      <c r="E52" s="1" t="s">
        <v>6</v>
      </c>
      <c r="F52" s="3" t="s">
        <v>56</v>
      </c>
      <c r="G52" s="1" t="s">
        <v>20</v>
      </c>
    </row>
    <row r="53" spans="1:14" x14ac:dyDescent="0.25">
      <c r="A53" s="1" t="s">
        <v>230</v>
      </c>
      <c r="B53" s="1" t="s">
        <v>185</v>
      </c>
      <c r="C53" s="1" t="s">
        <v>3</v>
      </c>
      <c r="D53" s="1">
        <f>1/(30/100)</f>
        <v>3.3333333333333335</v>
      </c>
      <c r="E53" s="1" t="s">
        <v>6</v>
      </c>
      <c r="F53" s="3" t="s">
        <v>56</v>
      </c>
      <c r="G53" s="1" t="s">
        <v>21</v>
      </c>
    </row>
    <row r="54" spans="1:14" x14ac:dyDescent="0.25">
      <c r="A54" s="1" t="s">
        <v>376</v>
      </c>
      <c r="B54" s="1" t="s">
        <v>229</v>
      </c>
      <c r="C54" s="1" t="s">
        <v>3</v>
      </c>
      <c r="D54" s="1">
        <f>D53*24.3</f>
        <v>81</v>
      </c>
      <c r="E54" s="1" t="s">
        <v>6</v>
      </c>
      <c r="F54" s="3" t="s">
        <v>56</v>
      </c>
      <c r="G54" s="1" t="s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0.39997558519241921"/>
  </sheetPr>
  <dimension ref="A1:N50"/>
  <sheetViews>
    <sheetView topLeftCell="A81" workbookViewId="0"/>
  </sheetViews>
  <sheetFormatPr baseColWidth="10" defaultColWidth="8.7109375" defaultRowHeight="15" x14ac:dyDescent="0.25"/>
  <cols>
    <col min="1" max="1" width="51.7109375" style="13" bestFit="1" customWidth="1"/>
    <col min="2" max="2" width="54.5703125" style="13" customWidth="1"/>
    <col min="3" max="3" width="8.28515625" style="13" bestFit="1" customWidth="1"/>
    <col min="4" max="4" width="11" style="13" bestFit="1" customWidth="1"/>
    <col min="5" max="5" width="17.5703125" style="13" bestFit="1" customWidth="1"/>
    <col min="6" max="6" width="20.28515625" style="13" bestFit="1" customWidth="1"/>
    <col min="7" max="7" width="13.28515625" style="13" bestFit="1" customWidth="1"/>
    <col min="8" max="8" width="25.28515625" style="13" bestFit="1" customWidth="1"/>
    <col min="9" max="9" width="15.5703125" style="13" bestFit="1" customWidth="1"/>
    <col min="10" max="10" width="9.7109375" style="13" bestFit="1" customWidth="1"/>
    <col min="11" max="11" width="3.5703125" style="13" bestFit="1" customWidth="1"/>
    <col min="12" max="12" width="5.42578125" style="13" bestFit="1" customWidth="1"/>
    <col min="13" max="13" width="9.5703125" style="13" bestFit="1" customWidth="1"/>
    <col min="14" max="14" width="9.7109375" style="13" bestFit="1" customWidth="1"/>
    <col min="15" max="16384" width="8.7109375" style="13"/>
  </cols>
  <sheetData>
    <row r="1" spans="1:14" x14ac:dyDescent="0.25">
      <c r="A1" s="11" t="s">
        <v>0</v>
      </c>
      <c r="B1" s="12" t="s">
        <v>233</v>
      </c>
    </row>
    <row r="2" spans="1:14" x14ac:dyDescent="0.25">
      <c r="A2" s="14" t="s">
        <v>1</v>
      </c>
      <c r="B2" s="13" t="s">
        <v>234</v>
      </c>
    </row>
    <row r="3" spans="1:14" x14ac:dyDescent="0.25">
      <c r="A3" s="14" t="s">
        <v>2</v>
      </c>
      <c r="B3" s="13" t="s">
        <v>80</v>
      </c>
    </row>
    <row r="4" spans="1:14" x14ac:dyDescent="0.25">
      <c r="A4" s="14" t="s">
        <v>4</v>
      </c>
      <c r="B4" s="13">
        <v>1</v>
      </c>
    </row>
    <row r="5" spans="1:14" x14ac:dyDescent="0.25">
      <c r="A5" s="14" t="s">
        <v>5</v>
      </c>
      <c r="B5" s="13" t="s">
        <v>6</v>
      </c>
    </row>
    <row r="6" spans="1:14" ht="45" x14ac:dyDescent="0.25">
      <c r="A6" s="14" t="s">
        <v>7</v>
      </c>
      <c r="B6" s="10" t="s">
        <v>235</v>
      </c>
    </row>
    <row r="7" spans="1:14" x14ac:dyDescent="0.25">
      <c r="A7" s="14" t="s">
        <v>9</v>
      </c>
    </row>
    <row r="8" spans="1:14" x14ac:dyDescent="0.25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25">
      <c r="A9" s="13" t="s">
        <v>233</v>
      </c>
      <c r="B9" s="13" t="s">
        <v>234</v>
      </c>
      <c r="C9" s="13" t="s">
        <v>80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s="21" customFormat="1" x14ac:dyDescent="0.25"/>
    <row r="11" spans="1:14" x14ac:dyDescent="0.25">
      <c r="A11" s="11" t="s">
        <v>0</v>
      </c>
      <c r="B11" s="12" t="s">
        <v>236</v>
      </c>
    </row>
    <row r="12" spans="1:14" x14ac:dyDescent="0.25">
      <c r="A12" s="14" t="s">
        <v>1</v>
      </c>
      <c r="B12" s="13" t="s">
        <v>232</v>
      </c>
    </row>
    <row r="13" spans="1:14" x14ac:dyDescent="0.25">
      <c r="A13" s="14" t="s">
        <v>2</v>
      </c>
      <c r="B13" s="13" t="s">
        <v>80</v>
      </c>
    </row>
    <row r="14" spans="1:14" x14ac:dyDescent="0.25">
      <c r="A14" s="14" t="s">
        <v>4</v>
      </c>
      <c r="B14" s="13">
        <v>1</v>
      </c>
    </row>
    <row r="15" spans="1:14" x14ac:dyDescent="0.25">
      <c r="A15" s="14" t="s">
        <v>5</v>
      </c>
      <c r="B15" s="13" t="s">
        <v>6</v>
      </c>
    </row>
    <row r="16" spans="1:14" x14ac:dyDescent="0.25">
      <c r="A16" s="14" t="s">
        <v>7</v>
      </c>
      <c r="B16" s="13" t="s">
        <v>8</v>
      </c>
    </row>
    <row r="17" spans="1:14" x14ac:dyDescent="0.25">
      <c r="A17" s="14" t="s">
        <v>9</v>
      </c>
    </row>
    <row r="18" spans="1:14" x14ac:dyDescent="0.25">
      <c r="A18" s="11" t="s">
        <v>10</v>
      </c>
      <c r="B18" s="11" t="s">
        <v>1</v>
      </c>
      <c r="C18" s="11" t="s">
        <v>2</v>
      </c>
      <c r="D18" s="11" t="s">
        <v>4</v>
      </c>
      <c r="E18" s="11" t="s">
        <v>5</v>
      </c>
      <c r="F18" s="11" t="s">
        <v>11</v>
      </c>
      <c r="G18" s="11" t="s">
        <v>12</v>
      </c>
      <c r="H18" s="11" t="s">
        <v>13</v>
      </c>
      <c r="I18" s="11" t="s">
        <v>14</v>
      </c>
      <c r="J18" s="11" t="s">
        <v>15</v>
      </c>
      <c r="K18" s="11" t="s">
        <v>16</v>
      </c>
      <c r="L18" s="11" t="s">
        <v>17</v>
      </c>
      <c r="M18" s="11" t="s">
        <v>18</v>
      </c>
      <c r="N18" s="11" t="s">
        <v>19</v>
      </c>
    </row>
    <row r="19" spans="1:14" x14ac:dyDescent="0.25">
      <c r="A19" s="13" t="s">
        <v>236</v>
      </c>
      <c r="B19" s="13" t="s">
        <v>232</v>
      </c>
      <c r="C19" s="13" t="s">
        <v>80</v>
      </c>
      <c r="D19" s="13">
        <v>1</v>
      </c>
      <c r="E19" s="13" t="s">
        <v>6</v>
      </c>
      <c r="F19" s="16" t="s">
        <v>56</v>
      </c>
      <c r="G19" s="13" t="s">
        <v>20</v>
      </c>
    </row>
    <row r="20" spans="1:14" x14ac:dyDescent="0.25">
      <c r="A20" s="13" t="s">
        <v>64</v>
      </c>
      <c r="B20" s="13" t="s">
        <v>65</v>
      </c>
      <c r="C20" s="13" t="s">
        <v>80</v>
      </c>
      <c r="D20" s="13">
        <v>0.71126400000000012</v>
      </c>
      <c r="E20" s="13" t="s">
        <v>33</v>
      </c>
      <c r="F20" s="13" t="s">
        <v>206</v>
      </c>
      <c r="G20" s="13" t="s">
        <v>21</v>
      </c>
      <c r="J20" s="13" t="s">
        <v>200</v>
      </c>
    </row>
    <row r="21" spans="1:14" x14ac:dyDescent="0.25">
      <c r="A21" s="13" t="s">
        <v>74</v>
      </c>
      <c r="B21" s="13" t="s">
        <v>75</v>
      </c>
      <c r="C21" s="13" t="s">
        <v>25</v>
      </c>
      <c r="D21" s="13">
        <v>5.5329999999999997E-2</v>
      </c>
      <c r="E21" s="13" t="s">
        <v>6</v>
      </c>
      <c r="F21" s="13" t="s">
        <v>206</v>
      </c>
      <c r="G21" s="13" t="s">
        <v>21</v>
      </c>
      <c r="J21" s="13" t="s">
        <v>200</v>
      </c>
    </row>
    <row r="22" spans="1:14" x14ac:dyDescent="0.25">
      <c r="A22" s="13" t="s">
        <v>173</v>
      </c>
      <c r="B22" s="13" t="s">
        <v>174</v>
      </c>
      <c r="C22" s="13" t="s">
        <v>28</v>
      </c>
      <c r="D22" s="13">
        <v>4.4799999999999996E-3</v>
      </c>
      <c r="E22" s="13" t="s">
        <v>6</v>
      </c>
      <c r="F22" s="13" t="s">
        <v>206</v>
      </c>
      <c r="G22" s="13" t="s">
        <v>21</v>
      </c>
      <c r="J22" s="13" t="s">
        <v>200</v>
      </c>
    </row>
    <row r="23" spans="1:14" x14ac:dyDescent="0.25">
      <c r="A23" s="13" t="s">
        <v>144</v>
      </c>
      <c r="B23" s="13" t="s">
        <v>145</v>
      </c>
      <c r="C23" s="13" t="s">
        <v>28</v>
      </c>
      <c r="D23" s="13">
        <v>0.15</v>
      </c>
      <c r="E23" s="13" t="s">
        <v>6</v>
      </c>
      <c r="F23" s="13" t="s">
        <v>206</v>
      </c>
      <c r="G23" s="13" t="s">
        <v>21</v>
      </c>
      <c r="J23" s="13" t="s">
        <v>200</v>
      </c>
    </row>
    <row r="24" spans="1:14" x14ac:dyDescent="0.25">
      <c r="A24" s="13" t="s">
        <v>100</v>
      </c>
      <c r="B24" s="13" t="s">
        <v>101</v>
      </c>
      <c r="C24" s="13" t="s">
        <v>28</v>
      </c>
      <c r="D24" s="13">
        <v>1.1390000000000001E-2</v>
      </c>
      <c r="E24" s="13" t="s">
        <v>6</v>
      </c>
      <c r="F24" s="13" t="s">
        <v>206</v>
      </c>
      <c r="G24" s="13" t="s">
        <v>21</v>
      </c>
      <c r="J24" s="13" t="s">
        <v>200</v>
      </c>
    </row>
    <row r="25" spans="1:14" x14ac:dyDescent="0.25">
      <c r="A25" s="13" t="s">
        <v>36</v>
      </c>
      <c r="B25" s="13" t="s">
        <v>37</v>
      </c>
      <c r="C25" s="13" t="s">
        <v>25</v>
      </c>
      <c r="D25" s="13">
        <v>3.19</v>
      </c>
      <c r="E25" s="13" t="s">
        <v>38</v>
      </c>
      <c r="F25" s="13" t="s">
        <v>206</v>
      </c>
      <c r="G25" s="13" t="s">
        <v>21</v>
      </c>
      <c r="J25" s="13" t="s">
        <v>200</v>
      </c>
    </row>
    <row r="26" spans="1:14" x14ac:dyDescent="0.25">
      <c r="A26" s="13" t="s">
        <v>26</v>
      </c>
      <c r="B26" s="13" t="s">
        <v>27</v>
      </c>
      <c r="C26" s="13" t="s">
        <v>80</v>
      </c>
      <c r="D26" s="13">
        <v>0.73229999999999995</v>
      </c>
      <c r="E26" s="13" t="s">
        <v>29</v>
      </c>
      <c r="F26" s="13" t="s">
        <v>206</v>
      </c>
      <c r="G26" s="13" t="s">
        <v>21</v>
      </c>
      <c r="J26" s="13" t="s">
        <v>200</v>
      </c>
    </row>
    <row r="27" spans="1:14" x14ac:dyDescent="0.25">
      <c r="A27" s="13" t="s">
        <v>34</v>
      </c>
      <c r="B27" s="13" t="s">
        <v>35</v>
      </c>
      <c r="C27" s="13" t="s">
        <v>28</v>
      </c>
      <c r="D27" s="13">
        <v>1.7568E-2</v>
      </c>
      <c r="E27" s="13" t="s">
        <v>33</v>
      </c>
      <c r="F27" s="13" t="s">
        <v>206</v>
      </c>
      <c r="G27" s="13" t="s">
        <v>21</v>
      </c>
      <c r="J27" s="13" t="s">
        <v>200</v>
      </c>
    </row>
    <row r="28" spans="1:14" x14ac:dyDescent="0.25">
      <c r="A28" s="13" t="s">
        <v>104</v>
      </c>
      <c r="B28" s="13" t="s">
        <v>105</v>
      </c>
      <c r="C28" s="13" t="s">
        <v>25</v>
      </c>
      <c r="D28" s="13">
        <v>-5.2999999999999998E-4</v>
      </c>
      <c r="E28" s="13" t="s">
        <v>50</v>
      </c>
      <c r="F28" s="13" t="s">
        <v>206</v>
      </c>
      <c r="G28" s="13" t="s">
        <v>21</v>
      </c>
      <c r="J28" s="13" t="s">
        <v>200</v>
      </c>
    </row>
    <row r="29" spans="1:14" x14ac:dyDescent="0.25">
      <c r="A29" s="13" t="s">
        <v>106</v>
      </c>
      <c r="B29" s="13" t="s">
        <v>107</v>
      </c>
      <c r="C29" s="13" t="s">
        <v>25</v>
      </c>
      <c r="D29" s="13">
        <v>-1.627E-2</v>
      </c>
      <c r="E29" s="13" t="s">
        <v>6</v>
      </c>
      <c r="F29" s="13" t="s">
        <v>206</v>
      </c>
      <c r="G29" s="13" t="s">
        <v>21</v>
      </c>
      <c r="J29" s="13" t="s">
        <v>200</v>
      </c>
    </row>
    <row r="30" spans="1:14" x14ac:dyDescent="0.25">
      <c r="A30" s="13" t="s">
        <v>108</v>
      </c>
      <c r="B30" s="13" t="s">
        <v>109</v>
      </c>
      <c r="C30" s="13" t="s">
        <v>25</v>
      </c>
      <c r="D30" s="13">
        <v>-0.16</v>
      </c>
      <c r="E30" s="13" t="s">
        <v>6</v>
      </c>
      <c r="F30" s="13" t="s">
        <v>206</v>
      </c>
      <c r="G30" s="13" t="s">
        <v>21</v>
      </c>
      <c r="J30" s="13" t="s">
        <v>200</v>
      </c>
    </row>
    <row r="31" spans="1:14" x14ac:dyDescent="0.25">
      <c r="A31" s="13" t="s">
        <v>49</v>
      </c>
      <c r="D31" s="13">
        <v>1.4E-2</v>
      </c>
      <c r="E31" s="13" t="s">
        <v>50</v>
      </c>
      <c r="F31" s="13" t="s">
        <v>46</v>
      </c>
      <c r="G31" s="13" t="s">
        <v>47</v>
      </c>
      <c r="H31" s="13" t="s">
        <v>48</v>
      </c>
      <c r="J31" s="13" t="s">
        <v>200</v>
      </c>
    </row>
    <row r="32" spans="1:14" x14ac:dyDescent="0.25">
      <c r="A32" s="13" t="s">
        <v>139</v>
      </c>
      <c r="D32" s="13">
        <v>2.14E-3</v>
      </c>
      <c r="E32" s="13" t="s">
        <v>112</v>
      </c>
      <c r="F32" s="13" t="s">
        <v>46</v>
      </c>
      <c r="G32" s="13" t="s">
        <v>47</v>
      </c>
      <c r="H32" s="13" t="s">
        <v>113</v>
      </c>
      <c r="J32" s="13" t="s">
        <v>200</v>
      </c>
    </row>
    <row r="33" spans="1:14" x14ac:dyDescent="0.25">
      <c r="A33" s="13" t="s">
        <v>165</v>
      </c>
      <c r="D33" s="13">
        <v>8.1000000000000008E-7</v>
      </c>
      <c r="E33" s="13" t="s">
        <v>6</v>
      </c>
      <c r="F33" s="13" t="s">
        <v>46</v>
      </c>
      <c r="G33" s="13" t="s">
        <v>47</v>
      </c>
      <c r="H33" s="13" t="s">
        <v>201</v>
      </c>
      <c r="J33" s="13" t="s">
        <v>200</v>
      </c>
    </row>
    <row r="34" spans="1:14" x14ac:dyDescent="0.25">
      <c r="A34" s="13" t="s">
        <v>129</v>
      </c>
      <c r="D34" s="13">
        <v>2.21E-6</v>
      </c>
      <c r="E34" s="13" t="s">
        <v>6</v>
      </c>
      <c r="F34" s="13" t="s">
        <v>46</v>
      </c>
      <c r="G34" s="13" t="s">
        <v>47</v>
      </c>
      <c r="H34" s="13" t="s">
        <v>201</v>
      </c>
      <c r="J34" s="13" t="s">
        <v>200</v>
      </c>
    </row>
    <row r="35" spans="1:14" x14ac:dyDescent="0.25">
      <c r="A35" s="13" t="s">
        <v>170</v>
      </c>
      <c r="D35" s="13">
        <v>3.18E-6</v>
      </c>
      <c r="E35" s="13" t="s">
        <v>6</v>
      </c>
      <c r="F35" s="13" t="s">
        <v>46</v>
      </c>
      <c r="G35" s="13" t="s">
        <v>47</v>
      </c>
      <c r="H35" s="13" t="s">
        <v>201</v>
      </c>
      <c r="J35" s="13" t="s">
        <v>200</v>
      </c>
    </row>
    <row r="36" spans="1:14" x14ac:dyDescent="0.25">
      <c r="A36" s="13" t="s">
        <v>118</v>
      </c>
      <c r="D36" s="13">
        <v>2.1800000000000001E-3</v>
      </c>
      <c r="E36" s="13" t="s">
        <v>6</v>
      </c>
      <c r="F36" s="13" t="s">
        <v>46</v>
      </c>
      <c r="G36" s="13" t="s">
        <v>47</v>
      </c>
      <c r="H36" s="13" t="s">
        <v>201</v>
      </c>
      <c r="J36" s="13" t="s">
        <v>200</v>
      </c>
    </row>
    <row r="37" spans="1:14" x14ac:dyDescent="0.25">
      <c r="A37" s="13" t="s">
        <v>119</v>
      </c>
      <c r="D37" s="13">
        <v>1.5460000000000001E-5</v>
      </c>
      <c r="E37" s="13" t="s">
        <v>6</v>
      </c>
      <c r="F37" s="13" t="s">
        <v>46</v>
      </c>
      <c r="G37" s="13" t="s">
        <v>47</v>
      </c>
      <c r="H37" s="13" t="s">
        <v>202</v>
      </c>
      <c r="J37" s="13" t="s">
        <v>200</v>
      </c>
    </row>
    <row r="38" spans="1:14" x14ac:dyDescent="0.25">
      <c r="A38" s="13" t="s">
        <v>121</v>
      </c>
      <c r="D38" s="13">
        <v>4.8799999999999999E-6</v>
      </c>
      <c r="E38" s="13" t="s">
        <v>6</v>
      </c>
      <c r="F38" s="13" t="s">
        <v>46</v>
      </c>
      <c r="G38" s="13" t="s">
        <v>47</v>
      </c>
      <c r="H38" s="13" t="s">
        <v>202</v>
      </c>
      <c r="J38" s="13" t="s">
        <v>200</v>
      </c>
    </row>
    <row r="39" spans="1:14" s="17" customFormat="1" x14ac:dyDescent="0.25"/>
    <row r="40" spans="1:14" x14ac:dyDescent="0.25">
      <c r="A40" s="11" t="s">
        <v>0</v>
      </c>
      <c r="B40" s="12" t="s">
        <v>237</v>
      </c>
    </row>
    <row r="41" spans="1:14" x14ac:dyDescent="0.25">
      <c r="A41" s="14" t="s">
        <v>1</v>
      </c>
      <c r="B41" s="13" t="s">
        <v>232</v>
      </c>
    </row>
    <row r="42" spans="1:14" x14ac:dyDescent="0.25">
      <c r="A42" s="14" t="s">
        <v>2</v>
      </c>
      <c r="B42" s="13" t="s">
        <v>80</v>
      </c>
    </row>
    <row r="43" spans="1:14" x14ac:dyDescent="0.25">
      <c r="A43" s="14" t="s">
        <v>4</v>
      </c>
      <c r="B43" s="13">
        <v>1</v>
      </c>
    </row>
    <row r="44" spans="1:14" x14ac:dyDescent="0.25">
      <c r="A44" s="14" t="s">
        <v>5</v>
      </c>
      <c r="B44" s="13" t="s">
        <v>6</v>
      </c>
    </row>
    <row r="45" spans="1:14" x14ac:dyDescent="0.25">
      <c r="A45" s="14" t="s">
        <v>7</v>
      </c>
      <c r="B45" s="18" t="s">
        <v>8</v>
      </c>
    </row>
    <row r="46" spans="1:14" x14ac:dyDescent="0.25">
      <c r="A46" s="14" t="s">
        <v>9</v>
      </c>
    </row>
    <row r="47" spans="1:14" x14ac:dyDescent="0.25">
      <c r="A47" s="11" t="s">
        <v>10</v>
      </c>
      <c r="B47" s="11" t="s">
        <v>1</v>
      </c>
      <c r="C47" s="11" t="s">
        <v>2</v>
      </c>
      <c r="D47" s="11" t="s">
        <v>4</v>
      </c>
      <c r="E47" s="11" t="s">
        <v>5</v>
      </c>
      <c r="F47" s="11" t="s">
        <v>11</v>
      </c>
      <c r="G47" s="11" t="s">
        <v>12</v>
      </c>
      <c r="H47" s="11" t="s">
        <v>13</v>
      </c>
      <c r="I47" s="11" t="s">
        <v>14</v>
      </c>
      <c r="J47" s="11" t="s">
        <v>15</v>
      </c>
      <c r="K47" s="11" t="s">
        <v>16</v>
      </c>
      <c r="L47" s="11" t="s">
        <v>17</v>
      </c>
      <c r="M47" s="11" t="s">
        <v>18</v>
      </c>
      <c r="N47" s="11" t="s">
        <v>19</v>
      </c>
    </row>
    <row r="48" spans="1:14" x14ac:dyDescent="0.25">
      <c r="A48" s="13" t="s">
        <v>237</v>
      </c>
      <c r="B48" s="13" t="s">
        <v>232</v>
      </c>
      <c r="C48" s="13" t="s">
        <v>80</v>
      </c>
      <c r="D48" s="13">
        <v>1</v>
      </c>
      <c r="E48" s="13" t="s">
        <v>6</v>
      </c>
      <c r="F48" s="16" t="s">
        <v>56</v>
      </c>
      <c r="G48" s="13" t="s">
        <v>20</v>
      </c>
    </row>
    <row r="49" spans="1:7" x14ac:dyDescent="0.25">
      <c r="A49" s="13" t="s">
        <v>236</v>
      </c>
      <c r="B49" s="13" t="s">
        <v>232</v>
      </c>
      <c r="C49" s="13" t="s">
        <v>80</v>
      </c>
      <c r="D49" s="13">
        <v>1</v>
      </c>
      <c r="E49" s="13" t="s">
        <v>6</v>
      </c>
      <c r="F49" s="16" t="s">
        <v>56</v>
      </c>
      <c r="G49" s="13" t="s">
        <v>21</v>
      </c>
    </row>
    <row r="50" spans="1:7" x14ac:dyDescent="0.25">
      <c r="A50" s="13" t="s">
        <v>233</v>
      </c>
      <c r="B50" s="13" t="s">
        <v>234</v>
      </c>
      <c r="C50" s="13" t="s">
        <v>80</v>
      </c>
      <c r="D50" s="13">
        <v>4.5999999999999996</v>
      </c>
      <c r="E50" s="13" t="s">
        <v>6</v>
      </c>
      <c r="F50" s="16" t="s">
        <v>56</v>
      </c>
      <c r="G50" s="13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5269-6E55-4411-B333-7BDC54FE11A5}">
  <sheetPr>
    <tabColor theme="8" tint="0.39997558519241921"/>
  </sheetPr>
  <dimension ref="A1:AR331"/>
  <sheetViews>
    <sheetView topLeftCell="A315" workbookViewId="0">
      <selection activeCell="B324" sqref="B324"/>
    </sheetView>
  </sheetViews>
  <sheetFormatPr baseColWidth="10" defaultColWidth="8.7109375" defaultRowHeight="15" x14ac:dyDescent="0.25"/>
  <cols>
    <col min="1" max="1" width="80.42578125" style="23" bestFit="1" customWidth="1"/>
    <col min="2" max="2" width="63.28515625" style="23" customWidth="1"/>
    <col min="3" max="3" width="8.7109375" style="23"/>
    <col min="4" max="4" width="12.28515625" style="13" bestFit="1" customWidth="1"/>
    <col min="5" max="5" width="12.7109375" style="23" bestFit="1" customWidth="1"/>
    <col min="6" max="6" width="24.28515625" style="23" bestFit="1" customWidth="1"/>
    <col min="7" max="7" width="13.28515625" style="23" bestFit="1" customWidth="1"/>
    <col min="8" max="8" width="25.28515625" style="23" bestFit="1" customWidth="1"/>
    <col min="9" max="9" width="15.5703125" style="23" bestFit="1" customWidth="1"/>
    <col min="10" max="10" width="13.42578125" style="23" bestFit="1" customWidth="1"/>
    <col min="11" max="11" width="3.5703125" style="23" bestFit="1" customWidth="1"/>
    <col min="12" max="12" width="5.42578125" style="23" bestFit="1" customWidth="1"/>
    <col min="13" max="13" width="9.5703125" style="23" bestFit="1" customWidth="1"/>
    <col min="14" max="14" width="9.7109375" style="23" bestFit="1" customWidth="1"/>
    <col min="15" max="16384" width="8.7109375" style="23"/>
  </cols>
  <sheetData>
    <row r="1" spans="1:14" x14ac:dyDescent="0.25">
      <c r="A1" s="11" t="s">
        <v>0</v>
      </c>
      <c r="B1" s="14" t="s">
        <v>377</v>
      </c>
    </row>
    <row r="2" spans="1:14" x14ac:dyDescent="0.25">
      <c r="A2" s="14" t="s">
        <v>1</v>
      </c>
      <c r="B2" s="13" t="s">
        <v>229</v>
      </c>
    </row>
    <row r="3" spans="1:14" x14ac:dyDescent="0.25">
      <c r="A3" s="14" t="s">
        <v>2</v>
      </c>
      <c r="B3" s="13" t="s">
        <v>28</v>
      </c>
    </row>
    <row r="4" spans="1:14" x14ac:dyDescent="0.25">
      <c r="A4" s="14" t="s">
        <v>4</v>
      </c>
      <c r="B4" s="13">
        <v>1</v>
      </c>
    </row>
    <row r="5" spans="1:14" x14ac:dyDescent="0.25">
      <c r="A5" s="14" t="s">
        <v>5</v>
      </c>
      <c r="B5" s="23" t="s">
        <v>6</v>
      </c>
    </row>
    <row r="6" spans="1:14" x14ac:dyDescent="0.25">
      <c r="A6" s="14" t="s">
        <v>7</v>
      </c>
      <c r="B6" s="18" t="s">
        <v>8</v>
      </c>
    </row>
    <row r="7" spans="1:14" x14ac:dyDescent="0.25">
      <c r="A7" s="14" t="s">
        <v>9</v>
      </c>
    </row>
    <row r="8" spans="1:14" s="13" customFormat="1" x14ac:dyDescent="0.25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25">
      <c r="A9" s="23" t="s">
        <v>377</v>
      </c>
      <c r="B9" s="23" t="s">
        <v>229</v>
      </c>
      <c r="C9" s="23" t="s">
        <v>28</v>
      </c>
      <c r="D9" s="24">
        <v>1</v>
      </c>
      <c r="E9" s="23" t="s">
        <v>6</v>
      </c>
      <c r="F9" s="16" t="s">
        <v>56</v>
      </c>
      <c r="G9" s="23" t="s">
        <v>20</v>
      </c>
      <c r="I9" s="13"/>
    </row>
    <row r="10" spans="1:14" s="25" customFormat="1" x14ac:dyDescent="0.25">
      <c r="A10" s="25" t="s">
        <v>26</v>
      </c>
      <c r="B10" s="25" t="s">
        <v>27</v>
      </c>
      <c r="C10" s="25" t="s">
        <v>28</v>
      </c>
      <c r="D10" s="26">
        <v>2.3030303030303029E-2</v>
      </c>
      <c r="E10" s="25" t="s">
        <v>29</v>
      </c>
      <c r="F10" s="13" t="s">
        <v>206</v>
      </c>
      <c r="G10" s="25" t="s">
        <v>21</v>
      </c>
      <c r="I10" s="13"/>
      <c r="J10" s="23" t="s">
        <v>238</v>
      </c>
      <c r="L10" s="23"/>
    </row>
    <row r="11" spans="1:14" x14ac:dyDescent="0.25">
      <c r="A11" s="23" t="s">
        <v>242</v>
      </c>
      <c r="B11" s="23" t="s">
        <v>243</v>
      </c>
      <c r="C11" s="23" t="s">
        <v>25</v>
      </c>
      <c r="D11" s="27">
        <v>1.6484848484848485E-6</v>
      </c>
      <c r="E11" s="23" t="s">
        <v>33</v>
      </c>
      <c r="F11" s="13" t="s">
        <v>206</v>
      </c>
      <c r="G11" s="23" t="s">
        <v>21</v>
      </c>
      <c r="I11" s="13"/>
      <c r="J11" s="23" t="s">
        <v>238</v>
      </c>
    </row>
    <row r="12" spans="1:14" x14ac:dyDescent="0.25">
      <c r="A12" s="23" t="s">
        <v>254</v>
      </c>
      <c r="B12" s="23" t="s">
        <v>255</v>
      </c>
      <c r="C12" s="23" t="s">
        <v>25</v>
      </c>
      <c r="D12" s="27">
        <v>1.3393939393939395E-5</v>
      </c>
      <c r="E12" s="23" t="s">
        <v>50</v>
      </c>
      <c r="F12" s="13" t="s">
        <v>206</v>
      </c>
      <c r="G12" s="23" t="s">
        <v>21</v>
      </c>
      <c r="I12" s="13"/>
      <c r="J12" s="23" t="s">
        <v>238</v>
      </c>
    </row>
    <row r="13" spans="1:14" x14ac:dyDescent="0.25">
      <c r="A13" s="23" t="s">
        <v>247</v>
      </c>
      <c r="B13" s="23" t="s">
        <v>160</v>
      </c>
      <c r="C13" s="23" t="s">
        <v>25</v>
      </c>
      <c r="D13" s="28">
        <v>1.6363636363636363E-3</v>
      </c>
      <c r="E13" s="23" t="s">
        <v>6</v>
      </c>
      <c r="F13" s="13" t="s">
        <v>206</v>
      </c>
      <c r="G13" s="23" t="s">
        <v>21</v>
      </c>
      <c r="I13" s="13"/>
      <c r="J13" s="23" t="s">
        <v>238</v>
      </c>
    </row>
    <row r="14" spans="1:14" x14ac:dyDescent="0.25">
      <c r="A14" s="18" t="s">
        <v>248</v>
      </c>
      <c r="B14" s="25" t="s">
        <v>249</v>
      </c>
      <c r="C14" s="25" t="s">
        <v>25</v>
      </c>
      <c r="D14" s="27">
        <v>5.0000000000000008E-7</v>
      </c>
      <c r="E14" s="25" t="s">
        <v>6</v>
      </c>
      <c r="F14" s="13" t="s">
        <v>206</v>
      </c>
      <c r="G14" s="25" t="s">
        <v>21</v>
      </c>
      <c r="H14" s="18"/>
      <c r="I14" s="13"/>
      <c r="J14" s="23" t="s">
        <v>238</v>
      </c>
    </row>
    <row r="15" spans="1:14" x14ac:dyDescent="0.25">
      <c r="A15" s="23" t="s">
        <v>140</v>
      </c>
      <c r="B15" s="23" t="s">
        <v>141</v>
      </c>
      <c r="C15" s="23" t="s">
        <v>28</v>
      </c>
      <c r="D15" s="27">
        <v>7.5757575757575758E-4</v>
      </c>
      <c r="E15" s="23" t="s">
        <v>6</v>
      </c>
      <c r="F15" s="13" t="s">
        <v>206</v>
      </c>
      <c r="G15" s="23" t="s">
        <v>21</v>
      </c>
      <c r="I15" s="13"/>
      <c r="J15" s="23" t="s">
        <v>238</v>
      </c>
    </row>
    <row r="16" spans="1:14" x14ac:dyDescent="0.25">
      <c r="A16" s="23" t="s">
        <v>150</v>
      </c>
      <c r="B16" s="23" t="s">
        <v>151</v>
      </c>
      <c r="C16" s="23" t="s">
        <v>25</v>
      </c>
      <c r="D16" s="27">
        <v>3.0303030303030303E-4</v>
      </c>
      <c r="E16" s="23" t="s">
        <v>6</v>
      </c>
      <c r="F16" s="13" t="s">
        <v>206</v>
      </c>
      <c r="G16" s="23" t="s">
        <v>21</v>
      </c>
      <c r="I16" s="13"/>
      <c r="J16" s="23" t="s">
        <v>238</v>
      </c>
    </row>
    <row r="17" spans="1:10" x14ac:dyDescent="0.25">
      <c r="A17" s="23" t="s">
        <v>283</v>
      </c>
      <c r="B17" s="23" t="s">
        <v>284</v>
      </c>
      <c r="C17" s="23" t="s">
        <v>25</v>
      </c>
      <c r="D17" s="27">
        <v>1.4242424242424199E-4</v>
      </c>
      <c r="E17" s="23" t="s">
        <v>6</v>
      </c>
      <c r="F17" s="13" t="s">
        <v>206</v>
      </c>
      <c r="G17" s="23" t="s">
        <v>21</v>
      </c>
      <c r="I17" s="13"/>
      <c r="J17" s="23" t="s">
        <v>238</v>
      </c>
    </row>
    <row r="18" spans="1:10" x14ac:dyDescent="0.25">
      <c r="A18" s="23" t="s">
        <v>285</v>
      </c>
      <c r="B18" s="23" t="s">
        <v>286</v>
      </c>
      <c r="C18" s="23" t="s">
        <v>25</v>
      </c>
      <c r="D18" s="27">
        <v>-2.3757575757575801E-6</v>
      </c>
      <c r="E18" s="23" t="s">
        <v>6</v>
      </c>
      <c r="F18" s="13" t="s">
        <v>206</v>
      </c>
      <c r="G18" s="23" t="s">
        <v>21</v>
      </c>
      <c r="I18" s="13"/>
      <c r="J18" s="23" t="s">
        <v>238</v>
      </c>
    </row>
    <row r="19" spans="1:10" x14ac:dyDescent="0.25">
      <c r="A19" s="23" t="s">
        <v>287</v>
      </c>
      <c r="B19" s="23" t="s">
        <v>288</v>
      </c>
      <c r="C19" s="23" t="s">
        <v>25</v>
      </c>
      <c r="D19" s="27">
        <v>-1.67575757575758E-6</v>
      </c>
      <c r="E19" s="23" t="s">
        <v>6</v>
      </c>
      <c r="F19" s="13" t="s">
        <v>206</v>
      </c>
      <c r="G19" s="23" t="s">
        <v>21</v>
      </c>
      <c r="I19" s="13"/>
      <c r="J19" s="23" t="s">
        <v>238</v>
      </c>
    </row>
    <row r="20" spans="1:10" x14ac:dyDescent="0.25">
      <c r="A20" s="23" t="s">
        <v>339</v>
      </c>
      <c r="B20" s="23" t="s">
        <v>340</v>
      </c>
      <c r="C20" s="23" t="s">
        <v>28</v>
      </c>
      <c r="D20" s="27">
        <v>-1.0606060606060601</v>
      </c>
      <c r="E20" s="23" t="s">
        <v>6</v>
      </c>
      <c r="F20" s="13" t="s">
        <v>206</v>
      </c>
      <c r="G20" s="23" t="s">
        <v>21</v>
      </c>
      <c r="I20" s="13"/>
      <c r="J20" s="23" t="s">
        <v>238</v>
      </c>
    </row>
    <row r="21" spans="1:10" s="25" customFormat="1" x14ac:dyDescent="0.25">
      <c r="A21" s="25" t="s">
        <v>289</v>
      </c>
      <c r="D21" s="29">
        <v>5.4545454545454541E-3</v>
      </c>
      <c r="E21" s="25" t="s">
        <v>6</v>
      </c>
      <c r="F21" s="13" t="s">
        <v>46</v>
      </c>
      <c r="G21" s="25" t="s">
        <v>47</v>
      </c>
      <c r="H21" s="25" t="s">
        <v>201</v>
      </c>
      <c r="I21" s="13"/>
      <c r="J21" s="23" t="s">
        <v>238</v>
      </c>
    </row>
    <row r="22" spans="1:10" s="25" customFormat="1" x14ac:dyDescent="0.25">
      <c r="A22" s="25" t="s">
        <v>290</v>
      </c>
      <c r="D22" s="29">
        <v>6.6666666666666666E-6</v>
      </c>
      <c r="E22" s="25" t="s">
        <v>6</v>
      </c>
      <c r="F22" s="13" t="s">
        <v>46</v>
      </c>
      <c r="G22" s="25" t="s">
        <v>47</v>
      </c>
      <c r="H22" s="25" t="s">
        <v>201</v>
      </c>
      <c r="I22" s="13"/>
      <c r="J22" s="23" t="s">
        <v>238</v>
      </c>
    </row>
    <row r="23" spans="1:10" x14ac:dyDescent="0.25">
      <c r="A23" s="23" t="s">
        <v>291</v>
      </c>
      <c r="D23" s="27">
        <v>8.0909090909090904E-6</v>
      </c>
      <c r="E23" s="23" t="s">
        <v>6</v>
      </c>
      <c r="F23" s="13" t="s">
        <v>46</v>
      </c>
      <c r="G23" s="23" t="s">
        <v>47</v>
      </c>
      <c r="H23" s="23" t="s">
        <v>201</v>
      </c>
      <c r="I23" s="13"/>
      <c r="J23" s="23" t="s">
        <v>238</v>
      </c>
    </row>
    <row r="24" spans="1:10" x14ac:dyDescent="0.25">
      <c r="A24" s="23" t="s">
        <v>292</v>
      </c>
      <c r="D24" s="27">
        <v>3.6363636363636366E-7</v>
      </c>
      <c r="E24" s="23" t="s">
        <v>6</v>
      </c>
      <c r="F24" s="13" t="s">
        <v>46</v>
      </c>
      <c r="G24" s="23" t="s">
        <v>47</v>
      </c>
      <c r="H24" s="23" t="s">
        <v>201</v>
      </c>
      <c r="I24" s="13"/>
      <c r="J24" s="23" t="s">
        <v>238</v>
      </c>
    </row>
    <row r="25" spans="1:10" x14ac:dyDescent="0.25">
      <c r="A25" s="23" t="s">
        <v>166</v>
      </c>
      <c r="D25" s="27">
        <v>8.2121212121212121E-6</v>
      </c>
      <c r="E25" s="23" t="s">
        <v>6</v>
      </c>
      <c r="F25" s="13" t="s">
        <v>46</v>
      </c>
      <c r="G25" s="23" t="s">
        <v>47</v>
      </c>
      <c r="H25" s="23" t="s">
        <v>201</v>
      </c>
      <c r="I25" s="13"/>
      <c r="J25" s="23" t="s">
        <v>238</v>
      </c>
    </row>
    <row r="26" spans="1:10" x14ac:dyDescent="0.25">
      <c r="A26" s="23" t="s">
        <v>166</v>
      </c>
      <c r="D26" s="27">
        <v>4.6363636363636363E-6</v>
      </c>
      <c r="E26" s="23" t="s">
        <v>6</v>
      </c>
      <c r="F26" s="13" t="s">
        <v>46</v>
      </c>
      <c r="G26" s="23" t="s">
        <v>47</v>
      </c>
      <c r="H26" s="23" t="s">
        <v>201</v>
      </c>
      <c r="I26" s="13"/>
      <c r="J26" s="23" t="s">
        <v>238</v>
      </c>
    </row>
    <row r="27" spans="1:10" x14ac:dyDescent="0.25">
      <c r="A27" s="23" t="s">
        <v>294</v>
      </c>
      <c r="D27" s="27">
        <v>2.5939393939393938E-6</v>
      </c>
      <c r="E27" s="23" t="s">
        <v>6</v>
      </c>
      <c r="F27" s="13" t="s">
        <v>46</v>
      </c>
      <c r="G27" s="23" t="s">
        <v>47</v>
      </c>
      <c r="H27" s="23" t="s">
        <v>201</v>
      </c>
      <c r="I27" s="13"/>
      <c r="J27" s="23" t="s">
        <v>238</v>
      </c>
    </row>
    <row r="28" spans="1:10" x14ac:dyDescent="0.25">
      <c r="A28" s="23" t="s">
        <v>118</v>
      </c>
      <c r="D28" s="27">
        <v>1.9515151515151515E-7</v>
      </c>
      <c r="E28" s="23" t="s">
        <v>6</v>
      </c>
      <c r="F28" s="13" t="s">
        <v>46</v>
      </c>
      <c r="G28" s="23" t="s">
        <v>47</v>
      </c>
      <c r="H28" s="23" t="s">
        <v>201</v>
      </c>
      <c r="I28" s="13"/>
      <c r="J28" s="23" t="s">
        <v>238</v>
      </c>
    </row>
    <row r="29" spans="1:10" x14ac:dyDescent="0.25">
      <c r="A29" s="23" t="s">
        <v>165</v>
      </c>
      <c r="D29" s="27">
        <v>5.212121212121212E-6</v>
      </c>
      <c r="E29" s="23" t="s">
        <v>6</v>
      </c>
      <c r="F29" s="13" t="s">
        <v>46</v>
      </c>
      <c r="G29" s="23" t="s">
        <v>47</v>
      </c>
      <c r="H29" s="23" t="s">
        <v>201</v>
      </c>
      <c r="I29" s="13"/>
      <c r="J29" s="23" t="s">
        <v>238</v>
      </c>
    </row>
    <row r="30" spans="1:10" x14ac:dyDescent="0.25">
      <c r="A30" s="23" t="s">
        <v>56</v>
      </c>
      <c r="D30" s="27">
        <v>0.87878787878787878</v>
      </c>
      <c r="E30" s="23" t="s">
        <v>6</v>
      </c>
      <c r="F30" s="13" t="s">
        <v>46</v>
      </c>
      <c r="G30" s="23" t="s">
        <v>47</v>
      </c>
      <c r="H30" s="23" t="s">
        <v>48</v>
      </c>
      <c r="I30" s="13"/>
      <c r="J30" s="23" t="s">
        <v>238</v>
      </c>
    </row>
    <row r="31" spans="1:10" x14ac:dyDescent="0.25">
      <c r="A31" s="23" t="s">
        <v>56</v>
      </c>
      <c r="D31" s="27">
        <v>1.2424242424242423E-2</v>
      </c>
      <c r="E31" s="23" t="s">
        <v>6</v>
      </c>
      <c r="F31" s="13" t="s">
        <v>46</v>
      </c>
      <c r="G31" s="23" t="s">
        <v>47</v>
      </c>
      <c r="H31" s="23" t="s">
        <v>48</v>
      </c>
      <c r="I31" s="13"/>
      <c r="J31" s="23" t="s">
        <v>238</v>
      </c>
    </row>
    <row r="32" spans="1:10" x14ac:dyDescent="0.25">
      <c r="A32" s="23" t="s">
        <v>57</v>
      </c>
      <c r="D32" s="27">
        <v>3.0303030303030303E-4</v>
      </c>
      <c r="E32" s="23" t="s">
        <v>6</v>
      </c>
      <c r="F32" s="13" t="s">
        <v>46</v>
      </c>
      <c r="G32" s="23" t="s">
        <v>47</v>
      </c>
      <c r="H32" s="23" t="s">
        <v>48</v>
      </c>
      <c r="I32" s="13"/>
      <c r="J32" s="23" t="s">
        <v>238</v>
      </c>
    </row>
    <row r="33" spans="1:10" x14ac:dyDescent="0.25">
      <c r="A33" s="23" t="s">
        <v>341</v>
      </c>
      <c r="D33" s="27">
        <v>9.3939393939393937E-3</v>
      </c>
      <c r="E33" s="23" t="s">
        <v>6</v>
      </c>
      <c r="F33" s="13" t="s">
        <v>46</v>
      </c>
      <c r="G33" s="23" t="s">
        <v>47</v>
      </c>
      <c r="H33" s="23" t="s">
        <v>48</v>
      </c>
      <c r="I33" s="13"/>
      <c r="J33" s="23" t="s">
        <v>238</v>
      </c>
    </row>
    <row r="34" spans="1:10" x14ac:dyDescent="0.25">
      <c r="A34" s="23" t="s">
        <v>342</v>
      </c>
      <c r="D34" s="27">
        <v>1.3636363636363635</v>
      </c>
      <c r="E34" s="23" t="s">
        <v>6</v>
      </c>
      <c r="F34" s="13" t="s">
        <v>46</v>
      </c>
      <c r="G34" s="23" t="s">
        <v>47</v>
      </c>
      <c r="H34" s="23" t="s">
        <v>48</v>
      </c>
      <c r="I34" s="13"/>
      <c r="J34" s="23" t="s">
        <v>238</v>
      </c>
    </row>
    <row r="35" spans="1:10" x14ac:dyDescent="0.25">
      <c r="A35" s="23" t="s">
        <v>343</v>
      </c>
      <c r="D35" s="27">
        <v>1.724242424242424E-8</v>
      </c>
      <c r="E35" s="23" t="s">
        <v>6</v>
      </c>
      <c r="F35" s="13" t="s">
        <v>46</v>
      </c>
      <c r="G35" s="23" t="s">
        <v>47</v>
      </c>
      <c r="H35" s="23" t="s">
        <v>48</v>
      </c>
      <c r="I35" s="13"/>
      <c r="J35" s="23" t="s">
        <v>238</v>
      </c>
    </row>
    <row r="36" spans="1:10" x14ac:dyDescent="0.25">
      <c r="A36" s="23" t="s">
        <v>344</v>
      </c>
      <c r="D36" s="27">
        <v>1.9393939393939393E-3</v>
      </c>
      <c r="E36" s="23" t="s">
        <v>6</v>
      </c>
      <c r="F36" s="13" t="s">
        <v>46</v>
      </c>
      <c r="G36" s="23" t="s">
        <v>47</v>
      </c>
      <c r="H36" s="23" t="s">
        <v>48</v>
      </c>
      <c r="I36" s="13"/>
      <c r="J36" s="23" t="s">
        <v>238</v>
      </c>
    </row>
    <row r="37" spans="1:10" x14ac:dyDescent="0.25">
      <c r="A37" s="23" t="s">
        <v>345</v>
      </c>
      <c r="D37" s="27">
        <v>2.1393939393939393E-6</v>
      </c>
      <c r="E37" s="23" t="s">
        <v>6</v>
      </c>
      <c r="F37" s="13" t="s">
        <v>46</v>
      </c>
      <c r="G37" s="23" t="s">
        <v>47</v>
      </c>
      <c r="H37" s="23" t="s">
        <v>48</v>
      </c>
      <c r="I37" s="13"/>
      <c r="J37" s="23" t="s">
        <v>238</v>
      </c>
    </row>
    <row r="38" spans="1:10" x14ac:dyDescent="0.25">
      <c r="A38" s="23" t="s">
        <v>346</v>
      </c>
      <c r="D38" s="27">
        <v>7.0303030303030303E-7</v>
      </c>
      <c r="E38" s="23" t="s">
        <v>6</v>
      </c>
      <c r="F38" s="13" t="s">
        <v>46</v>
      </c>
      <c r="G38" s="23" t="s">
        <v>47</v>
      </c>
      <c r="H38" s="23" t="s">
        <v>48</v>
      </c>
      <c r="I38" s="13"/>
      <c r="J38" s="23" t="s">
        <v>238</v>
      </c>
    </row>
    <row r="39" spans="1:10" x14ac:dyDescent="0.25">
      <c r="A39" s="23" t="s">
        <v>347</v>
      </c>
      <c r="D39" s="27">
        <v>1.7303030303030304E-8</v>
      </c>
      <c r="E39" s="23" t="s">
        <v>6</v>
      </c>
      <c r="F39" s="13" t="s">
        <v>46</v>
      </c>
      <c r="G39" s="23" t="s">
        <v>47</v>
      </c>
      <c r="H39" s="23" t="s">
        <v>48</v>
      </c>
      <c r="I39" s="13"/>
      <c r="J39" s="23" t="s">
        <v>238</v>
      </c>
    </row>
    <row r="40" spans="1:10" x14ac:dyDescent="0.25">
      <c r="A40" s="23" t="s">
        <v>298</v>
      </c>
      <c r="D40" s="27">
        <v>4.2424242424242423E-5</v>
      </c>
      <c r="E40" s="23" t="s">
        <v>50</v>
      </c>
      <c r="F40" s="13" t="s">
        <v>46</v>
      </c>
      <c r="G40" s="23" t="s">
        <v>47</v>
      </c>
      <c r="H40" s="23" t="s">
        <v>202</v>
      </c>
      <c r="I40" s="13"/>
      <c r="J40" s="23" t="s">
        <v>238</v>
      </c>
    </row>
    <row r="41" spans="1:10" s="21" customFormat="1" x14ac:dyDescent="0.25"/>
    <row r="42" spans="1:10" x14ac:dyDescent="0.25">
      <c r="A42" s="11" t="s">
        <v>0</v>
      </c>
      <c r="B42" s="14" t="s">
        <v>378</v>
      </c>
    </row>
    <row r="43" spans="1:10" x14ac:dyDescent="0.25">
      <c r="A43" s="14" t="s">
        <v>1</v>
      </c>
      <c r="B43" s="13" t="s">
        <v>209</v>
      </c>
    </row>
    <row r="44" spans="1:10" x14ac:dyDescent="0.25">
      <c r="A44" s="14" t="s">
        <v>2</v>
      </c>
      <c r="B44" s="13" t="s">
        <v>28</v>
      </c>
    </row>
    <row r="45" spans="1:10" x14ac:dyDescent="0.25">
      <c r="A45" s="14" t="s">
        <v>4</v>
      </c>
      <c r="B45" s="13">
        <v>1</v>
      </c>
    </row>
    <row r="46" spans="1:10" x14ac:dyDescent="0.25">
      <c r="A46" s="14" t="s">
        <v>5</v>
      </c>
      <c r="B46" s="23" t="s">
        <v>6</v>
      </c>
    </row>
    <row r="47" spans="1:10" x14ac:dyDescent="0.25">
      <c r="A47" s="14" t="s">
        <v>7</v>
      </c>
      <c r="B47" s="18" t="s">
        <v>8</v>
      </c>
    </row>
    <row r="48" spans="1:10" x14ac:dyDescent="0.25">
      <c r="A48" s="14" t="s">
        <v>9</v>
      </c>
    </row>
    <row r="49" spans="1:14" s="13" customFormat="1" x14ac:dyDescent="0.25">
      <c r="A49" s="11" t="s">
        <v>10</v>
      </c>
      <c r="B49" s="11" t="s">
        <v>1</v>
      </c>
      <c r="C49" s="11" t="s">
        <v>2</v>
      </c>
      <c r="D49" s="11" t="s">
        <v>4</v>
      </c>
      <c r="E49" s="11" t="s">
        <v>5</v>
      </c>
      <c r="F49" s="11" t="s">
        <v>11</v>
      </c>
      <c r="G49" s="11" t="s">
        <v>12</v>
      </c>
      <c r="H49" s="11" t="s">
        <v>13</v>
      </c>
      <c r="I49" s="11" t="s">
        <v>14</v>
      </c>
      <c r="J49" s="11" t="s">
        <v>15</v>
      </c>
      <c r="K49" s="11" t="s">
        <v>16</v>
      </c>
      <c r="L49" s="11" t="s">
        <v>17</v>
      </c>
      <c r="M49" s="11" t="s">
        <v>18</v>
      </c>
      <c r="N49" s="11" t="s">
        <v>19</v>
      </c>
    </row>
    <row r="50" spans="1:14" x14ac:dyDescent="0.25">
      <c r="A50" s="23" t="s">
        <v>378</v>
      </c>
      <c r="B50" s="23" t="s">
        <v>209</v>
      </c>
      <c r="C50" s="23" t="s">
        <v>28</v>
      </c>
      <c r="D50" s="24">
        <v>1</v>
      </c>
      <c r="E50" s="23" t="s">
        <v>6</v>
      </c>
      <c r="F50" s="16" t="s">
        <v>56</v>
      </c>
      <c r="G50" s="23" t="s">
        <v>20</v>
      </c>
    </row>
    <row r="51" spans="1:14" s="25" customFormat="1" x14ac:dyDescent="0.25">
      <c r="A51" s="25" t="s">
        <v>26</v>
      </c>
      <c r="B51" s="25" t="s">
        <v>27</v>
      </c>
      <c r="C51" s="25" t="s">
        <v>28</v>
      </c>
      <c r="D51" s="26">
        <v>0.12083333333333333</v>
      </c>
      <c r="E51" s="25" t="s">
        <v>29</v>
      </c>
      <c r="F51" s="13" t="s">
        <v>206</v>
      </c>
      <c r="G51" s="25" t="s">
        <v>21</v>
      </c>
      <c r="I51" s="13"/>
      <c r="J51" s="23" t="s">
        <v>238</v>
      </c>
      <c r="L51" s="23"/>
    </row>
    <row r="52" spans="1:14" x14ac:dyDescent="0.25">
      <c r="A52" s="23" t="s">
        <v>239</v>
      </c>
      <c r="B52" s="23" t="s">
        <v>32</v>
      </c>
      <c r="C52" s="23" t="s">
        <v>25</v>
      </c>
      <c r="D52" s="30">
        <v>0.11666666666666665</v>
      </c>
      <c r="E52" s="23" t="s">
        <v>33</v>
      </c>
      <c r="F52" s="13" t="s">
        <v>206</v>
      </c>
      <c r="G52" s="23" t="s">
        <v>21</v>
      </c>
      <c r="I52" s="13"/>
      <c r="J52" s="23" t="s">
        <v>238</v>
      </c>
    </row>
    <row r="53" spans="1:14" x14ac:dyDescent="0.25">
      <c r="A53" s="23" t="s">
        <v>244</v>
      </c>
      <c r="B53" s="23" t="s">
        <v>241</v>
      </c>
      <c r="C53" s="23" t="s">
        <v>25</v>
      </c>
      <c r="D53" s="30">
        <v>4.6666666666666669E-2</v>
      </c>
      <c r="E53" s="23" t="s">
        <v>33</v>
      </c>
      <c r="F53" s="13" t="s">
        <v>206</v>
      </c>
      <c r="G53" s="23" t="s">
        <v>21</v>
      </c>
      <c r="I53" s="13"/>
      <c r="J53" s="23" t="s">
        <v>238</v>
      </c>
    </row>
    <row r="54" spans="1:14" x14ac:dyDescent="0.25">
      <c r="A54" s="23" t="s">
        <v>240</v>
      </c>
      <c r="B54" s="23" t="s">
        <v>241</v>
      </c>
      <c r="C54" s="23" t="s">
        <v>25</v>
      </c>
      <c r="D54" s="27">
        <v>0.01</v>
      </c>
      <c r="E54" s="23" t="s">
        <v>33</v>
      </c>
      <c r="F54" s="13" t="s">
        <v>206</v>
      </c>
      <c r="G54" s="23" t="s">
        <v>21</v>
      </c>
      <c r="I54" s="13"/>
      <c r="J54" s="23" t="s">
        <v>238</v>
      </c>
    </row>
    <row r="55" spans="1:14" x14ac:dyDescent="0.25">
      <c r="A55" s="23" t="s">
        <v>242</v>
      </c>
      <c r="B55" s="23" t="s">
        <v>243</v>
      </c>
      <c r="C55" s="23" t="s">
        <v>25</v>
      </c>
      <c r="D55" s="27">
        <v>1.2500000000000001E-6</v>
      </c>
      <c r="E55" s="23" t="s">
        <v>33</v>
      </c>
      <c r="F55" s="13" t="s">
        <v>206</v>
      </c>
      <c r="G55" s="23" t="s">
        <v>21</v>
      </c>
      <c r="I55" s="13"/>
      <c r="J55" s="23" t="s">
        <v>238</v>
      </c>
    </row>
    <row r="56" spans="1:14" x14ac:dyDescent="0.25">
      <c r="A56" s="23" t="s">
        <v>247</v>
      </c>
      <c r="B56" s="23" t="s">
        <v>160</v>
      </c>
      <c r="C56" s="23" t="s">
        <v>25</v>
      </c>
      <c r="D56" s="27">
        <v>3.5916666666666665E-4</v>
      </c>
      <c r="E56" s="23" t="s">
        <v>6</v>
      </c>
      <c r="F56" s="13" t="s">
        <v>206</v>
      </c>
      <c r="G56" s="23" t="s">
        <v>21</v>
      </c>
      <c r="I56" s="13"/>
      <c r="J56" s="23" t="s">
        <v>238</v>
      </c>
    </row>
    <row r="57" spans="1:14" x14ac:dyDescent="0.25">
      <c r="A57" s="18" t="s">
        <v>248</v>
      </c>
      <c r="B57" s="25" t="s">
        <v>249</v>
      </c>
      <c r="C57" s="25" t="s">
        <v>25</v>
      </c>
      <c r="D57" s="27">
        <v>7.2249999999999996E-7</v>
      </c>
      <c r="E57" s="25" t="s">
        <v>6</v>
      </c>
      <c r="F57" s="13" t="s">
        <v>206</v>
      </c>
      <c r="G57" s="25" t="s">
        <v>21</v>
      </c>
      <c r="H57" s="18"/>
      <c r="I57" s="13"/>
      <c r="J57" s="23" t="s">
        <v>238</v>
      </c>
    </row>
    <row r="58" spans="1:14" x14ac:dyDescent="0.25">
      <c r="A58" s="23" t="s">
        <v>250</v>
      </c>
      <c r="B58" s="23" t="s">
        <v>251</v>
      </c>
      <c r="C58" s="23" t="s">
        <v>25</v>
      </c>
      <c r="D58" s="27">
        <v>1.1666666666666668E-3</v>
      </c>
      <c r="E58" s="23" t="s">
        <v>6</v>
      </c>
      <c r="F58" s="13" t="s">
        <v>206</v>
      </c>
      <c r="G58" s="23" t="s">
        <v>21</v>
      </c>
      <c r="I58" s="13"/>
      <c r="J58" s="23" t="s">
        <v>238</v>
      </c>
    </row>
    <row r="59" spans="1:14" x14ac:dyDescent="0.25">
      <c r="A59" s="23" t="s">
        <v>317</v>
      </c>
      <c r="B59" s="23" t="s">
        <v>318</v>
      </c>
      <c r="C59" s="23" t="s">
        <v>25</v>
      </c>
      <c r="D59" s="27">
        <v>3.6083333333333335E-8</v>
      </c>
      <c r="E59" s="23" t="s">
        <v>6</v>
      </c>
      <c r="F59" s="13" t="s">
        <v>206</v>
      </c>
      <c r="G59" s="23" t="s">
        <v>21</v>
      </c>
      <c r="I59" s="13"/>
      <c r="J59" s="23" t="s">
        <v>238</v>
      </c>
    </row>
    <row r="60" spans="1:14" x14ac:dyDescent="0.25">
      <c r="A60" s="23" t="s">
        <v>262</v>
      </c>
      <c r="B60" s="23" t="s">
        <v>263</v>
      </c>
      <c r="C60" s="23" t="s">
        <v>25</v>
      </c>
      <c r="D60" s="27">
        <v>1.0833333333333333E-3</v>
      </c>
      <c r="E60" s="23" t="s">
        <v>6</v>
      </c>
      <c r="F60" s="13" t="s">
        <v>206</v>
      </c>
      <c r="G60" s="23" t="s">
        <v>21</v>
      </c>
      <c r="I60" s="13"/>
      <c r="J60" s="23" t="s">
        <v>238</v>
      </c>
    </row>
    <row r="61" spans="1:14" x14ac:dyDescent="0.25">
      <c r="A61" s="23" t="s">
        <v>98</v>
      </c>
      <c r="B61" s="23" t="s">
        <v>99</v>
      </c>
      <c r="C61" s="23" t="s">
        <v>25</v>
      </c>
      <c r="D61" s="27">
        <v>3.491666666666667E-6</v>
      </c>
      <c r="E61" s="23" t="s">
        <v>6</v>
      </c>
      <c r="F61" s="13" t="s">
        <v>206</v>
      </c>
      <c r="G61" s="23" t="s">
        <v>21</v>
      </c>
      <c r="I61" s="13"/>
      <c r="J61" s="23" t="s">
        <v>238</v>
      </c>
    </row>
    <row r="62" spans="1:14" x14ac:dyDescent="0.25">
      <c r="A62" s="23" t="s">
        <v>270</v>
      </c>
      <c r="B62" s="23" t="s">
        <v>271</v>
      </c>
      <c r="C62" s="23" t="s">
        <v>25</v>
      </c>
      <c r="D62" s="27">
        <v>5.8666666666666665E-4</v>
      </c>
      <c r="E62" s="23" t="s">
        <v>6</v>
      </c>
      <c r="F62" s="13" t="s">
        <v>206</v>
      </c>
      <c r="G62" s="23" t="s">
        <v>21</v>
      </c>
      <c r="I62" s="13"/>
      <c r="J62" s="23" t="s">
        <v>238</v>
      </c>
    </row>
    <row r="63" spans="1:14" x14ac:dyDescent="0.25">
      <c r="A63" s="23" t="s">
        <v>274</v>
      </c>
      <c r="B63" s="23" t="s">
        <v>275</v>
      </c>
      <c r="C63" s="23" t="s">
        <v>28</v>
      </c>
      <c r="D63" s="27">
        <v>1.1666666666666668E-3</v>
      </c>
      <c r="E63" s="23" t="s">
        <v>6</v>
      </c>
      <c r="F63" s="13" t="s">
        <v>206</v>
      </c>
      <c r="G63" s="23" t="s">
        <v>21</v>
      </c>
      <c r="I63" s="13"/>
      <c r="J63" s="23" t="s">
        <v>238</v>
      </c>
    </row>
    <row r="64" spans="1:14" x14ac:dyDescent="0.25">
      <c r="A64" s="23" t="s">
        <v>276</v>
      </c>
      <c r="B64" s="23" t="s">
        <v>277</v>
      </c>
      <c r="C64" s="23" t="s">
        <v>28</v>
      </c>
      <c r="D64" s="27">
        <v>6.2583333333333333E-6</v>
      </c>
      <c r="E64" s="23" t="s">
        <v>6</v>
      </c>
      <c r="F64" s="13" t="s">
        <v>206</v>
      </c>
      <c r="G64" s="23" t="s">
        <v>21</v>
      </c>
      <c r="I64" s="13"/>
      <c r="J64" s="23" t="s">
        <v>238</v>
      </c>
    </row>
    <row r="65" spans="1:15" x14ac:dyDescent="0.25">
      <c r="A65" s="23" t="s">
        <v>88</v>
      </c>
      <c r="B65" s="23" t="s">
        <v>89</v>
      </c>
      <c r="C65" s="23" t="s">
        <v>25</v>
      </c>
      <c r="D65" s="27">
        <v>1.1083333333333335E-5</v>
      </c>
      <c r="E65" s="23" t="s">
        <v>6</v>
      </c>
      <c r="F65" s="13" t="s">
        <v>206</v>
      </c>
      <c r="G65" s="23" t="s">
        <v>21</v>
      </c>
      <c r="I65" s="13"/>
      <c r="J65" s="23" t="s">
        <v>238</v>
      </c>
    </row>
    <row r="66" spans="1:15" x14ac:dyDescent="0.25">
      <c r="A66" s="23" t="s">
        <v>150</v>
      </c>
      <c r="B66" s="23" t="s">
        <v>151</v>
      </c>
      <c r="C66" s="23" t="s">
        <v>25</v>
      </c>
      <c r="D66" s="27">
        <v>3.4749999999999998E-5</v>
      </c>
      <c r="E66" s="23" t="s">
        <v>6</v>
      </c>
      <c r="F66" s="13" t="s">
        <v>206</v>
      </c>
      <c r="G66" s="23" t="s">
        <v>21</v>
      </c>
      <c r="I66" s="13"/>
      <c r="J66" s="23" t="s">
        <v>238</v>
      </c>
    </row>
    <row r="67" spans="1:15" x14ac:dyDescent="0.25">
      <c r="A67" s="23" t="s">
        <v>335</v>
      </c>
      <c r="B67" s="23" t="s">
        <v>336</v>
      </c>
      <c r="C67" s="23" t="s">
        <v>25</v>
      </c>
      <c r="D67" s="27">
        <v>1.9166666666666666E-3</v>
      </c>
      <c r="E67" s="23" t="s">
        <v>6</v>
      </c>
      <c r="F67" s="13" t="s">
        <v>206</v>
      </c>
      <c r="G67" s="23" t="s">
        <v>21</v>
      </c>
      <c r="I67" s="13"/>
      <c r="J67" s="23" t="s">
        <v>238</v>
      </c>
    </row>
    <row r="68" spans="1:15" x14ac:dyDescent="0.25">
      <c r="A68" s="23" t="s">
        <v>283</v>
      </c>
      <c r="B68" s="23" t="s">
        <v>284</v>
      </c>
      <c r="C68" s="23" t="s">
        <v>25</v>
      </c>
      <c r="D68" s="27">
        <v>0.133333333333333</v>
      </c>
      <c r="E68" s="23" t="s">
        <v>6</v>
      </c>
      <c r="F68" s="13" t="s">
        <v>206</v>
      </c>
      <c r="G68" s="23" t="s">
        <v>21</v>
      </c>
      <c r="I68" s="13"/>
      <c r="J68" s="23" t="s">
        <v>238</v>
      </c>
    </row>
    <row r="69" spans="1:15" x14ac:dyDescent="0.25">
      <c r="A69" s="23" t="s">
        <v>285</v>
      </c>
      <c r="B69" s="23" t="s">
        <v>286</v>
      </c>
      <c r="C69" s="23" t="s">
        <v>25</v>
      </c>
      <c r="D69" s="27">
        <v>-5.5666666666666701E-5</v>
      </c>
      <c r="E69" s="23" t="s">
        <v>6</v>
      </c>
      <c r="F69" s="13" t="s">
        <v>206</v>
      </c>
      <c r="G69" s="23" t="s">
        <v>21</v>
      </c>
      <c r="I69" s="13"/>
      <c r="J69" s="23" t="s">
        <v>238</v>
      </c>
    </row>
    <row r="70" spans="1:15" x14ac:dyDescent="0.25">
      <c r="A70" s="23" t="s">
        <v>287</v>
      </c>
      <c r="B70" s="23" t="s">
        <v>288</v>
      </c>
      <c r="C70" s="23" t="s">
        <v>25</v>
      </c>
      <c r="D70" s="27">
        <v>-6.1999999999999999E-8</v>
      </c>
      <c r="E70" s="23" t="s">
        <v>6</v>
      </c>
      <c r="F70" s="13" t="s">
        <v>206</v>
      </c>
      <c r="G70" s="23" t="s">
        <v>21</v>
      </c>
      <c r="I70" s="13"/>
      <c r="J70" s="23" t="s">
        <v>238</v>
      </c>
    </row>
    <row r="71" spans="1:15" x14ac:dyDescent="0.25">
      <c r="A71" s="23" t="s">
        <v>337</v>
      </c>
      <c r="B71" s="23" t="s">
        <v>338</v>
      </c>
      <c r="C71" s="23" t="s">
        <v>28</v>
      </c>
      <c r="D71" s="27">
        <v>-1.8333333333333299</v>
      </c>
      <c r="E71" s="23" t="s">
        <v>6</v>
      </c>
      <c r="F71" s="13" t="s">
        <v>206</v>
      </c>
      <c r="G71" s="23" t="s">
        <v>21</v>
      </c>
      <c r="I71" s="13"/>
      <c r="J71" s="23" t="s">
        <v>238</v>
      </c>
      <c r="O71" s="31"/>
    </row>
    <row r="72" spans="1:15" s="25" customFormat="1" x14ac:dyDescent="0.25">
      <c r="A72" s="25" t="s">
        <v>289</v>
      </c>
      <c r="D72" s="29">
        <v>7.6666666666666662E-3</v>
      </c>
      <c r="E72" s="25" t="s">
        <v>6</v>
      </c>
      <c r="F72" s="13" t="s">
        <v>46</v>
      </c>
      <c r="G72" s="25" t="s">
        <v>47</v>
      </c>
      <c r="H72" s="25" t="s">
        <v>201</v>
      </c>
      <c r="I72" s="13"/>
      <c r="J72" s="23" t="s">
        <v>238</v>
      </c>
    </row>
    <row r="73" spans="1:15" s="25" customFormat="1" x14ac:dyDescent="0.25">
      <c r="A73" s="25" t="s">
        <v>290</v>
      </c>
      <c r="D73" s="29">
        <v>1.5500000000000002E-6</v>
      </c>
      <c r="E73" s="25" t="s">
        <v>6</v>
      </c>
      <c r="F73" s="13" t="s">
        <v>46</v>
      </c>
      <c r="G73" s="25" t="s">
        <v>47</v>
      </c>
      <c r="H73" s="25" t="s">
        <v>201</v>
      </c>
      <c r="I73" s="13"/>
      <c r="J73" s="23" t="s">
        <v>238</v>
      </c>
    </row>
    <row r="74" spans="1:15" s="25" customFormat="1" x14ac:dyDescent="0.25">
      <c r="A74" s="25" t="s">
        <v>291</v>
      </c>
      <c r="D74" s="29">
        <v>6.3666666666666668E-7</v>
      </c>
      <c r="E74" s="25" t="s">
        <v>6</v>
      </c>
      <c r="F74" s="13" t="s">
        <v>46</v>
      </c>
      <c r="G74" s="25" t="s">
        <v>47</v>
      </c>
      <c r="H74" s="25" t="s">
        <v>201</v>
      </c>
      <c r="I74" s="13"/>
      <c r="J74" s="23" t="s">
        <v>238</v>
      </c>
    </row>
    <row r="75" spans="1:15" s="25" customFormat="1" x14ac:dyDescent="0.25">
      <c r="A75" s="25" t="s">
        <v>292</v>
      </c>
      <c r="D75" s="29">
        <v>4.3083333333333332E-7</v>
      </c>
      <c r="E75" s="25" t="s">
        <v>6</v>
      </c>
      <c r="F75" s="13" t="s">
        <v>46</v>
      </c>
      <c r="G75" s="25" t="s">
        <v>47</v>
      </c>
      <c r="H75" s="25" t="s">
        <v>201</v>
      </c>
      <c r="I75" s="13"/>
      <c r="J75" s="23" t="s">
        <v>238</v>
      </c>
    </row>
    <row r="76" spans="1:15" x14ac:dyDescent="0.25">
      <c r="A76" s="23" t="s">
        <v>166</v>
      </c>
      <c r="D76" s="27">
        <v>1.0333333333333333E-5</v>
      </c>
      <c r="E76" s="23" t="s">
        <v>6</v>
      </c>
      <c r="F76" s="13" t="s">
        <v>46</v>
      </c>
      <c r="G76" s="23" t="s">
        <v>47</v>
      </c>
      <c r="H76" s="23" t="s">
        <v>201</v>
      </c>
      <c r="I76" s="13"/>
      <c r="J76" s="23" t="s">
        <v>238</v>
      </c>
    </row>
    <row r="77" spans="1:15" x14ac:dyDescent="0.25">
      <c r="A77" s="23" t="s">
        <v>293</v>
      </c>
      <c r="D77" s="27">
        <v>3.2166666666666665E-5</v>
      </c>
      <c r="E77" s="23" t="s">
        <v>6</v>
      </c>
      <c r="F77" s="13" t="s">
        <v>46</v>
      </c>
      <c r="G77" s="23" t="s">
        <v>47</v>
      </c>
      <c r="H77" s="23" t="s">
        <v>201</v>
      </c>
      <c r="I77" s="13"/>
      <c r="J77" s="23" t="s">
        <v>238</v>
      </c>
    </row>
    <row r="78" spans="1:15" x14ac:dyDescent="0.25">
      <c r="A78" s="23" t="s">
        <v>294</v>
      </c>
      <c r="D78" s="27">
        <v>9.0833333333333335E-7</v>
      </c>
      <c r="E78" s="23" t="s">
        <v>6</v>
      </c>
      <c r="F78" s="13" t="s">
        <v>46</v>
      </c>
      <c r="G78" s="23" t="s">
        <v>47</v>
      </c>
      <c r="H78" s="23" t="s">
        <v>201</v>
      </c>
      <c r="I78" s="13"/>
      <c r="J78" s="23" t="s">
        <v>238</v>
      </c>
    </row>
    <row r="79" spans="1:15" x14ac:dyDescent="0.25">
      <c r="A79" s="23" t="s">
        <v>118</v>
      </c>
      <c r="D79" s="27">
        <v>3.0583333333333335E-7</v>
      </c>
      <c r="E79" s="23" t="s">
        <v>6</v>
      </c>
      <c r="F79" s="13" t="s">
        <v>46</v>
      </c>
      <c r="G79" s="23" t="s">
        <v>47</v>
      </c>
      <c r="H79" s="23" t="s">
        <v>201</v>
      </c>
      <c r="I79" s="13"/>
      <c r="J79" s="23" t="s">
        <v>238</v>
      </c>
    </row>
    <row r="80" spans="1:15" x14ac:dyDescent="0.25">
      <c r="A80" s="23" t="s">
        <v>165</v>
      </c>
      <c r="D80" s="27">
        <v>9.5833333333333336E-6</v>
      </c>
      <c r="E80" s="23" t="s">
        <v>6</v>
      </c>
      <c r="F80" s="13" t="s">
        <v>46</v>
      </c>
      <c r="G80" s="23" t="s">
        <v>47</v>
      </c>
      <c r="H80" s="23" t="s">
        <v>201</v>
      </c>
      <c r="I80" s="13"/>
      <c r="J80" s="23" t="s">
        <v>238</v>
      </c>
    </row>
    <row r="81" spans="1:14" x14ac:dyDescent="0.25">
      <c r="A81" s="23" t="s">
        <v>298</v>
      </c>
      <c r="D81" s="27">
        <v>2.525E-6</v>
      </c>
      <c r="E81" s="23" t="s">
        <v>50</v>
      </c>
      <c r="F81" s="13" t="s">
        <v>46</v>
      </c>
      <c r="G81" s="23" t="s">
        <v>47</v>
      </c>
      <c r="H81" s="23" t="s">
        <v>201</v>
      </c>
      <c r="I81" s="13"/>
      <c r="J81" s="23" t="s">
        <v>238</v>
      </c>
    </row>
    <row r="82" spans="1:14" s="21" customFormat="1" x14ac:dyDescent="0.25"/>
    <row r="83" spans="1:14" x14ac:dyDescent="0.25">
      <c r="A83" s="11" t="s">
        <v>0</v>
      </c>
      <c r="B83" s="14" t="s">
        <v>379</v>
      </c>
    </row>
    <row r="84" spans="1:14" x14ac:dyDescent="0.25">
      <c r="A84" s="14" t="s">
        <v>1</v>
      </c>
      <c r="B84" s="13" t="s">
        <v>225</v>
      </c>
    </row>
    <row r="85" spans="1:14" x14ac:dyDescent="0.25">
      <c r="A85" s="14" t="s">
        <v>2</v>
      </c>
      <c r="B85" s="13" t="s">
        <v>28</v>
      </c>
    </row>
    <row r="86" spans="1:14" x14ac:dyDescent="0.25">
      <c r="A86" s="14" t="s">
        <v>4</v>
      </c>
      <c r="B86" s="13">
        <v>1</v>
      </c>
    </row>
    <row r="87" spans="1:14" x14ac:dyDescent="0.25">
      <c r="A87" s="14" t="s">
        <v>5</v>
      </c>
      <c r="B87" s="23" t="s">
        <v>6</v>
      </c>
    </row>
    <row r="88" spans="1:14" x14ac:dyDescent="0.25">
      <c r="A88" s="14" t="s">
        <v>7</v>
      </c>
      <c r="B88" s="20" t="s">
        <v>394</v>
      </c>
    </row>
    <row r="89" spans="1:14" x14ac:dyDescent="0.25">
      <c r="A89" s="14" t="s">
        <v>9</v>
      </c>
    </row>
    <row r="90" spans="1:14" s="13" customFormat="1" x14ac:dyDescent="0.25">
      <c r="A90" s="11" t="s">
        <v>10</v>
      </c>
      <c r="B90" s="11" t="s">
        <v>1</v>
      </c>
      <c r="C90" s="11" t="s">
        <v>2</v>
      </c>
      <c r="D90" s="11" t="s">
        <v>4</v>
      </c>
      <c r="E90" s="11" t="s">
        <v>5</v>
      </c>
      <c r="F90" s="11" t="s">
        <v>11</v>
      </c>
      <c r="G90" s="11" t="s">
        <v>12</v>
      </c>
      <c r="H90" s="11" t="s">
        <v>13</v>
      </c>
      <c r="I90" s="11" t="s">
        <v>14</v>
      </c>
      <c r="J90" s="11" t="s">
        <v>15</v>
      </c>
      <c r="K90" s="11" t="s">
        <v>16</v>
      </c>
      <c r="L90" s="11" t="s">
        <v>17</v>
      </c>
      <c r="M90" s="11" t="s">
        <v>18</v>
      </c>
      <c r="N90" s="11" t="s">
        <v>19</v>
      </c>
    </row>
    <row r="91" spans="1:14" x14ac:dyDescent="0.25">
      <c r="A91" s="23" t="s">
        <v>379</v>
      </c>
      <c r="B91" s="23" t="s">
        <v>225</v>
      </c>
      <c r="C91" s="23" t="s">
        <v>28</v>
      </c>
      <c r="D91" s="24">
        <v>1</v>
      </c>
      <c r="E91" s="23" t="s">
        <v>6</v>
      </c>
      <c r="F91" s="16" t="s">
        <v>56</v>
      </c>
      <c r="G91" s="23" t="s">
        <v>20</v>
      </c>
    </row>
    <row r="92" spans="1:14" s="25" customFormat="1" x14ac:dyDescent="0.25">
      <c r="A92" s="25" t="s">
        <v>26</v>
      </c>
      <c r="B92" s="25" t="s">
        <v>27</v>
      </c>
      <c r="C92" s="25" t="s">
        <v>28</v>
      </c>
      <c r="D92" s="26">
        <v>1.1221875000000001</v>
      </c>
      <c r="E92" s="25" t="s">
        <v>29</v>
      </c>
      <c r="F92" s="13" t="s">
        <v>206</v>
      </c>
      <c r="G92" s="25" t="s">
        <v>21</v>
      </c>
      <c r="I92" s="13"/>
      <c r="J92" s="23" t="s">
        <v>238</v>
      </c>
      <c r="L92" s="23"/>
    </row>
    <row r="93" spans="1:14" x14ac:dyDescent="0.25">
      <c r="A93" s="23" t="s">
        <v>31</v>
      </c>
      <c r="B93" s="23" t="s">
        <v>32</v>
      </c>
      <c r="C93" s="23" t="s">
        <v>28</v>
      </c>
      <c r="D93" s="30">
        <v>3.4289062500000003</v>
      </c>
      <c r="E93" s="23" t="s">
        <v>33</v>
      </c>
      <c r="F93" s="13" t="s">
        <v>206</v>
      </c>
      <c r="G93" s="23" t="s">
        <v>21</v>
      </c>
      <c r="I93" s="13"/>
      <c r="J93" s="23" t="s">
        <v>238</v>
      </c>
    </row>
    <row r="94" spans="1:14" s="25" customFormat="1" x14ac:dyDescent="0.25">
      <c r="A94" s="23" t="s">
        <v>240</v>
      </c>
      <c r="B94" s="23" t="s">
        <v>241</v>
      </c>
      <c r="C94" s="23" t="s">
        <v>25</v>
      </c>
      <c r="D94" s="30">
        <v>2.7431250000000005</v>
      </c>
      <c r="E94" s="23" t="s">
        <v>33</v>
      </c>
      <c r="F94" s="13" t="s">
        <v>206</v>
      </c>
      <c r="G94" s="23" t="s">
        <v>21</v>
      </c>
      <c r="H94" s="23"/>
      <c r="I94" s="13"/>
      <c r="J94" s="23" t="s">
        <v>238</v>
      </c>
      <c r="K94" s="23"/>
      <c r="L94" s="23"/>
    </row>
    <row r="95" spans="1:14" s="25" customFormat="1" x14ac:dyDescent="0.25">
      <c r="A95" s="23" t="s">
        <v>242</v>
      </c>
      <c r="B95" s="23" t="s">
        <v>243</v>
      </c>
      <c r="C95" s="23" t="s">
        <v>25</v>
      </c>
      <c r="D95" s="30">
        <v>7.4812500000000018E-3</v>
      </c>
      <c r="E95" s="23" t="s">
        <v>33</v>
      </c>
      <c r="F95" s="13" t="s">
        <v>206</v>
      </c>
      <c r="G95" s="23" t="s">
        <v>21</v>
      </c>
      <c r="H95" s="23"/>
      <c r="I95" s="13"/>
      <c r="J95" s="23" t="s">
        <v>238</v>
      </c>
      <c r="K95" s="23"/>
      <c r="L95" s="23"/>
    </row>
    <row r="96" spans="1:14" s="25" customFormat="1" x14ac:dyDescent="0.25">
      <c r="A96" s="23" t="s">
        <v>242</v>
      </c>
      <c r="B96" s="23" t="s">
        <v>243</v>
      </c>
      <c r="C96" s="23" t="s">
        <v>25</v>
      </c>
      <c r="D96" s="30">
        <v>1.9326562500000002E-2</v>
      </c>
      <c r="E96" s="23" t="s">
        <v>33</v>
      </c>
      <c r="F96" s="13" t="s">
        <v>206</v>
      </c>
      <c r="G96" s="23" t="s">
        <v>21</v>
      </c>
      <c r="H96" s="23"/>
      <c r="I96" s="13"/>
      <c r="J96" s="23" t="s">
        <v>238</v>
      </c>
      <c r="K96" s="23"/>
      <c r="L96" s="23"/>
    </row>
    <row r="97" spans="1:12" s="25" customFormat="1" x14ac:dyDescent="0.25">
      <c r="A97" s="25" t="s">
        <v>58</v>
      </c>
      <c r="B97" s="25" t="s">
        <v>59</v>
      </c>
      <c r="C97" s="25" t="s">
        <v>25</v>
      </c>
      <c r="D97" s="29">
        <v>1.0286718750000002E-2</v>
      </c>
      <c r="E97" s="25" t="s">
        <v>6</v>
      </c>
      <c r="F97" s="13" t="s">
        <v>206</v>
      </c>
      <c r="G97" s="25" t="s">
        <v>21</v>
      </c>
      <c r="I97" s="13"/>
      <c r="J97" s="23" t="s">
        <v>238</v>
      </c>
      <c r="L97" s="23"/>
    </row>
    <row r="98" spans="1:12" s="25" customFormat="1" x14ac:dyDescent="0.25">
      <c r="A98" s="25" t="s">
        <v>248</v>
      </c>
      <c r="B98" s="25" t="s">
        <v>249</v>
      </c>
      <c r="C98" s="25" t="s">
        <v>25</v>
      </c>
      <c r="D98" s="29">
        <v>1.340390625E-2</v>
      </c>
      <c r="E98" s="25" t="s">
        <v>6</v>
      </c>
      <c r="F98" s="13" t="s">
        <v>206</v>
      </c>
      <c r="G98" s="25" t="s">
        <v>21</v>
      </c>
      <c r="I98" s="13"/>
      <c r="J98" s="23" t="s">
        <v>238</v>
      </c>
      <c r="L98" s="23"/>
    </row>
    <row r="99" spans="1:12" s="25" customFormat="1" x14ac:dyDescent="0.25">
      <c r="A99" s="25" t="s">
        <v>303</v>
      </c>
      <c r="B99" s="25" t="s">
        <v>304</v>
      </c>
      <c r="C99" s="25" t="s">
        <v>28</v>
      </c>
      <c r="D99" s="29">
        <v>2.3378906250000001E-3</v>
      </c>
      <c r="E99" s="25" t="s">
        <v>6</v>
      </c>
      <c r="F99" s="13" t="s">
        <v>206</v>
      </c>
      <c r="G99" s="25" t="s">
        <v>21</v>
      </c>
      <c r="I99" s="13"/>
      <c r="J99" s="23" t="s">
        <v>238</v>
      </c>
      <c r="L99" s="23"/>
    </row>
    <row r="100" spans="1:12" s="25" customFormat="1" x14ac:dyDescent="0.25">
      <c r="A100" s="23" t="s">
        <v>247</v>
      </c>
      <c r="B100" s="23" t="s">
        <v>160</v>
      </c>
      <c r="C100" s="23" t="s">
        <v>25</v>
      </c>
      <c r="D100" s="29">
        <v>4.9875000000000006E-4</v>
      </c>
      <c r="E100" s="25" t="s">
        <v>6</v>
      </c>
      <c r="F100" s="13" t="s">
        <v>206</v>
      </c>
      <c r="G100" s="25" t="s">
        <v>21</v>
      </c>
      <c r="I100" s="13"/>
      <c r="J100" s="23" t="s">
        <v>238</v>
      </c>
      <c r="L100" s="23"/>
    </row>
    <row r="101" spans="1:12" s="25" customFormat="1" x14ac:dyDescent="0.25">
      <c r="A101" s="25" t="s">
        <v>64</v>
      </c>
      <c r="B101" s="25" t="s">
        <v>65</v>
      </c>
      <c r="C101" s="25" t="s">
        <v>25</v>
      </c>
      <c r="D101" s="26">
        <v>4.8628125000000004</v>
      </c>
      <c r="E101" s="25" t="s">
        <v>33</v>
      </c>
      <c r="F101" s="13" t="s">
        <v>206</v>
      </c>
      <c r="G101" s="25" t="s">
        <v>21</v>
      </c>
      <c r="I101" s="13"/>
      <c r="J101" s="23" t="s">
        <v>238</v>
      </c>
      <c r="L101" s="32"/>
    </row>
    <row r="102" spans="1:12" s="25" customFormat="1" x14ac:dyDescent="0.25">
      <c r="A102" s="13" t="s">
        <v>100</v>
      </c>
      <c r="B102" s="13" t="s">
        <v>101</v>
      </c>
      <c r="C102" s="13" t="s">
        <v>28</v>
      </c>
      <c r="D102" s="29">
        <v>7.792968750000001E-5</v>
      </c>
      <c r="E102" s="25" t="s">
        <v>6</v>
      </c>
      <c r="F102" s="13" t="s">
        <v>206</v>
      </c>
      <c r="G102" s="25" t="s">
        <v>21</v>
      </c>
      <c r="I102" s="13"/>
      <c r="J102" s="23" t="s">
        <v>238</v>
      </c>
    </row>
    <row r="103" spans="1:12" x14ac:dyDescent="0.25">
      <c r="A103" s="23" t="s">
        <v>43</v>
      </c>
      <c r="B103" s="23" t="s">
        <v>44</v>
      </c>
      <c r="C103" s="23" t="s">
        <v>28</v>
      </c>
      <c r="D103" s="30">
        <v>0.12157031250000001</v>
      </c>
      <c r="E103" s="23" t="s">
        <v>6</v>
      </c>
      <c r="F103" s="13" t="s">
        <v>206</v>
      </c>
      <c r="G103" s="23" t="s">
        <v>21</v>
      </c>
      <c r="I103" s="13"/>
      <c r="J103" s="23" t="s">
        <v>238</v>
      </c>
    </row>
    <row r="104" spans="1:12" x14ac:dyDescent="0.25">
      <c r="A104" s="23" t="s">
        <v>305</v>
      </c>
      <c r="B104" s="23" t="s">
        <v>70</v>
      </c>
      <c r="C104" s="23" t="s">
        <v>28</v>
      </c>
      <c r="D104" s="30">
        <v>9.6632812500000006E-4</v>
      </c>
      <c r="E104" s="23" t="s">
        <v>6</v>
      </c>
      <c r="F104" s="13" t="s">
        <v>206</v>
      </c>
      <c r="G104" s="23" t="s">
        <v>21</v>
      </c>
      <c r="I104" s="13"/>
      <c r="J104" s="23" t="s">
        <v>238</v>
      </c>
    </row>
    <row r="105" spans="1:12" x14ac:dyDescent="0.25">
      <c r="A105" s="23" t="s">
        <v>306</v>
      </c>
      <c r="B105" s="23" t="s">
        <v>263</v>
      </c>
      <c r="C105" s="23" t="s">
        <v>25</v>
      </c>
      <c r="D105" s="30">
        <v>4.987500000000001E-2</v>
      </c>
      <c r="E105" s="23" t="s">
        <v>6</v>
      </c>
      <c r="F105" s="13" t="s">
        <v>206</v>
      </c>
      <c r="G105" s="23" t="s">
        <v>21</v>
      </c>
      <c r="I105" s="13"/>
      <c r="J105" s="23" t="s">
        <v>238</v>
      </c>
    </row>
    <row r="106" spans="1:12" x14ac:dyDescent="0.25">
      <c r="A106" s="23" t="s">
        <v>41</v>
      </c>
      <c r="B106" s="23" t="s">
        <v>42</v>
      </c>
      <c r="C106" s="23" t="s">
        <v>25</v>
      </c>
      <c r="D106" s="30">
        <v>4.3640624999999992E-5</v>
      </c>
      <c r="E106" s="23" t="s">
        <v>6</v>
      </c>
      <c r="F106" s="13" t="s">
        <v>206</v>
      </c>
      <c r="G106" s="23" t="s">
        <v>21</v>
      </c>
      <c r="I106" s="13"/>
      <c r="J106" s="23" t="s">
        <v>238</v>
      </c>
    </row>
    <row r="107" spans="1:12" x14ac:dyDescent="0.25">
      <c r="A107" s="23" t="s">
        <v>307</v>
      </c>
      <c r="B107" s="23" t="s">
        <v>308</v>
      </c>
      <c r="C107" s="23" t="s">
        <v>28</v>
      </c>
      <c r="D107" s="30">
        <v>3.7406250000000005E-5</v>
      </c>
      <c r="E107" s="23" t="s">
        <v>6</v>
      </c>
      <c r="F107" s="13" t="s">
        <v>206</v>
      </c>
      <c r="G107" s="23" t="s">
        <v>21</v>
      </c>
      <c r="I107" s="13"/>
      <c r="J107" s="23" t="s">
        <v>238</v>
      </c>
    </row>
    <row r="108" spans="1:12" x14ac:dyDescent="0.25">
      <c r="A108" s="23" t="s">
        <v>254</v>
      </c>
      <c r="B108" s="23" t="s">
        <v>255</v>
      </c>
      <c r="C108" s="23" t="s">
        <v>25</v>
      </c>
      <c r="D108" s="30">
        <v>7.4812500000000004E-2</v>
      </c>
      <c r="E108" s="23" t="s">
        <v>50</v>
      </c>
      <c r="F108" s="13" t="s">
        <v>206</v>
      </c>
      <c r="G108" s="23" t="s">
        <v>21</v>
      </c>
      <c r="I108" s="13"/>
      <c r="J108" s="23" t="s">
        <v>238</v>
      </c>
    </row>
    <row r="109" spans="1:12" x14ac:dyDescent="0.25">
      <c r="A109" s="23" t="s">
        <v>309</v>
      </c>
      <c r="B109" s="23" t="s">
        <v>310</v>
      </c>
      <c r="C109" s="23" t="s">
        <v>28</v>
      </c>
      <c r="D109" s="30">
        <v>2.3067187500000001E-5</v>
      </c>
      <c r="E109" s="23" t="s">
        <v>6</v>
      </c>
      <c r="F109" s="13" t="s">
        <v>206</v>
      </c>
      <c r="G109" s="23" t="s">
        <v>21</v>
      </c>
      <c r="I109" s="13"/>
      <c r="J109" s="23" t="s">
        <v>238</v>
      </c>
    </row>
    <row r="110" spans="1:12" x14ac:dyDescent="0.25">
      <c r="A110" s="23" t="s">
        <v>311</v>
      </c>
      <c r="B110" s="23" t="s">
        <v>312</v>
      </c>
      <c r="C110" s="23" t="s">
        <v>25</v>
      </c>
      <c r="D110" s="30">
        <v>0.23067187500000003</v>
      </c>
      <c r="E110" s="23" t="s">
        <v>6</v>
      </c>
      <c r="F110" s="13" t="s">
        <v>206</v>
      </c>
      <c r="G110" s="23" t="s">
        <v>21</v>
      </c>
      <c r="I110" s="13"/>
      <c r="J110" s="23" t="s">
        <v>238</v>
      </c>
    </row>
    <row r="111" spans="1:12" x14ac:dyDescent="0.25">
      <c r="A111" s="23" t="s">
        <v>90</v>
      </c>
      <c r="B111" s="23" t="s">
        <v>91</v>
      </c>
      <c r="C111" s="23" t="s">
        <v>25</v>
      </c>
      <c r="D111" s="30">
        <v>5.92265625E-3</v>
      </c>
      <c r="E111" s="23" t="s">
        <v>6</v>
      </c>
      <c r="F111" s="13" t="s">
        <v>206</v>
      </c>
      <c r="G111" s="23" t="s">
        <v>21</v>
      </c>
      <c r="I111" s="13"/>
      <c r="J111" s="23" t="s">
        <v>238</v>
      </c>
    </row>
    <row r="112" spans="1:12" x14ac:dyDescent="0.25">
      <c r="A112" s="23" t="s">
        <v>258</v>
      </c>
      <c r="B112" s="23" t="s">
        <v>259</v>
      </c>
      <c r="C112" s="23" t="s">
        <v>25</v>
      </c>
      <c r="D112" s="30">
        <v>1.3403906250000002E-4</v>
      </c>
      <c r="E112" s="23" t="s">
        <v>6</v>
      </c>
      <c r="F112" s="13" t="s">
        <v>206</v>
      </c>
      <c r="G112" s="23" t="s">
        <v>21</v>
      </c>
      <c r="I112" s="13"/>
      <c r="J112" s="23" t="s">
        <v>238</v>
      </c>
    </row>
    <row r="113" spans="1:10" x14ac:dyDescent="0.25">
      <c r="A113" s="23" t="s">
        <v>260</v>
      </c>
      <c r="B113" s="23" t="s">
        <v>261</v>
      </c>
      <c r="C113" s="23" t="s">
        <v>25</v>
      </c>
      <c r="D113" s="30">
        <v>1.6521093750000001E-3</v>
      </c>
      <c r="E113" s="23" t="s">
        <v>6</v>
      </c>
      <c r="F113" s="13" t="s">
        <v>206</v>
      </c>
      <c r="G113" s="23" t="s">
        <v>21</v>
      </c>
      <c r="I113" s="13"/>
      <c r="J113" s="23" t="s">
        <v>238</v>
      </c>
    </row>
    <row r="114" spans="1:10" x14ac:dyDescent="0.25">
      <c r="A114" s="23" t="s">
        <v>313</v>
      </c>
      <c r="B114" s="23" t="s">
        <v>314</v>
      </c>
      <c r="C114" s="23" t="s">
        <v>28</v>
      </c>
      <c r="D114" s="30">
        <v>7.7929687500000013E-3</v>
      </c>
      <c r="E114" s="23" t="s">
        <v>6</v>
      </c>
      <c r="F114" s="13" t="s">
        <v>206</v>
      </c>
      <c r="G114" s="23" t="s">
        <v>21</v>
      </c>
      <c r="I114" s="13"/>
      <c r="J114" s="23" t="s">
        <v>238</v>
      </c>
    </row>
    <row r="115" spans="1:10" x14ac:dyDescent="0.25">
      <c r="A115" s="23" t="s">
        <v>315</v>
      </c>
      <c r="B115" s="23" t="s">
        <v>316</v>
      </c>
      <c r="C115" s="23" t="s">
        <v>28</v>
      </c>
      <c r="D115" s="30">
        <v>0.18391406250000003</v>
      </c>
      <c r="E115" s="23" t="s">
        <v>6</v>
      </c>
      <c r="F115" s="13" t="s">
        <v>206</v>
      </c>
      <c r="G115" s="23" t="s">
        <v>21</v>
      </c>
      <c r="I115" s="13"/>
      <c r="J115" s="23" t="s">
        <v>238</v>
      </c>
    </row>
    <row r="116" spans="1:10" x14ac:dyDescent="0.25">
      <c r="A116" s="23" t="s">
        <v>317</v>
      </c>
      <c r="B116" s="23" t="s">
        <v>318</v>
      </c>
      <c r="C116" s="23" t="s">
        <v>25</v>
      </c>
      <c r="D116" s="30">
        <v>1.6521093750000001E-5</v>
      </c>
      <c r="E116" s="23" t="s">
        <v>6</v>
      </c>
      <c r="F116" s="13" t="s">
        <v>206</v>
      </c>
      <c r="G116" s="23" t="s">
        <v>21</v>
      </c>
      <c r="I116" s="13"/>
      <c r="J116" s="23" t="s">
        <v>238</v>
      </c>
    </row>
    <row r="117" spans="1:10" x14ac:dyDescent="0.25">
      <c r="A117" s="23" t="s">
        <v>319</v>
      </c>
      <c r="B117" s="23" t="s">
        <v>320</v>
      </c>
      <c r="C117" s="23" t="s">
        <v>28</v>
      </c>
      <c r="D117" s="30">
        <v>1.652109375E-2</v>
      </c>
      <c r="E117" s="23" t="s">
        <v>6</v>
      </c>
      <c r="F117" s="13" t="s">
        <v>206</v>
      </c>
      <c r="G117" s="23" t="s">
        <v>21</v>
      </c>
      <c r="I117" s="13"/>
      <c r="J117" s="23" t="s">
        <v>238</v>
      </c>
    </row>
    <row r="118" spans="1:10" x14ac:dyDescent="0.25">
      <c r="A118" s="23" t="s">
        <v>39</v>
      </c>
      <c r="B118" s="23" t="s">
        <v>40</v>
      </c>
      <c r="C118" s="23" t="s">
        <v>25</v>
      </c>
      <c r="D118" s="30">
        <v>0.43640625</v>
      </c>
      <c r="E118" s="23" t="s">
        <v>6</v>
      </c>
      <c r="F118" s="13" t="s">
        <v>206</v>
      </c>
      <c r="G118" s="23" t="s">
        <v>21</v>
      </c>
      <c r="I118" s="13"/>
      <c r="J118" s="23" t="s">
        <v>238</v>
      </c>
    </row>
    <row r="119" spans="1:10" x14ac:dyDescent="0.25">
      <c r="A119" s="23" t="s">
        <v>150</v>
      </c>
      <c r="B119" s="23" t="s">
        <v>151</v>
      </c>
      <c r="C119" s="23" t="s">
        <v>25</v>
      </c>
      <c r="D119" s="27">
        <v>1.091015625E-4</v>
      </c>
      <c r="E119" s="23" t="s">
        <v>6</v>
      </c>
      <c r="F119" s="13" t="s">
        <v>206</v>
      </c>
      <c r="G119" s="23" t="s">
        <v>21</v>
      </c>
      <c r="I119" s="13"/>
      <c r="J119" s="23" t="s">
        <v>238</v>
      </c>
    </row>
    <row r="120" spans="1:10" x14ac:dyDescent="0.25">
      <c r="A120" s="23" t="s">
        <v>98</v>
      </c>
      <c r="B120" s="23" t="s">
        <v>99</v>
      </c>
      <c r="C120" s="23" t="s">
        <v>25</v>
      </c>
      <c r="D120" s="27">
        <v>3.4289062500000005E-8</v>
      </c>
      <c r="E120" s="23" t="s">
        <v>6</v>
      </c>
      <c r="F120" s="13" t="s">
        <v>206</v>
      </c>
      <c r="G120" s="23" t="s">
        <v>21</v>
      </c>
      <c r="I120" s="13"/>
      <c r="J120" s="23" t="s">
        <v>238</v>
      </c>
    </row>
    <row r="121" spans="1:10" x14ac:dyDescent="0.25">
      <c r="A121" s="23" t="s">
        <v>321</v>
      </c>
      <c r="B121" s="23" t="s">
        <v>322</v>
      </c>
      <c r="C121" s="23" t="s">
        <v>25</v>
      </c>
      <c r="D121" s="27">
        <v>2.2443750000000003E-5</v>
      </c>
      <c r="E121" s="23" t="s">
        <v>6</v>
      </c>
      <c r="F121" s="13" t="s">
        <v>206</v>
      </c>
      <c r="G121" s="23" t="s">
        <v>21</v>
      </c>
      <c r="I121" s="13"/>
      <c r="J121" s="23" t="s">
        <v>238</v>
      </c>
    </row>
    <row r="122" spans="1:10" x14ac:dyDescent="0.25">
      <c r="A122" s="23" t="s">
        <v>266</v>
      </c>
      <c r="B122" s="23" t="s">
        <v>267</v>
      </c>
      <c r="C122" s="23" t="s">
        <v>25</v>
      </c>
      <c r="D122" s="27">
        <v>1.4650781250000001E-5</v>
      </c>
      <c r="E122" s="23" t="s">
        <v>6</v>
      </c>
      <c r="F122" s="13" t="s">
        <v>206</v>
      </c>
      <c r="G122" s="23" t="s">
        <v>21</v>
      </c>
      <c r="I122" s="13"/>
      <c r="J122" s="23" t="s">
        <v>238</v>
      </c>
    </row>
    <row r="123" spans="1:10" x14ac:dyDescent="0.25">
      <c r="A123" s="23" t="s">
        <v>268</v>
      </c>
      <c r="B123" s="23" t="s">
        <v>269</v>
      </c>
      <c r="C123" s="23" t="s">
        <v>28</v>
      </c>
      <c r="D123" s="30">
        <v>5.9226562500000003E-2</v>
      </c>
      <c r="E123" s="23" t="s">
        <v>6</v>
      </c>
      <c r="F123" s="13" t="s">
        <v>206</v>
      </c>
      <c r="G123" s="23" t="s">
        <v>21</v>
      </c>
      <c r="I123" s="13"/>
      <c r="J123" s="23" t="s">
        <v>238</v>
      </c>
    </row>
    <row r="124" spans="1:10" x14ac:dyDescent="0.25">
      <c r="A124" s="23" t="s">
        <v>270</v>
      </c>
      <c r="B124" s="23" t="s">
        <v>271</v>
      </c>
      <c r="C124" s="23" t="s">
        <v>25</v>
      </c>
      <c r="D124" s="30">
        <v>3.1171875000000005E-2</v>
      </c>
      <c r="E124" s="23" t="s">
        <v>6</v>
      </c>
      <c r="F124" s="13" t="s">
        <v>206</v>
      </c>
      <c r="G124" s="23" t="s">
        <v>21</v>
      </c>
      <c r="I124" s="13"/>
      <c r="J124" s="23" t="s">
        <v>238</v>
      </c>
    </row>
    <row r="125" spans="1:10" x14ac:dyDescent="0.25">
      <c r="A125" s="23" t="s">
        <v>96</v>
      </c>
      <c r="B125" s="23" t="s">
        <v>97</v>
      </c>
      <c r="C125" s="23" t="s">
        <v>25</v>
      </c>
      <c r="D125" s="30">
        <v>6.8578125000000002E-3</v>
      </c>
      <c r="E125" s="23" t="s">
        <v>6</v>
      </c>
      <c r="F125" s="13" t="s">
        <v>206</v>
      </c>
      <c r="G125" s="23" t="s">
        <v>21</v>
      </c>
      <c r="I125" s="13"/>
      <c r="J125" s="23" t="s">
        <v>238</v>
      </c>
    </row>
    <row r="126" spans="1:10" x14ac:dyDescent="0.25">
      <c r="A126" s="23" t="s">
        <v>282</v>
      </c>
      <c r="B126" s="23" t="s">
        <v>190</v>
      </c>
      <c r="C126" s="23" t="s">
        <v>28</v>
      </c>
      <c r="D126" s="30">
        <v>0.59226562500000002</v>
      </c>
      <c r="E126" s="23" t="s">
        <v>6</v>
      </c>
      <c r="F126" s="13" t="s">
        <v>206</v>
      </c>
      <c r="G126" s="23" t="s">
        <v>21</v>
      </c>
      <c r="I126" s="13"/>
      <c r="J126" s="23" t="s">
        <v>238</v>
      </c>
    </row>
    <row r="127" spans="1:10" x14ac:dyDescent="0.25">
      <c r="A127" s="23" t="s">
        <v>323</v>
      </c>
      <c r="B127" s="23" t="s">
        <v>324</v>
      </c>
      <c r="C127" s="23" t="s">
        <v>25</v>
      </c>
      <c r="D127" s="30">
        <v>6.8578125000000002E-3</v>
      </c>
      <c r="E127" s="23" t="s">
        <v>6</v>
      </c>
      <c r="F127" s="13" t="s">
        <v>206</v>
      </c>
      <c r="G127" s="23" t="s">
        <v>21</v>
      </c>
      <c r="I127" s="13"/>
      <c r="J127" s="23" t="s">
        <v>238</v>
      </c>
    </row>
    <row r="128" spans="1:10" x14ac:dyDescent="0.25">
      <c r="A128" s="23" t="s">
        <v>287</v>
      </c>
      <c r="B128" s="23" t="s">
        <v>288</v>
      </c>
      <c r="C128" s="23" t="s">
        <v>25</v>
      </c>
      <c r="D128" s="27">
        <v>-1.4650781250000001E-5</v>
      </c>
      <c r="E128" s="23" t="s">
        <v>6</v>
      </c>
      <c r="F128" s="13" t="s">
        <v>206</v>
      </c>
      <c r="G128" s="23" t="s">
        <v>21</v>
      </c>
      <c r="I128" s="13"/>
      <c r="J128" s="23" t="s">
        <v>238</v>
      </c>
    </row>
    <row r="129" spans="1:10" x14ac:dyDescent="0.25">
      <c r="A129" s="23" t="s">
        <v>325</v>
      </c>
      <c r="B129" s="23" t="s">
        <v>326</v>
      </c>
      <c r="C129" s="23" t="s">
        <v>25</v>
      </c>
      <c r="D129" s="30">
        <v>-3.7406250000000002E-2</v>
      </c>
      <c r="E129" s="23" t="s">
        <v>6</v>
      </c>
      <c r="F129" s="13" t="s">
        <v>206</v>
      </c>
      <c r="G129" s="23" t="s">
        <v>21</v>
      </c>
      <c r="I129" s="13"/>
      <c r="J129" s="23" t="s">
        <v>238</v>
      </c>
    </row>
    <row r="130" spans="1:10" x14ac:dyDescent="0.25">
      <c r="A130" s="23" t="s">
        <v>327</v>
      </c>
      <c r="B130" s="23" t="s">
        <v>328</v>
      </c>
      <c r="C130" s="23" t="s">
        <v>25</v>
      </c>
      <c r="D130" s="30">
        <v>-6.234375</v>
      </c>
      <c r="E130" s="23" t="s">
        <v>6</v>
      </c>
      <c r="F130" s="13" t="s">
        <v>206</v>
      </c>
      <c r="G130" s="23" t="s">
        <v>21</v>
      </c>
      <c r="I130" s="13"/>
      <c r="J130" s="23" t="s">
        <v>238</v>
      </c>
    </row>
    <row r="131" spans="1:10" s="25" customFormat="1" x14ac:dyDescent="0.25">
      <c r="A131" s="25" t="s">
        <v>329</v>
      </c>
      <c r="B131" s="25" t="s">
        <v>330</v>
      </c>
      <c r="C131" s="25" t="s">
        <v>28</v>
      </c>
      <c r="D131" s="26">
        <v>-1.2157031250000001</v>
      </c>
      <c r="E131" s="25" t="s">
        <v>6</v>
      </c>
      <c r="F131" s="16" t="s">
        <v>56</v>
      </c>
      <c r="G131" s="25" t="s">
        <v>21</v>
      </c>
      <c r="I131" s="18"/>
      <c r="J131" s="25" t="s">
        <v>238</v>
      </c>
    </row>
    <row r="132" spans="1:10" s="39" customFormat="1" x14ac:dyDescent="0.25">
      <c r="A132" s="39" t="s">
        <v>88</v>
      </c>
      <c r="B132" s="39" t="s">
        <v>89</v>
      </c>
      <c r="C132" s="39" t="s">
        <v>25</v>
      </c>
      <c r="D132" s="40">
        <v>-0.78125</v>
      </c>
      <c r="E132" s="39" t="s">
        <v>6</v>
      </c>
      <c r="F132" s="20" t="s">
        <v>206</v>
      </c>
      <c r="G132" s="39" t="s">
        <v>21</v>
      </c>
      <c r="I132" s="20"/>
      <c r="J132" s="39" t="s">
        <v>238</v>
      </c>
    </row>
    <row r="133" spans="1:10" s="25" customFormat="1" x14ac:dyDescent="0.25">
      <c r="A133" s="25" t="s">
        <v>289</v>
      </c>
      <c r="D133" s="26">
        <v>0.99750000000000016</v>
      </c>
      <c r="E133" s="25" t="s">
        <v>6</v>
      </c>
      <c r="F133" s="13" t="s">
        <v>46</v>
      </c>
      <c r="G133" s="25" t="s">
        <v>47</v>
      </c>
      <c r="H133" s="25" t="s">
        <v>201</v>
      </c>
      <c r="I133" s="13"/>
      <c r="J133" s="23" t="s">
        <v>238</v>
      </c>
    </row>
    <row r="134" spans="1:10" x14ac:dyDescent="0.25">
      <c r="A134" s="23" t="s">
        <v>290</v>
      </c>
      <c r="B134" s="33"/>
      <c r="D134" s="27">
        <v>1.0598437500000002E-3</v>
      </c>
      <c r="E134" s="23" t="s">
        <v>6</v>
      </c>
      <c r="F134" s="13" t="s">
        <v>46</v>
      </c>
      <c r="G134" s="23" t="s">
        <v>47</v>
      </c>
      <c r="H134" s="23" t="s">
        <v>201</v>
      </c>
      <c r="I134" s="13"/>
      <c r="J134" s="23" t="s">
        <v>238</v>
      </c>
    </row>
    <row r="135" spans="1:10" x14ac:dyDescent="0.25">
      <c r="A135" s="23" t="s">
        <v>291</v>
      </c>
      <c r="D135" s="27">
        <v>6.8578125000000008E-5</v>
      </c>
      <c r="E135" s="23" t="s">
        <v>6</v>
      </c>
      <c r="F135" s="13" t="s">
        <v>46</v>
      </c>
      <c r="G135" s="23" t="s">
        <v>47</v>
      </c>
      <c r="H135" s="23" t="s">
        <v>201</v>
      </c>
      <c r="I135" s="13"/>
      <c r="J135" s="23" t="s">
        <v>238</v>
      </c>
    </row>
    <row r="136" spans="1:10" x14ac:dyDescent="0.25">
      <c r="A136" s="23" t="s">
        <v>292</v>
      </c>
      <c r="D136" s="27">
        <v>5.2992187500000007E-5</v>
      </c>
      <c r="E136" s="23" t="s">
        <v>6</v>
      </c>
      <c r="F136" s="13" t="s">
        <v>46</v>
      </c>
      <c r="G136" s="23" t="s">
        <v>47</v>
      </c>
      <c r="H136" s="23" t="s">
        <v>201</v>
      </c>
      <c r="I136" s="13"/>
      <c r="J136" s="23" t="s">
        <v>238</v>
      </c>
    </row>
    <row r="137" spans="1:10" x14ac:dyDescent="0.25">
      <c r="A137" s="23" t="s">
        <v>166</v>
      </c>
      <c r="D137" s="27">
        <v>2.3378906250000001E-3</v>
      </c>
      <c r="E137" s="23" t="s">
        <v>6</v>
      </c>
      <c r="F137" s="13" t="s">
        <v>46</v>
      </c>
      <c r="G137" s="23" t="s">
        <v>47</v>
      </c>
      <c r="H137" s="23" t="s">
        <v>201</v>
      </c>
      <c r="I137" s="13"/>
      <c r="J137" s="23" t="s">
        <v>238</v>
      </c>
    </row>
    <row r="138" spans="1:10" x14ac:dyDescent="0.25">
      <c r="A138" s="23" t="s">
        <v>166</v>
      </c>
      <c r="D138" s="27">
        <v>5.9226562500000007E-5</v>
      </c>
      <c r="E138" s="23" t="s">
        <v>6</v>
      </c>
      <c r="F138" s="13" t="s">
        <v>46</v>
      </c>
      <c r="G138" s="23" t="s">
        <v>47</v>
      </c>
      <c r="H138" s="23" t="s">
        <v>201</v>
      </c>
      <c r="I138" s="13"/>
      <c r="J138" s="23" t="s">
        <v>238</v>
      </c>
    </row>
    <row r="139" spans="1:10" x14ac:dyDescent="0.25">
      <c r="A139" s="23" t="s">
        <v>294</v>
      </c>
      <c r="D139" s="27">
        <v>7.4812500000000014E-6</v>
      </c>
      <c r="E139" s="23" t="s">
        <v>6</v>
      </c>
      <c r="F139" s="13" t="s">
        <v>46</v>
      </c>
      <c r="G139" s="23" t="s">
        <v>47</v>
      </c>
      <c r="H139" s="23" t="s">
        <v>201</v>
      </c>
      <c r="I139" s="13"/>
      <c r="J139" s="23" t="s">
        <v>238</v>
      </c>
    </row>
    <row r="140" spans="1:10" x14ac:dyDescent="0.25">
      <c r="A140" s="23" t="s">
        <v>118</v>
      </c>
      <c r="D140" s="27">
        <v>1.18453125E-3</v>
      </c>
      <c r="E140" s="23" t="s">
        <v>6</v>
      </c>
      <c r="F140" s="13" t="s">
        <v>46</v>
      </c>
      <c r="G140" s="23" t="s">
        <v>47</v>
      </c>
      <c r="H140" s="23" t="s">
        <v>201</v>
      </c>
      <c r="I140" s="13"/>
      <c r="J140" s="23" t="s">
        <v>238</v>
      </c>
    </row>
    <row r="141" spans="1:10" x14ac:dyDescent="0.25">
      <c r="A141" s="23" t="s">
        <v>165</v>
      </c>
      <c r="D141" s="27">
        <v>0.28054687500000008</v>
      </c>
      <c r="E141" s="23" t="s">
        <v>6</v>
      </c>
      <c r="F141" s="13" t="s">
        <v>46</v>
      </c>
      <c r="G141" s="23" t="s">
        <v>47</v>
      </c>
      <c r="H141" s="23" t="s">
        <v>201</v>
      </c>
      <c r="I141" s="13"/>
      <c r="J141" s="23" t="s">
        <v>238</v>
      </c>
    </row>
    <row r="142" spans="1:10" x14ac:dyDescent="0.25">
      <c r="A142" s="23" t="s">
        <v>331</v>
      </c>
      <c r="D142" s="27">
        <v>3.0236718750000001E-6</v>
      </c>
      <c r="E142" s="23" t="s">
        <v>6</v>
      </c>
      <c r="F142" s="13" t="s">
        <v>46</v>
      </c>
      <c r="G142" s="23" t="s">
        <v>47</v>
      </c>
      <c r="H142" s="23" t="s">
        <v>201</v>
      </c>
      <c r="I142" s="13"/>
      <c r="J142" s="23" t="s">
        <v>238</v>
      </c>
    </row>
    <row r="143" spans="1:10" x14ac:dyDescent="0.25">
      <c r="A143" s="23" t="s">
        <v>114</v>
      </c>
      <c r="D143" s="27">
        <v>1.9014843750000002E-3</v>
      </c>
      <c r="E143" s="23" t="s">
        <v>6</v>
      </c>
      <c r="F143" s="13" t="s">
        <v>46</v>
      </c>
      <c r="G143" s="23" t="s">
        <v>47</v>
      </c>
      <c r="H143" s="23" t="s">
        <v>201</v>
      </c>
      <c r="I143" s="13"/>
      <c r="J143" s="23" t="s">
        <v>238</v>
      </c>
    </row>
    <row r="144" spans="1:10" x14ac:dyDescent="0.25">
      <c r="A144" s="23" t="s">
        <v>114</v>
      </c>
      <c r="D144" s="27">
        <v>0.779296875</v>
      </c>
      <c r="E144" s="23" t="s">
        <v>6</v>
      </c>
      <c r="F144" s="13" t="s">
        <v>46</v>
      </c>
      <c r="G144" s="23" t="s">
        <v>47</v>
      </c>
      <c r="H144" s="23" t="s">
        <v>332</v>
      </c>
      <c r="I144" s="13"/>
      <c r="J144" s="23" t="s">
        <v>238</v>
      </c>
    </row>
    <row r="145" spans="1:12" x14ac:dyDescent="0.25">
      <c r="A145" s="23" t="s">
        <v>296</v>
      </c>
      <c r="D145" s="27">
        <v>1.6209374999999999E-7</v>
      </c>
      <c r="E145" s="23" t="s">
        <v>6</v>
      </c>
      <c r="F145" s="13" t="s">
        <v>46</v>
      </c>
      <c r="G145" s="23" t="s">
        <v>47</v>
      </c>
      <c r="H145" s="23" t="s">
        <v>201</v>
      </c>
      <c r="I145" s="13"/>
      <c r="J145" s="23" t="s">
        <v>238</v>
      </c>
      <c r="K145" s="31"/>
      <c r="L145" s="34"/>
    </row>
    <row r="146" spans="1:12" x14ac:dyDescent="0.25">
      <c r="A146" s="23" t="s">
        <v>168</v>
      </c>
      <c r="D146" s="27">
        <v>2.7119531250000001E-6</v>
      </c>
      <c r="E146" s="23" t="s">
        <v>6</v>
      </c>
      <c r="F146" s="13" t="s">
        <v>46</v>
      </c>
      <c r="G146" s="23" t="s">
        <v>47</v>
      </c>
      <c r="H146" s="23" t="s">
        <v>201</v>
      </c>
      <c r="I146" s="13"/>
      <c r="J146" s="23" t="s">
        <v>238</v>
      </c>
      <c r="L146" s="34"/>
    </row>
    <row r="147" spans="1:12" x14ac:dyDescent="0.25">
      <c r="A147" s="23" t="s">
        <v>130</v>
      </c>
      <c r="D147" s="27">
        <v>7.4812499999999993E-7</v>
      </c>
      <c r="E147" s="23" t="s">
        <v>6</v>
      </c>
      <c r="F147" s="13" t="s">
        <v>46</v>
      </c>
      <c r="G147" s="23" t="s">
        <v>47</v>
      </c>
      <c r="H147" s="23" t="s">
        <v>201</v>
      </c>
      <c r="I147" s="13"/>
      <c r="J147" s="23" t="s">
        <v>238</v>
      </c>
      <c r="L147" s="34"/>
    </row>
    <row r="148" spans="1:12" x14ac:dyDescent="0.25">
      <c r="A148" s="23" t="s">
        <v>170</v>
      </c>
      <c r="D148" s="27">
        <v>3.7406249999999997E-7</v>
      </c>
      <c r="E148" s="23" t="s">
        <v>6</v>
      </c>
      <c r="F148" s="13" t="s">
        <v>46</v>
      </c>
      <c r="G148" s="23" t="s">
        <v>47</v>
      </c>
      <c r="H148" s="23" t="s">
        <v>201</v>
      </c>
      <c r="I148" s="13"/>
      <c r="J148" s="23" t="s">
        <v>238</v>
      </c>
      <c r="L148" s="34"/>
    </row>
    <row r="149" spans="1:12" x14ac:dyDescent="0.25">
      <c r="A149" s="23" t="s">
        <v>167</v>
      </c>
      <c r="D149" s="27">
        <v>2.7742968750000001E-6</v>
      </c>
      <c r="E149" s="23" t="s">
        <v>6</v>
      </c>
      <c r="F149" s="13" t="s">
        <v>46</v>
      </c>
      <c r="G149" s="23" t="s">
        <v>47</v>
      </c>
      <c r="H149" s="23" t="s">
        <v>201</v>
      </c>
      <c r="I149" s="13"/>
      <c r="J149" s="23" t="s">
        <v>238</v>
      </c>
      <c r="K149" s="31"/>
      <c r="L149" s="34"/>
    </row>
    <row r="150" spans="1:12" x14ac:dyDescent="0.25">
      <c r="A150" s="23" t="s">
        <v>127</v>
      </c>
      <c r="D150" s="27">
        <v>3.0860156250000005E-5</v>
      </c>
      <c r="E150" s="23" t="s">
        <v>6</v>
      </c>
      <c r="F150" s="13" t="s">
        <v>46</v>
      </c>
      <c r="G150" s="23" t="s">
        <v>47</v>
      </c>
      <c r="H150" s="23" t="s">
        <v>201</v>
      </c>
      <c r="I150" s="13"/>
      <c r="J150" s="23" t="s">
        <v>238</v>
      </c>
      <c r="L150" s="34"/>
    </row>
    <row r="151" spans="1:12" x14ac:dyDescent="0.25">
      <c r="A151" s="23" t="s">
        <v>333</v>
      </c>
      <c r="D151" s="27">
        <v>9.6632812500000015E-6</v>
      </c>
      <c r="E151" s="23" t="s">
        <v>6</v>
      </c>
      <c r="F151" s="13" t="s">
        <v>46</v>
      </c>
      <c r="G151" s="23" t="s">
        <v>47</v>
      </c>
      <c r="H151" s="23" t="s">
        <v>201</v>
      </c>
      <c r="I151" s="13"/>
      <c r="J151" s="23" t="s">
        <v>238</v>
      </c>
    </row>
    <row r="152" spans="1:12" x14ac:dyDescent="0.25">
      <c r="A152" s="23" t="s">
        <v>129</v>
      </c>
      <c r="D152" s="27">
        <v>2.1196875000000002E-5</v>
      </c>
      <c r="E152" s="23" t="s">
        <v>6</v>
      </c>
      <c r="F152" s="13" t="s">
        <v>46</v>
      </c>
      <c r="G152" s="23" t="s">
        <v>47</v>
      </c>
      <c r="H152" s="23" t="s">
        <v>201</v>
      </c>
      <c r="I152" s="13"/>
      <c r="J152" s="23" t="s">
        <v>238</v>
      </c>
      <c r="L152" s="34"/>
    </row>
    <row r="153" spans="1:12" x14ac:dyDescent="0.25">
      <c r="A153" s="23" t="s">
        <v>297</v>
      </c>
      <c r="D153" s="27">
        <v>1.5585937500000002E-6</v>
      </c>
      <c r="E153" s="23" t="s">
        <v>6</v>
      </c>
      <c r="F153" s="13" t="s">
        <v>46</v>
      </c>
      <c r="G153" s="23" t="s">
        <v>47</v>
      </c>
      <c r="H153" s="23" t="s">
        <v>201</v>
      </c>
      <c r="I153" s="13"/>
      <c r="J153" s="23" t="s">
        <v>238</v>
      </c>
      <c r="L153" s="34"/>
    </row>
    <row r="154" spans="1:12" x14ac:dyDescent="0.25">
      <c r="A154" s="23" t="s">
        <v>184</v>
      </c>
      <c r="D154" s="27">
        <v>2.2755468750000003E-7</v>
      </c>
      <c r="E154" s="23" t="s">
        <v>6</v>
      </c>
      <c r="F154" s="13" t="s">
        <v>46</v>
      </c>
      <c r="G154" s="23" t="s">
        <v>47</v>
      </c>
      <c r="H154" s="23" t="s">
        <v>201</v>
      </c>
      <c r="I154" s="13"/>
      <c r="J154" s="23" t="s">
        <v>238</v>
      </c>
      <c r="L154" s="34"/>
    </row>
    <row r="155" spans="1:12" x14ac:dyDescent="0.25">
      <c r="A155" s="23" t="s">
        <v>128</v>
      </c>
      <c r="D155" s="27">
        <v>5.6109375E-5</v>
      </c>
      <c r="E155" s="23" t="s">
        <v>6</v>
      </c>
      <c r="F155" s="13" t="s">
        <v>46</v>
      </c>
      <c r="G155" s="23" t="s">
        <v>47</v>
      </c>
      <c r="H155" s="23" t="s">
        <v>201</v>
      </c>
      <c r="I155" s="13"/>
      <c r="J155" s="23" t="s">
        <v>238</v>
      </c>
    </row>
    <row r="156" spans="1:12" x14ac:dyDescent="0.25">
      <c r="A156" s="23" t="s">
        <v>169</v>
      </c>
      <c r="D156" s="27">
        <v>5.6109375000000009E-6</v>
      </c>
      <c r="E156" s="23" t="s">
        <v>6</v>
      </c>
      <c r="F156" s="13" t="s">
        <v>46</v>
      </c>
      <c r="G156" s="23" t="s">
        <v>47</v>
      </c>
      <c r="H156" s="23" t="s">
        <v>201</v>
      </c>
      <c r="I156" s="13"/>
      <c r="J156" s="23" t="s">
        <v>238</v>
      </c>
    </row>
    <row r="157" spans="1:12" x14ac:dyDescent="0.25">
      <c r="A157" s="23" t="s">
        <v>298</v>
      </c>
      <c r="D157" s="27">
        <v>4.3640625000000008E-3</v>
      </c>
      <c r="E157" s="23" t="s">
        <v>50</v>
      </c>
      <c r="F157" s="13" t="s">
        <v>46</v>
      </c>
      <c r="G157" s="23" t="s">
        <v>47</v>
      </c>
      <c r="H157" s="23" t="s">
        <v>202</v>
      </c>
      <c r="I157" s="13"/>
      <c r="J157" s="23" t="s">
        <v>238</v>
      </c>
    </row>
    <row r="158" spans="1:12" x14ac:dyDescent="0.25">
      <c r="A158" s="23" t="s">
        <v>298</v>
      </c>
      <c r="D158" s="27">
        <v>1.2157031250000002E-3</v>
      </c>
      <c r="E158" s="23" t="s">
        <v>50</v>
      </c>
      <c r="F158" s="13" t="s">
        <v>46</v>
      </c>
      <c r="G158" s="23" t="s">
        <v>47</v>
      </c>
      <c r="H158" s="23" t="s">
        <v>201</v>
      </c>
      <c r="I158" s="13"/>
      <c r="J158" s="23" t="s">
        <v>238</v>
      </c>
    </row>
    <row r="159" spans="1:12" x14ac:dyDescent="0.25">
      <c r="A159" s="23" t="s">
        <v>300</v>
      </c>
      <c r="D159" s="27">
        <v>2.4625781250000001E-5</v>
      </c>
      <c r="E159" s="23" t="s">
        <v>50</v>
      </c>
      <c r="F159" s="13" t="s">
        <v>46</v>
      </c>
      <c r="G159" s="23" t="s">
        <v>47</v>
      </c>
      <c r="H159" s="23" t="s">
        <v>301</v>
      </c>
      <c r="I159" s="13"/>
      <c r="J159" s="23" t="s">
        <v>238</v>
      </c>
      <c r="K159" s="31"/>
    </row>
    <row r="160" spans="1:12" x14ac:dyDescent="0.25">
      <c r="A160" s="23" t="s">
        <v>334</v>
      </c>
      <c r="D160" s="27">
        <v>8.728125E-4</v>
      </c>
      <c r="E160" s="23" t="s">
        <v>50</v>
      </c>
      <c r="F160" s="13" t="s">
        <v>46</v>
      </c>
      <c r="G160" s="23" t="s">
        <v>47</v>
      </c>
      <c r="H160" s="23" t="s">
        <v>110</v>
      </c>
      <c r="I160" s="13"/>
      <c r="J160" s="23" t="s">
        <v>238</v>
      </c>
    </row>
    <row r="161" spans="1:14" x14ac:dyDescent="0.25">
      <c r="A161" s="23" t="s">
        <v>302</v>
      </c>
      <c r="D161" s="27">
        <v>4.6757812500000002E-3</v>
      </c>
      <c r="E161" s="23" t="s">
        <v>50</v>
      </c>
      <c r="F161" s="13" t="s">
        <v>46</v>
      </c>
      <c r="G161" s="23" t="s">
        <v>47</v>
      </c>
      <c r="H161" s="23" t="s">
        <v>110</v>
      </c>
      <c r="I161" s="13"/>
      <c r="J161" s="23" t="s">
        <v>238</v>
      </c>
    </row>
    <row r="162" spans="1:14" x14ac:dyDescent="0.25">
      <c r="A162" s="23" t="s">
        <v>49</v>
      </c>
      <c r="D162" s="27">
        <v>3.7406249999999999E-4</v>
      </c>
      <c r="E162" s="23" t="s">
        <v>50</v>
      </c>
      <c r="F162" s="13" t="s">
        <v>46</v>
      </c>
      <c r="G162" s="23" t="s">
        <v>47</v>
      </c>
      <c r="H162" s="23" t="s">
        <v>48</v>
      </c>
      <c r="I162" s="13"/>
      <c r="J162" s="23" t="s">
        <v>238</v>
      </c>
      <c r="K162" s="31"/>
    </row>
    <row r="163" spans="1:14" s="21" customFormat="1" x14ac:dyDescent="0.25"/>
    <row r="164" spans="1:14" s="35" customFormat="1" x14ac:dyDescent="0.25">
      <c r="A164" s="11" t="s">
        <v>0</v>
      </c>
      <c r="B164" s="14" t="s">
        <v>360</v>
      </c>
      <c r="C164" s="23"/>
      <c r="D164" s="13"/>
      <c r="E164" s="23"/>
      <c r="F164" s="23"/>
      <c r="G164" s="23"/>
      <c r="H164" s="23"/>
      <c r="I164" s="23"/>
      <c r="J164" s="23"/>
    </row>
    <row r="165" spans="1:14" x14ac:dyDescent="0.25">
      <c r="A165" s="14" t="s">
        <v>1</v>
      </c>
      <c r="B165" s="13" t="s">
        <v>361</v>
      </c>
    </row>
    <row r="166" spans="1:14" x14ac:dyDescent="0.25">
      <c r="A166" s="14" t="s">
        <v>2</v>
      </c>
      <c r="B166" s="13" t="s">
        <v>28</v>
      </c>
    </row>
    <row r="167" spans="1:14" x14ac:dyDescent="0.25">
      <c r="A167" s="14" t="s">
        <v>4</v>
      </c>
      <c r="B167" s="13">
        <v>1</v>
      </c>
    </row>
    <row r="168" spans="1:14" x14ac:dyDescent="0.25">
      <c r="A168" s="14" t="s">
        <v>5</v>
      </c>
      <c r="B168" s="23" t="s">
        <v>6</v>
      </c>
    </row>
    <row r="169" spans="1:14" ht="60" x14ac:dyDescent="0.25">
      <c r="A169" s="14" t="s">
        <v>7</v>
      </c>
      <c r="B169" s="19" t="s">
        <v>402</v>
      </c>
    </row>
    <row r="170" spans="1:14" x14ac:dyDescent="0.25">
      <c r="A170" s="14" t="s">
        <v>9</v>
      </c>
    </row>
    <row r="171" spans="1:14" s="13" customFormat="1" x14ac:dyDescent="0.25">
      <c r="A171" s="11" t="s">
        <v>10</v>
      </c>
      <c r="B171" s="11" t="s">
        <v>1</v>
      </c>
      <c r="C171" s="11" t="s">
        <v>2</v>
      </c>
      <c r="D171" s="11" t="s">
        <v>4</v>
      </c>
      <c r="E171" s="11" t="s">
        <v>5</v>
      </c>
      <c r="F171" s="11" t="s">
        <v>11</v>
      </c>
      <c r="G171" s="11" t="s">
        <v>12</v>
      </c>
      <c r="H171" s="11" t="s">
        <v>13</v>
      </c>
      <c r="I171" s="11" t="s">
        <v>14</v>
      </c>
      <c r="J171" s="11" t="s">
        <v>15</v>
      </c>
      <c r="K171" s="11" t="s">
        <v>16</v>
      </c>
      <c r="L171" s="11" t="s">
        <v>17</v>
      </c>
      <c r="M171" s="11" t="s">
        <v>18</v>
      </c>
      <c r="N171" s="11" t="s">
        <v>19</v>
      </c>
    </row>
    <row r="172" spans="1:14" s="35" customFormat="1" x14ac:dyDescent="0.25">
      <c r="A172" s="23" t="s">
        <v>360</v>
      </c>
      <c r="B172" s="23" t="s">
        <v>361</v>
      </c>
      <c r="C172" s="23" t="s">
        <v>28</v>
      </c>
      <c r="D172" s="24">
        <v>1</v>
      </c>
      <c r="E172" s="23" t="s">
        <v>6</v>
      </c>
      <c r="F172" s="16" t="s">
        <v>56</v>
      </c>
      <c r="G172" s="23" t="s">
        <v>20</v>
      </c>
      <c r="H172" s="23"/>
      <c r="I172" s="23"/>
      <c r="J172" s="23"/>
    </row>
    <row r="173" spans="1:14" s="25" customFormat="1" x14ac:dyDescent="0.25">
      <c r="A173" s="25" t="s">
        <v>26</v>
      </c>
      <c r="B173" s="25" t="s">
        <v>27</v>
      </c>
      <c r="C173" s="25" t="s">
        <v>28</v>
      </c>
      <c r="D173" s="42">
        <v>1.0045944651366727</v>
      </c>
      <c r="E173" s="25" t="s">
        <v>29</v>
      </c>
      <c r="F173" s="13" t="s">
        <v>206</v>
      </c>
      <c r="G173" s="25" t="s">
        <v>21</v>
      </c>
      <c r="I173" s="13"/>
      <c r="J173" s="23" t="s">
        <v>238</v>
      </c>
    </row>
    <row r="174" spans="1:14" x14ac:dyDescent="0.25">
      <c r="A174" s="23" t="s">
        <v>239</v>
      </c>
      <c r="B174" s="23" t="s">
        <v>32</v>
      </c>
      <c r="C174" s="23" t="s">
        <v>25</v>
      </c>
      <c r="D174" s="42">
        <v>2.111567984045235</v>
      </c>
      <c r="E174" s="23" t="s">
        <v>33</v>
      </c>
      <c r="F174" s="13" t="s">
        <v>206</v>
      </c>
      <c r="G174" s="23" t="s">
        <v>21</v>
      </c>
      <c r="I174" s="13"/>
      <c r="J174" s="23" t="s">
        <v>238</v>
      </c>
    </row>
    <row r="175" spans="1:14" x14ac:dyDescent="0.25">
      <c r="A175" s="23" t="s">
        <v>240</v>
      </c>
      <c r="B175" s="23" t="s">
        <v>241</v>
      </c>
      <c r="C175" s="23" t="s">
        <v>25</v>
      </c>
      <c r="D175" s="42">
        <v>0.15996727151857842</v>
      </c>
      <c r="E175" s="23" t="s">
        <v>33</v>
      </c>
      <c r="F175" s="13" t="s">
        <v>206</v>
      </c>
      <c r="G175" s="23" t="s">
        <v>21</v>
      </c>
      <c r="I175" s="13"/>
      <c r="J175" s="23" t="s">
        <v>238</v>
      </c>
    </row>
    <row r="176" spans="1:14" x14ac:dyDescent="0.25">
      <c r="A176" s="23" t="s">
        <v>242</v>
      </c>
      <c r="B176" s="23" t="s">
        <v>243</v>
      </c>
      <c r="C176" s="23" t="s">
        <v>25</v>
      </c>
      <c r="D176" s="42">
        <v>4.4790836025201973E-2</v>
      </c>
      <c r="E176" s="23" t="s">
        <v>33</v>
      </c>
      <c r="F176" s="13" t="s">
        <v>206</v>
      </c>
      <c r="G176" s="23" t="s">
        <v>21</v>
      </c>
      <c r="I176" s="13"/>
      <c r="J176" s="23" t="s">
        <v>238</v>
      </c>
    </row>
    <row r="177" spans="1:23" x14ac:dyDescent="0.25">
      <c r="A177" s="23" t="s">
        <v>242</v>
      </c>
      <c r="B177" s="23" t="s">
        <v>243</v>
      </c>
      <c r="C177" s="23" t="s">
        <v>25</v>
      </c>
      <c r="D177" s="42">
        <v>8.9581672050403922E-3</v>
      </c>
      <c r="E177" s="23" t="s">
        <v>33</v>
      </c>
      <c r="F177" s="13" t="s">
        <v>206</v>
      </c>
      <c r="G177" s="23" t="s">
        <v>21</v>
      </c>
      <c r="I177" s="13"/>
      <c r="J177" s="23" t="s">
        <v>238</v>
      </c>
    </row>
    <row r="178" spans="1:23" x14ac:dyDescent="0.25">
      <c r="A178" s="23" t="s">
        <v>244</v>
      </c>
      <c r="B178" s="23" t="s">
        <v>241</v>
      </c>
      <c r="C178" s="23" t="s">
        <v>25</v>
      </c>
      <c r="D178" s="42">
        <v>0.16636596237932158</v>
      </c>
      <c r="E178" s="23" t="s">
        <v>33</v>
      </c>
      <c r="F178" s="13" t="s">
        <v>206</v>
      </c>
      <c r="G178" s="23" t="s">
        <v>21</v>
      </c>
      <c r="I178" s="13"/>
      <c r="J178" s="23" t="s">
        <v>238</v>
      </c>
    </row>
    <row r="179" spans="1:23" x14ac:dyDescent="0.25">
      <c r="A179" s="23" t="s">
        <v>245</v>
      </c>
      <c r="B179" s="23" t="s">
        <v>246</v>
      </c>
      <c r="C179" s="23" t="s">
        <v>25</v>
      </c>
      <c r="D179" s="42">
        <v>2.751437070119549</v>
      </c>
      <c r="E179" s="23" t="s">
        <v>33</v>
      </c>
      <c r="F179" s="13" t="s">
        <v>206</v>
      </c>
      <c r="G179" s="23" t="s">
        <v>21</v>
      </c>
      <c r="I179" s="13"/>
      <c r="J179" s="23" t="s">
        <v>238</v>
      </c>
    </row>
    <row r="180" spans="1:23" x14ac:dyDescent="0.25">
      <c r="A180" s="23" t="s">
        <v>247</v>
      </c>
      <c r="B180" s="23" t="s">
        <v>160</v>
      </c>
      <c r="C180" s="23" t="s">
        <v>25</v>
      </c>
      <c r="D180" s="43">
        <v>3.0073847045492742E-5</v>
      </c>
      <c r="E180" s="23" t="s">
        <v>6</v>
      </c>
      <c r="F180" s="13" t="s">
        <v>206</v>
      </c>
      <c r="G180" s="23" t="s">
        <v>21</v>
      </c>
      <c r="I180" s="13"/>
      <c r="J180" s="23" t="s">
        <v>238</v>
      </c>
    </row>
    <row r="181" spans="1:23" x14ac:dyDescent="0.25">
      <c r="A181" s="18" t="s">
        <v>248</v>
      </c>
      <c r="B181" s="25" t="s">
        <v>249</v>
      </c>
      <c r="C181" s="25" t="s">
        <v>25</v>
      </c>
      <c r="D181" s="43">
        <v>5.5028741402390988E-6</v>
      </c>
      <c r="E181" s="25" t="s">
        <v>6</v>
      </c>
      <c r="F181" s="13" t="s">
        <v>206</v>
      </c>
      <c r="G181" s="25" t="s">
        <v>21</v>
      </c>
      <c r="H181" s="18"/>
      <c r="I181" s="13"/>
      <c r="J181" s="23" t="s">
        <v>238</v>
      </c>
    </row>
    <row r="182" spans="1:23" s="36" customFormat="1" x14ac:dyDescent="0.25">
      <c r="A182" s="23" t="s">
        <v>250</v>
      </c>
      <c r="B182" s="23" t="s">
        <v>251</v>
      </c>
      <c r="C182" s="23" t="s">
        <v>25</v>
      </c>
      <c r="D182" s="44">
        <v>7.6784290328917647E-5</v>
      </c>
      <c r="E182" s="23" t="s">
        <v>6</v>
      </c>
      <c r="F182" s="13" t="s">
        <v>206</v>
      </c>
      <c r="G182" s="23" t="s">
        <v>21</v>
      </c>
      <c r="H182" s="23"/>
      <c r="I182" s="13"/>
      <c r="J182" s="23" t="s">
        <v>238</v>
      </c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 spans="1:23" x14ac:dyDescent="0.25">
      <c r="A183" s="23" t="s">
        <v>41</v>
      </c>
      <c r="B183" s="23" t="s">
        <v>42</v>
      </c>
      <c r="C183" s="23" t="s">
        <v>25</v>
      </c>
      <c r="D183" s="44">
        <v>1.7276465324006472E-2</v>
      </c>
      <c r="E183" s="23" t="s">
        <v>6</v>
      </c>
      <c r="F183" s="13" t="s">
        <v>206</v>
      </c>
      <c r="G183" s="23" t="s">
        <v>21</v>
      </c>
      <c r="I183" s="13"/>
      <c r="J183" s="23" t="s">
        <v>238</v>
      </c>
      <c r="K183" s="35"/>
    </row>
    <row r="184" spans="1:23" x14ac:dyDescent="0.25">
      <c r="A184" s="23" t="s">
        <v>252</v>
      </c>
      <c r="B184" s="23" t="s">
        <v>253</v>
      </c>
      <c r="C184" s="23" t="s">
        <v>25</v>
      </c>
      <c r="D184" s="44">
        <v>5.5028741402390986E-3</v>
      </c>
      <c r="E184" s="23" t="s">
        <v>6</v>
      </c>
      <c r="F184" s="13" t="s">
        <v>206</v>
      </c>
      <c r="G184" s="23" t="s">
        <v>21</v>
      </c>
      <c r="I184" s="13"/>
      <c r="J184" s="23" t="s">
        <v>238</v>
      </c>
    </row>
    <row r="185" spans="1:23" x14ac:dyDescent="0.25">
      <c r="A185" s="23" t="s">
        <v>254</v>
      </c>
      <c r="B185" s="23" t="s">
        <v>255</v>
      </c>
      <c r="C185" s="23" t="s">
        <v>25</v>
      </c>
      <c r="D185" s="44">
        <v>2.30352870986753E-5</v>
      </c>
      <c r="E185" s="23" t="s">
        <v>50</v>
      </c>
      <c r="F185" s="13" t="s">
        <v>206</v>
      </c>
      <c r="G185" s="23" t="s">
        <v>21</v>
      </c>
      <c r="I185" s="13"/>
      <c r="J185" s="23" t="s">
        <v>238</v>
      </c>
    </row>
    <row r="186" spans="1:23" x14ac:dyDescent="0.25">
      <c r="A186" s="23" t="s">
        <v>254</v>
      </c>
      <c r="B186" s="23" t="s">
        <v>255</v>
      </c>
      <c r="C186" s="23" t="s">
        <v>25</v>
      </c>
      <c r="D186" s="44">
        <v>7.0385599468174506E-3</v>
      </c>
      <c r="E186" s="23" t="s">
        <v>50</v>
      </c>
      <c r="F186" s="13" t="s">
        <v>206</v>
      </c>
      <c r="G186" s="23" t="s">
        <v>21</v>
      </c>
      <c r="I186" s="13"/>
      <c r="J186" s="23" t="s">
        <v>238</v>
      </c>
    </row>
    <row r="187" spans="1:23" ht="16.5" customHeight="1" x14ac:dyDescent="0.25">
      <c r="A187" s="23" t="s">
        <v>69</v>
      </c>
      <c r="B187" s="23" t="s">
        <v>70</v>
      </c>
      <c r="C187" s="23" t="s">
        <v>28</v>
      </c>
      <c r="D187" s="43">
        <v>7.6784290328917645E-4</v>
      </c>
      <c r="E187" s="23" t="s">
        <v>6</v>
      </c>
      <c r="F187" s="13" t="s">
        <v>206</v>
      </c>
      <c r="G187" s="23" t="s">
        <v>21</v>
      </c>
      <c r="I187" s="13"/>
      <c r="J187" s="23" t="s">
        <v>238</v>
      </c>
    </row>
    <row r="188" spans="1:23" x14ac:dyDescent="0.25">
      <c r="A188" s="23" t="s">
        <v>256</v>
      </c>
      <c r="B188" s="23" t="s">
        <v>257</v>
      </c>
      <c r="C188" s="23" t="s">
        <v>25</v>
      </c>
      <c r="D188" s="43">
        <v>1.0237905377189021E-4</v>
      </c>
      <c r="E188" s="23" t="s">
        <v>6</v>
      </c>
      <c r="F188" s="13" t="s">
        <v>206</v>
      </c>
      <c r="G188" s="23" t="s">
        <v>21</v>
      </c>
      <c r="I188" s="13"/>
      <c r="J188" s="23" t="s">
        <v>238</v>
      </c>
    </row>
    <row r="189" spans="1:23" x14ac:dyDescent="0.25">
      <c r="A189" s="23" t="s">
        <v>90</v>
      </c>
      <c r="B189" s="23" t="s">
        <v>91</v>
      </c>
      <c r="C189" s="23" t="s">
        <v>25</v>
      </c>
      <c r="D189" s="43">
        <v>1.2797381721486275E-2</v>
      </c>
      <c r="E189" s="23" t="s">
        <v>6</v>
      </c>
      <c r="F189" s="13" t="s">
        <v>206</v>
      </c>
      <c r="G189" s="23" t="s">
        <v>21</v>
      </c>
      <c r="I189" s="13"/>
      <c r="J189" s="23" t="s">
        <v>238</v>
      </c>
    </row>
    <row r="190" spans="1:23" x14ac:dyDescent="0.25">
      <c r="A190" s="23" t="s">
        <v>258</v>
      </c>
      <c r="B190" s="23" t="s">
        <v>259</v>
      </c>
      <c r="C190" s="23" t="s">
        <v>25</v>
      </c>
      <c r="D190" s="43">
        <v>3.3913061561938627E-3</v>
      </c>
      <c r="E190" s="23" t="s">
        <v>6</v>
      </c>
      <c r="F190" s="13" t="s">
        <v>206</v>
      </c>
      <c r="G190" s="23" t="s">
        <v>21</v>
      </c>
      <c r="I190" s="13"/>
      <c r="J190" s="23" t="s">
        <v>238</v>
      </c>
    </row>
    <row r="191" spans="1:23" x14ac:dyDescent="0.25">
      <c r="A191" s="23" t="s">
        <v>260</v>
      </c>
      <c r="B191" s="23" t="s">
        <v>261</v>
      </c>
      <c r="C191" s="23" t="s">
        <v>25</v>
      </c>
      <c r="D191" s="43">
        <v>1.5356858065783529E-4</v>
      </c>
      <c r="E191" s="23" t="s">
        <v>6</v>
      </c>
      <c r="F191" s="13" t="s">
        <v>206</v>
      </c>
      <c r="G191" s="23" t="s">
        <v>21</v>
      </c>
      <c r="I191" s="13"/>
      <c r="J191" s="23" t="s">
        <v>238</v>
      </c>
    </row>
    <row r="192" spans="1:23" x14ac:dyDescent="0.25">
      <c r="A192" s="23" t="s">
        <v>66</v>
      </c>
      <c r="B192" s="23" t="s">
        <v>67</v>
      </c>
      <c r="C192" s="23" t="s">
        <v>25</v>
      </c>
      <c r="D192" s="43">
        <v>9.5980362911147056E-4</v>
      </c>
      <c r="E192" s="23" t="s">
        <v>6</v>
      </c>
      <c r="F192" s="13" t="s">
        <v>206</v>
      </c>
      <c r="G192" s="23" t="s">
        <v>21</v>
      </c>
      <c r="I192" s="13"/>
      <c r="J192" s="23" t="s">
        <v>238</v>
      </c>
    </row>
    <row r="193" spans="1:23" x14ac:dyDescent="0.25">
      <c r="A193" s="23" t="s">
        <v>262</v>
      </c>
      <c r="B193" s="23" t="s">
        <v>263</v>
      </c>
      <c r="C193" s="23" t="s">
        <v>25</v>
      </c>
      <c r="D193" s="43">
        <v>8.3182981189660783E-3</v>
      </c>
      <c r="E193" s="23" t="s">
        <v>6</v>
      </c>
      <c r="F193" s="13" t="s">
        <v>206</v>
      </c>
      <c r="G193" s="23" t="s">
        <v>21</v>
      </c>
      <c r="I193" s="13"/>
      <c r="J193" s="23" t="s">
        <v>238</v>
      </c>
    </row>
    <row r="194" spans="1:23" s="35" customFormat="1" x14ac:dyDescent="0.25">
      <c r="A194" s="23" t="s">
        <v>264</v>
      </c>
      <c r="B194" s="23" t="s">
        <v>265</v>
      </c>
      <c r="C194" s="23" t="s">
        <v>28</v>
      </c>
      <c r="D194" s="43">
        <v>6.398690860743138E-5</v>
      </c>
      <c r="E194" s="23" t="s">
        <v>6</v>
      </c>
      <c r="F194" s="13" t="s">
        <v>206</v>
      </c>
      <c r="G194" s="23" t="s">
        <v>21</v>
      </c>
      <c r="H194" s="23"/>
      <c r="I194" s="13"/>
      <c r="J194" s="23" t="s">
        <v>238</v>
      </c>
    </row>
    <row r="195" spans="1:23" x14ac:dyDescent="0.25">
      <c r="A195" s="23" t="s">
        <v>266</v>
      </c>
      <c r="B195" s="23" t="s">
        <v>267</v>
      </c>
      <c r="C195" s="23" t="s">
        <v>25</v>
      </c>
      <c r="D195" s="43">
        <v>2.4954894356898237E-3</v>
      </c>
      <c r="E195" s="23" t="s">
        <v>6</v>
      </c>
      <c r="F195" s="13" t="s">
        <v>206</v>
      </c>
      <c r="G195" s="23" t="s">
        <v>21</v>
      </c>
      <c r="I195" s="13"/>
      <c r="J195" s="23" t="s">
        <v>238</v>
      </c>
    </row>
    <row r="196" spans="1:23" x14ac:dyDescent="0.25">
      <c r="A196" s="23" t="s">
        <v>268</v>
      </c>
      <c r="B196" s="23" t="s">
        <v>269</v>
      </c>
      <c r="C196" s="23" t="s">
        <v>28</v>
      </c>
      <c r="D196" s="43">
        <v>6.3986908607431381E-6</v>
      </c>
      <c r="E196" s="23" t="s">
        <v>6</v>
      </c>
      <c r="F196" s="13" t="s">
        <v>206</v>
      </c>
      <c r="G196" s="23" t="s">
        <v>21</v>
      </c>
      <c r="I196" s="13"/>
      <c r="J196" s="23" t="s">
        <v>238</v>
      </c>
    </row>
    <row r="197" spans="1:23" ht="14.1" customHeight="1" x14ac:dyDescent="0.25">
      <c r="A197" s="23" t="s">
        <v>270</v>
      </c>
      <c r="B197" s="23" t="s">
        <v>271</v>
      </c>
      <c r="C197" s="23" t="s">
        <v>25</v>
      </c>
      <c r="D197" s="43">
        <v>3.5832668820161569E-2</v>
      </c>
      <c r="E197" s="23" t="s">
        <v>6</v>
      </c>
      <c r="F197" s="13" t="s">
        <v>206</v>
      </c>
      <c r="G197" s="23" t="s">
        <v>21</v>
      </c>
      <c r="I197" s="13"/>
      <c r="J197" s="23" t="s">
        <v>238</v>
      </c>
    </row>
    <row r="198" spans="1:23" x14ac:dyDescent="0.25">
      <c r="A198" s="23" t="s">
        <v>272</v>
      </c>
      <c r="B198" s="23" t="s">
        <v>273</v>
      </c>
      <c r="C198" s="23" t="s">
        <v>28</v>
      </c>
      <c r="D198" s="43">
        <v>1.2157512635411965E-4</v>
      </c>
      <c r="E198" s="23" t="s">
        <v>6</v>
      </c>
      <c r="F198" s="13" t="s">
        <v>206</v>
      </c>
      <c r="G198" s="23" t="s">
        <v>21</v>
      </c>
      <c r="I198" s="13"/>
      <c r="J198" s="23" t="s">
        <v>238</v>
      </c>
    </row>
    <row r="199" spans="1:23" s="25" customFormat="1" x14ac:dyDescent="0.25">
      <c r="A199" s="25" t="s">
        <v>274</v>
      </c>
      <c r="B199" s="25" t="s">
        <v>275</v>
      </c>
      <c r="C199" s="25" t="s">
        <v>28</v>
      </c>
      <c r="D199" s="43">
        <v>3.1353585217641373E-4</v>
      </c>
      <c r="E199" s="25" t="s">
        <v>6</v>
      </c>
      <c r="F199" s="13" t="s">
        <v>206</v>
      </c>
      <c r="G199" s="25" t="s">
        <v>21</v>
      </c>
      <c r="I199" s="13"/>
      <c r="J199" s="23" t="s">
        <v>238</v>
      </c>
    </row>
    <row r="200" spans="1:23" s="25" customFormat="1" x14ac:dyDescent="0.25">
      <c r="A200" s="25" t="s">
        <v>274</v>
      </c>
      <c r="B200" s="25" t="s">
        <v>275</v>
      </c>
      <c r="C200" s="25" t="s">
        <v>28</v>
      </c>
      <c r="D200" s="43">
        <v>3.0073847045492745E-4</v>
      </c>
      <c r="E200" s="25" t="s">
        <v>6</v>
      </c>
      <c r="F200" s="13" t="s">
        <v>206</v>
      </c>
      <c r="G200" s="25" t="s">
        <v>21</v>
      </c>
      <c r="I200" s="13"/>
      <c r="J200" s="23" t="s">
        <v>238</v>
      </c>
    </row>
    <row r="201" spans="1:23" x14ac:dyDescent="0.25">
      <c r="A201" s="23" t="s">
        <v>96</v>
      </c>
      <c r="B201" s="23" t="s">
        <v>97</v>
      </c>
      <c r="C201" s="23" t="s">
        <v>25</v>
      </c>
      <c r="D201" s="43">
        <v>3.5832668820161569E-2</v>
      </c>
      <c r="E201" s="23" t="s">
        <v>6</v>
      </c>
      <c r="F201" s="13" t="s">
        <v>206</v>
      </c>
      <c r="G201" s="23" t="s">
        <v>21</v>
      </c>
      <c r="I201" s="13"/>
      <c r="J201" s="23" t="s">
        <v>238</v>
      </c>
    </row>
    <row r="202" spans="1:23" x14ac:dyDescent="0.25">
      <c r="A202" s="23" t="s">
        <v>276</v>
      </c>
      <c r="B202" s="23" t="s">
        <v>277</v>
      </c>
      <c r="C202" s="23" t="s">
        <v>28</v>
      </c>
      <c r="D202" s="43">
        <v>2.8154239787269803E-4</v>
      </c>
      <c r="E202" s="23" t="s">
        <v>6</v>
      </c>
      <c r="F202" s="13" t="s">
        <v>206</v>
      </c>
      <c r="G202" s="23" t="s">
        <v>21</v>
      </c>
      <c r="I202" s="13"/>
      <c r="J202" s="23" t="s">
        <v>238</v>
      </c>
    </row>
    <row r="203" spans="1:23" x14ac:dyDescent="0.25">
      <c r="A203" s="23" t="s">
        <v>278</v>
      </c>
      <c r="B203" s="23" t="s">
        <v>279</v>
      </c>
      <c r="C203" s="23" t="s">
        <v>25</v>
      </c>
      <c r="D203" s="43">
        <v>6.398690860743138E-5</v>
      </c>
      <c r="E203" s="23" t="s">
        <v>6</v>
      </c>
      <c r="F203" s="13" t="s">
        <v>206</v>
      </c>
      <c r="G203" s="23" t="s">
        <v>21</v>
      </c>
      <c r="I203" s="13"/>
      <c r="J203" s="23" t="s">
        <v>238</v>
      </c>
    </row>
    <row r="204" spans="1:23" x14ac:dyDescent="0.25">
      <c r="A204" s="23" t="s">
        <v>280</v>
      </c>
      <c r="B204" s="23" t="s">
        <v>281</v>
      </c>
      <c r="C204" s="23" t="s">
        <v>25</v>
      </c>
      <c r="D204" s="43">
        <v>7.6784290328917645E-3</v>
      </c>
      <c r="E204" s="23" t="s">
        <v>6</v>
      </c>
      <c r="F204" s="13" t="s">
        <v>206</v>
      </c>
      <c r="G204" s="23" t="s">
        <v>21</v>
      </c>
      <c r="I204" s="13"/>
      <c r="J204" s="23" t="s">
        <v>238</v>
      </c>
    </row>
    <row r="205" spans="1:23" x14ac:dyDescent="0.25">
      <c r="A205" s="23" t="s">
        <v>88</v>
      </c>
      <c r="B205" s="23" t="s">
        <v>89</v>
      </c>
      <c r="C205" s="23" t="s">
        <v>25</v>
      </c>
      <c r="D205" s="43">
        <v>7.6784290328917648E-2</v>
      </c>
      <c r="E205" s="23" t="s">
        <v>6</v>
      </c>
      <c r="F205" s="13" t="s">
        <v>206</v>
      </c>
      <c r="G205" s="23" t="s">
        <v>21</v>
      </c>
      <c r="I205" s="13"/>
      <c r="J205" s="23" t="s">
        <v>238</v>
      </c>
    </row>
    <row r="206" spans="1:23" x14ac:dyDescent="0.25">
      <c r="A206" s="23" t="s">
        <v>282</v>
      </c>
      <c r="B206" s="23" t="s">
        <v>190</v>
      </c>
      <c r="C206" s="23" t="s">
        <v>28</v>
      </c>
      <c r="D206" s="43">
        <v>4.2231359680904701</v>
      </c>
      <c r="E206" s="23" t="s">
        <v>6</v>
      </c>
      <c r="F206" s="13" t="s">
        <v>206</v>
      </c>
      <c r="G206" s="23" t="s">
        <v>21</v>
      </c>
      <c r="I206" s="13"/>
      <c r="J206" s="23" t="s">
        <v>238</v>
      </c>
    </row>
    <row r="207" spans="1:23" s="36" customFormat="1" x14ac:dyDescent="0.25">
      <c r="A207" s="23" t="s">
        <v>150</v>
      </c>
      <c r="B207" s="23" t="s">
        <v>151</v>
      </c>
      <c r="C207" s="23" t="s">
        <v>25</v>
      </c>
      <c r="D207" s="43">
        <v>4.4150966939127646E-5</v>
      </c>
      <c r="E207" s="23" t="s">
        <v>6</v>
      </c>
      <c r="F207" s="13" t="s">
        <v>206</v>
      </c>
      <c r="G207" s="23" t="s">
        <v>21</v>
      </c>
      <c r="H207" s="23"/>
      <c r="I207" s="13"/>
      <c r="J207" s="23" t="s">
        <v>238</v>
      </c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 spans="1:23" x14ac:dyDescent="0.25">
      <c r="A208" s="23" t="s">
        <v>283</v>
      </c>
      <c r="B208" s="23" t="s">
        <v>284</v>
      </c>
      <c r="C208" s="23" t="s">
        <v>25</v>
      </c>
      <c r="D208" s="43">
        <v>5.6948348660613925E-4</v>
      </c>
      <c r="E208" s="23" t="s">
        <v>6</v>
      </c>
      <c r="F208" s="13" t="s">
        <v>206</v>
      </c>
      <c r="G208" s="23" t="s">
        <v>21</v>
      </c>
      <c r="I208" s="13"/>
      <c r="J208" s="23" t="s">
        <v>238</v>
      </c>
    </row>
    <row r="209" spans="1:44" x14ac:dyDescent="0.25">
      <c r="A209" s="23" t="s">
        <v>285</v>
      </c>
      <c r="B209" s="23" t="s">
        <v>286</v>
      </c>
      <c r="C209" s="23" t="s">
        <v>25</v>
      </c>
      <c r="D209" s="44">
        <v>-5.3109134144168039E-5</v>
      </c>
      <c r="E209" s="23" t="s">
        <v>6</v>
      </c>
      <c r="F209" s="13" t="s">
        <v>206</v>
      </c>
      <c r="G209" s="23" t="s">
        <v>21</v>
      </c>
      <c r="I209" s="13"/>
      <c r="J209" s="23" t="s">
        <v>238</v>
      </c>
    </row>
    <row r="210" spans="1:44" x14ac:dyDescent="0.25">
      <c r="A210" s="23" t="s">
        <v>287</v>
      </c>
      <c r="B210" s="23" t="s">
        <v>288</v>
      </c>
      <c r="C210" s="23" t="s">
        <v>25</v>
      </c>
      <c r="D210" s="43">
        <v>-1.0877774463263334E-4</v>
      </c>
      <c r="E210" s="23" t="s">
        <v>6</v>
      </c>
      <c r="F210" s="13" t="s">
        <v>206</v>
      </c>
      <c r="G210" s="23" t="s">
        <v>21</v>
      </c>
      <c r="I210" s="13"/>
      <c r="J210" s="23" t="s">
        <v>238</v>
      </c>
    </row>
    <row r="211" spans="1:44" s="41" customFormat="1" x14ac:dyDescent="0.25">
      <c r="A211" s="39" t="s">
        <v>250</v>
      </c>
      <c r="B211" s="39" t="s">
        <v>251</v>
      </c>
      <c r="C211" s="39" t="s">
        <v>25</v>
      </c>
      <c r="D211" s="44">
        <v>-6.0343893289979675E-2</v>
      </c>
      <c r="E211" s="39" t="s">
        <v>6</v>
      </c>
      <c r="F211" s="20" t="s">
        <v>206</v>
      </c>
      <c r="G211" s="39" t="s">
        <v>21</v>
      </c>
      <c r="H211" s="39"/>
      <c r="I211" s="20"/>
      <c r="J211" s="39" t="s">
        <v>238</v>
      </c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</row>
    <row r="212" spans="1:44" s="25" customFormat="1" x14ac:dyDescent="0.25">
      <c r="A212" s="25" t="s">
        <v>289</v>
      </c>
      <c r="D212" s="43">
        <v>0.12797381721486276</v>
      </c>
      <c r="E212" s="25" t="s">
        <v>6</v>
      </c>
      <c r="F212" s="13" t="s">
        <v>46</v>
      </c>
      <c r="G212" s="25" t="s">
        <v>47</v>
      </c>
      <c r="H212" s="25" t="s">
        <v>201</v>
      </c>
      <c r="I212" s="13"/>
      <c r="J212" s="23" t="s">
        <v>238</v>
      </c>
    </row>
    <row r="213" spans="1:44" s="25" customFormat="1" x14ac:dyDescent="0.25">
      <c r="A213" s="25" t="s">
        <v>290</v>
      </c>
      <c r="D213" s="43">
        <v>3.4552930648012943E-4</v>
      </c>
      <c r="E213" s="25" t="s">
        <v>6</v>
      </c>
      <c r="F213" s="13" t="s">
        <v>46</v>
      </c>
      <c r="G213" s="25" t="s">
        <v>47</v>
      </c>
      <c r="H213" s="25" t="s">
        <v>201</v>
      </c>
      <c r="I213" s="13"/>
      <c r="J213" s="23" t="s">
        <v>238</v>
      </c>
    </row>
    <row r="214" spans="1:44" s="25" customFormat="1" x14ac:dyDescent="0.25">
      <c r="A214" s="23" t="s">
        <v>291</v>
      </c>
      <c r="B214" s="23"/>
      <c r="C214" s="23"/>
      <c r="D214" s="43">
        <v>4.0311752422681759E-6</v>
      </c>
      <c r="E214" s="23" t="s">
        <v>6</v>
      </c>
      <c r="F214" s="13" t="s">
        <v>46</v>
      </c>
      <c r="G214" s="23" t="s">
        <v>47</v>
      </c>
      <c r="H214" s="23" t="s">
        <v>201</v>
      </c>
      <c r="I214" s="13"/>
      <c r="J214" s="23" t="s">
        <v>238</v>
      </c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</row>
    <row r="215" spans="1:44" s="25" customFormat="1" x14ac:dyDescent="0.25">
      <c r="A215" s="23" t="s">
        <v>292</v>
      </c>
      <c r="B215" s="23"/>
      <c r="C215" s="23"/>
      <c r="D215" s="43">
        <v>8.3182981189660781E-6</v>
      </c>
      <c r="E215" s="23" t="s">
        <v>6</v>
      </c>
      <c r="F215" s="13" t="s">
        <v>46</v>
      </c>
      <c r="G215" s="23" t="s">
        <v>47</v>
      </c>
      <c r="H215" s="23" t="s">
        <v>201</v>
      </c>
      <c r="I215" s="13"/>
      <c r="J215" s="23" t="s">
        <v>238</v>
      </c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</row>
    <row r="216" spans="1:44" s="25" customFormat="1" x14ac:dyDescent="0.25">
      <c r="A216" s="23" t="s">
        <v>166</v>
      </c>
      <c r="B216" s="23"/>
      <c r="C216" s="23"/>
      <c r="D216" s="43">
        <v>8.3182981189660788E-5</v>
      </c>
      <c r="E216" s="23" t="s">
        <v>6</v>
      </c>
      <c r="F216" s="13" t="s">
        <v>46</v>
      </c>
      <c r="G216" s="23" t="s">
        <v>47</v>
      </c>
      <c r="H216" s="23" t="s">
        <v>201</v>
      </c>
      <c r="I216" s="13"/>
      <c r="J216" s="23" t="s">
        <v>238</v>
      </c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</row>
    <row r="217" spans="1:44" s="25" customFormat="1" x14ac:dyDescent="0.25">
      <c r="A217" s="23" t="s">
        <v>166</v>
      </c>
      <c r="B217" s="23"/>
      <c r="C217" s="23"/>
      <c r="D217" s="43">
        <v>1.0877774463263335E-5</v>
      </c>
      <c r="E217" s="23" t="s">
        <v>6</v>
      </c>
      <c r="F217" s="13" t="s">
        <v>46</v>
      </c>
      <c r="G217" s="23" t="s">
        <v>47</v>
      </c>
      <c r="H217" s="23" t="s">
        <v>201</v>
      </c>
      <c r="I217" s="13"/>
      <c r="J217" s="23" t="s">
        <v>238</v>
      </c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</row>
    <row r="218" spans="1:44" s="25" customFormat="1" x14ac:dyDescent="0.25">
      <c r="A218" s="23" t="s">
        <v>293</v>
      </c>
      <c r="B218" s="23"/>
      <c r="C218" s="23"/>
      <c r="D218" s="43">
        <v>1.2797381721486275E-7</v>
      </c>
      <c r="E218" s="23" t="s">
        <v>6</v>
      </c>
      <c r="F218" s="13" t="s">
        <v>46</v>
      </c>
      <c r="G218" s="23" t="s">
        <v>47</v>
      </c>
      <c r="H218" s="23" t="s">
        <v>201</v>
      </c>
      <c r="I218" s="13"/>
      <c r="J218" s="23" t="s">
        <v>238</v>
      </c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</row>
    <row r="219" spans="1:44" s="25" customFormat="1" x14ac:dyDescent="0.25">
      <c r="A219" s="23" t="s">
        <v>294</v>
      </c>
      <c r="B219" s="23"/>
      <c r="C219" s="23"/>
      <c r="D219" s="43">
        <v>5.6948348660613923E-6</v>
      </c>
      <c r="E219" s="23" t="s">
        <v>6</v>
      </c>
      <c r="F219" s="13" t="s">
        <v>46</v>
      </c>
      <c r="G219" s="23" t="s">
        <v>47</v>
      </c>
      <c r="H219" s="23" t="s">
        <v>201</v>
      </c>
      <c r="I219" s="13"/>
      <c r="J219" s="23" t="s">
        <v>238</v>
      </c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</row>
    <row r="220" spans="1:44" s="25" customFormat="1" x14ac:dyDescent="0.25">
      <c r="A220" s="23" t="s">
        <v>118</v>
      </c>
      <c r="B220" s="23"/>
      <c r="C220" s="23"/>
      <c r="D220" s="43">
        <v>1.215751263541196E-3</v>
      </c>
      <c r="E220" s="23" t="s">
        <v>6</v>
      </c>
      <c r="F220" s="13" t="s">
        <v>46</v>
      </c>
      <c r="G220" s="23" t="s">
        <v>47</v>
      </c>
      <c r="H220" s="23" t="s">
        <v>201</v>
      </c>
      <c r="I220" s="13"/>
      <c r="J220" s="23" t="s">
        <v>238</v>
      </c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</row>
    <row r="221" spans="1:44" s="25" customFormat="1" x14ac:dyDescent="0.25">
      <c r="A221" s="23" t="s">
        <v>165</v>
      </c>
      <c r="B221" s="23"/>
      <c r="C221" s="23"/>
      <c r="D221" s="43">
        <v>1.4077119893634901E-2</v>
      </c>
      <c r="E221" s="23" t="s">
        <v>6</v>
      </c>
      <c r="F221" s="13" t="s">
        <v>46</v>
      </c>
      <c r="G221" s="23" t="s">
        <v>47</v>
      </c>
      <c r="H221" s="23" t="s">
        <v>201</v>
      </c>
      <c r="I221" s="13"/>
      <c r="J221" s="23" t="s">
        <v>238</v>
      </c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</row>
    <row r="222" spans="1:44" s="25" customFormat="1" x14ac:dyDescent="0.25">
      <c r="A222" s="23" t="s">
        <v>114</v>
      </c>
      <c r="B222" s="23"/>
      <c r="C222" s="23"/>
      <c r="D222" s="43">
        <v>9.5980362911147056E-4</v>
      </c>
      <c r="E222" s="23" t="s">
        <v>6</v>
      </c>
      <c r="F222" s="13" t="s">
        <v>46</v>
      </c>
      <c r="G222" s="23" t="s">
        <v>47</v>
      </c>
      <c r="H222" s="23" t="s">
        <v>201</v>
      </c>
      <c r="I222" s="13"/>
      <c r="J222" s="23" t="s">
        <v>238</v>
      </c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</row>
    <row r="223" spans="1:44" s="25" customFormat="1" x14ac:dyDescent="0.25">
      <c r="A223" s="23" t="s">
        <v>295</v>
      </c>
      <c r="B223" s="23"/>
      <c r="C223" s="23"/>
      <c r="D223" s="15">
        <v>2.1755548926526667E-6</v>
      </c>
      <c r="E223" s="23" t="s">
        <v>6</v>
      </c>
      <c r="F223" s="13" t="s">
        <v>46</v>
      </c>
      <c r="G223" s="23" t="s">
        <v>47</v>
      </c>
      <c r="H223" s="23" t="s">
        <v>201</v>
      </c>
      <c r="I223" s="13"/>
      <c r="J223" s="23" t="s">
        <v>238</v>
      </c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</row>
    <row r="224" spans="1:44" s="25" customFormat="1" x14ac:dyDescent="0.25">
      <c r="A224" s="23" t="s">
        <v>296</v>
      </c>
      <c r="B224" s="23"/>
      <c r="C224" s="23"/>
      <c r="D224" s="15">
        <v>8.3182981189660788E-10</v>
      </c>
      <c r="E224" s="23" t="s">
        <v>6</v>
      </c>
      <c r="F224" s="13" t="s">
        <v>46</v>
      </c>
      <c r="G224" s="23" t="s">
        <v>47</v>
      </c>
      <c r="H224" s="23" t="s">
        <v>201</v>
      </c>
      <c r="I224" s="13"/>
      <c r="J224" s="23" t="s">
        <v>238</v>
      </c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</row>
    <row r="225" spans="1:44" s="25" customFormat="1" x14ac:dyDescent="0.25">
      <c r="A225" s="23" t="s">
        <v>168</v>
      </c>
      <c r="B225" s="23"/>
      <c r="C225" s="23"/>
      <c r="D225" s="15">
        <v>4.0951621508756082E-7</v>
      </c>
      <c r="E225" s="23" t="s">
        <v>6</v>
      </c>
      <c r="F225" s="13" t="s">
        <v>46</v>
      </c>
      <c r="G225" s="23" t="s">
        <v>47</v>
      </c>
      <c r="H225" s="23" t="s">
        <v>201</v>
      </c>
      <c r="I225" s="13"/>
      <c r="J225" s="23" t="s">
        <v>238</v>
      </c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</row>
    <row r="226" spans="1:44" s="25" customFormat="1" x14ac:dyDescent="0.25">
      <c r="A226" s="23" t="s">
        <v>130</v>
      </c>
      <c r="B226" s="23"/>
      <c r="C226" s="23"/>
      <c r="D226" s="15">
        <v>1.023790537718902E-9</v>
      </c>
      <c r="E226" s="23" t="s">
        <v>6</v>
      </c>
      <c r="F226" s="13" t="s">
        <v>46</v>
      </c>
      <c r="G226" s="23" t="s">
        <v>47</v>
      </c>
      <c r="H226" s="23" t="s">
        <v>201</v>
      </c>
      <c r="I226" s="13"/>
      <c r="J226" s="23" t="s">
        <v>238</v>
      </c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</row>
    <row r="227" spans="1:44" s="25" customFormat="1" x14ac:dyDescent="0.25">
      <c r="A227" s="23" t="s">
        <v>117</v>
      </c>
      <c r="B227" s="23"/>
      <c r="C227" s="23"/>
      <c r="D227" s="15">
        <v>1.535685806578353E-5</v>
      </c>
      <c r="E227" s="23" t="s">
        <v>6</v>
      </c>
      <c r="F227" s="13" t="s">
        <v>46</v>
      </c>
      <c r="G227" s="23" t="s">
        <v>47</v>
      </c>
      <c r="H227" s="23" t="s">
        <v>201</v>
      </c>
      <c r="I227" s="13"/>
      <c r="J227" s="23" t="s">
        <v>238</v>
      </c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</row>
    <row r="228" spans="1:44" x14ac:dyDescent="0.25">
      <c r="A228" s="23" t="s">
        <v>170</v>
      </c>
      <c r="D228" s="15">
        <v>7.6784290328917655E-9</v>
      </c>
      <c r="E228" s="23" t="s">
        <v>6</v>
      </c>
      <c r="F228" s="13" t="s">
        <v>46</v>
      </c>
      <c r="G228" s="23" t="s">
        <v>47</v>
      </c>
      <c r="H228" s="23" t="s">
        <v>201</v>
      </c>
      <c r="I228" s="13"/>
      <c r="J228" s="23" t="s">
        <v>238</v>
      </c>
    </row>
    <row r="229" spans="1:44" x14ac:dyDescent="0.25">
      <c r="A229" s="23" t="s">
        <v>167</v>
      </c>
      <c r="D229" s="15">
        <v>4.3511097853053333E-6</v>
      </c>
      <c r="E229" s="23" t="s">
        <v>6</v>
      </c>
      <c r="F229" s="13" t="s">
        <v>46</v>
      </c>
      <c r="G229" s="23" t="s">
        <v>47</v>
      </c>
      <c r="H229" s="23" t="s">
        <v>201</v>
      </c>
      <c r="I229" s="13"/>
      <c r="J229" s="23" t="s">
        <v>238</v>
      </c>
    </row>
    <row r="230" spans="1:44" x14ac:dyDescent="0.25">
      <c r="A230" s="23" t="s">
        <v>127</v>
      </c>
      <c r="D230" s="15">
        <v>2.175554892652667E-4</v>
      </c>
      <c r="E230" s="23" t="s">
        <v>6</v>
      </c>
      <c r="F230" s="13" t="s">
        <v>46</v>
      </c>
      <c r="G230" s="23" t="s">
        <v>47</v>
      </c>
      <c r="H230" s="23" t="s">
        <v>201</v>
      </c>
      <c r="I230" s="13"/>
      <c r="J230" s="23" t="s">
        <v>238</v>
      </c>
    </row>
    <row r="231" spans="1:44" x14ac:dyDescent="0.25">
      <c r="A231" s="23" t="s">
        <v>129</v>
      </c>
      <c r="D231" s="15">
        <v>1.0237905377189021E-7</v>
      </c>
      <c r="E231" s="23" t="s">
        <v>6</v>
      </c>
      <c r="F231" s="13" t="s">
        <v>46</v>
      </c>
      <c r="G231" s="23" t="s">
        <v>47</v>
      </c>
      <c r="H231" s="23" t="s">
        <v>201</v>
      </c>
      <c r="I231" s="13"/>
      <c r="J231" s="23" t="s">
        <v>238</v>
      </c>
    </row>
    <row r="232" spans="1:44" x14ac:dyDescent="0.25">
      <c r="A232" s="23" t="s">
        <v>297</v>
      </c>
      <c r="D232" s="15">
        <v>4.543070511127628E-9</v>
      </c>
      <c r="E232" s="23" t="s">
        <v>6</v>
      </c>
      <c r="F232" s="13" t="s">
        <v>46</v>
      </c>
      <c r="G232" s="23" t="s">
        <v>47</v>
      </c>
      <c r="H232" s="23" t="s">
        <v>201</v>
      </c>
      <c r="I232" s="13"/>
      <c r="J232" s="23" t="s">
        <v>238</v>
      </c>
    </row>
    <row r="233" spans="1:44" x14ac:dyDescent="0.25">
      <c r="A233" s="23" t="s">
        <v>184</v>
      </c>
      <c r="D233" s="15">
        <v>9.5980362911147061E-11</v>
      </c>
      <c r="E233" s="23" t="s">
        <v>6</v>
      </c>
      <c r="F233" s="13" t="s">
        <v>46</v>
      </c>
      <c r="G233" s="23" t="s">
        <v>47</v>
      </c>
      <c r="H233" s="23" t="s">
        <v>201</v>
      </c>
      <c r="I233" s="13"/>
      <c r="J233" s="23" t="s">
        <v>238</v>
      </c>
    </row>
    <row r="234" spans="1:44" x14ac:dyDescent="0.25">
      <c r="A234" s="23" t="s">
        <v>128</v>
      </c>
      <c r="D234" s="15">
        <v>1.1517643549337649E-4</v>
      </c>
      <c r="E234" s="23" t="s">
        <v>6</v>
      </c>
      <c r="F234" s="13" t="s">
        <v>46</v>
      </c>
      <c r="G234" s="23" t="s">
        <v>47</v>
      </c>
      <c r="H234" s="23" t="s">
        <v>201</v>
      </c>
      <c r="I234" s="13"/>
      <c r="J234" s="23" t="s">
        <v>238</v>
      </c>
    </row>
    <row r="235" spans="1:44" x14ac:dyDescent="0.25">
      <c r="A235" s="23" t="s">
        <v>169</v>
      </c>
      <c r="D235" s="15">
        <v>2.7514370701195492E-8</v>
      </c>
      <c r="E235" s="23" t="s">
        <v>6</v>
      </c>
      <c r="F235" s="13" t="s">
        <v>46</v>
      </c>
      <c r="G235" s="23" t="s">
        <v>47</v>
      </c>
      <c r="H235" s="23" t="s">
        <v>201</v>
      </c>
      <c r="I235" s="13"/>
      <c r="J235" s="23" t="s">
        <v>238</v>
      </c>
    </row>
    <row r="236" spans="1:44" x14ac:dyDescent="0.25">
      <c r="A236" s="23" t="s">
        <v>298</v>
      </c>
      <c r="D236" s="43">
        <v>2.8154239787269808E-5</v>
      </c>
      <c r="E236" s="23" t="s">
        <v>50</v>
      </c>
      <c r="F236" s="13" t="s">
        <v>46</v>
      </c>
      <c r="G236" s="23" t="s">
        <v>47</v>
      </c>
      <c r="H236" s="23" t="s">
        <v>201</v>
      </c>
      <c r="I236" s="13"/>
      <c r="J236" s="23" t="s">
        <v>238</v>
      </c>
    </row>
    <row r="237" spans="1:44" x14ac:dyDescent="0.25">
      <c r="A237" s="23" t="s">
        <v>298</v>
      </c>
      <c r="D237" s="43">
        <v>6.0147694090985498E-3</v>
      </c>
      <c r="E237" s="23" t="s">
        <v>50</v>
      </c>
      <c r="F237" s="13" t="s">
        <v>46</v>
      </c>
      <c r="G237" s="23" t="s">
        <v>47</v>
      </c>
      <c r="H237" s="23" t="s">
        <v>202</v>
      </c>
      <c r="I237" s="13"/>
      <c r="J237" s="23" t="s">
        <v>238</v>
      </c>
    </row>
    <row r="238" spans="1:44" x14ac:dyDescent="0.25">
      <c r="A238" s="23" t="s">
        <v>298</v>
      </c>
      <c r="D238" s="43">
        <v>5.5028741402390987E-5</v>
      </c>
      <c r="E238" s="23" t="s">
        <v>50</v>
      </c>
      <c r="F238" s="13" t="s">
        <v>46</v>
      </c>
      <c r="G238" s="23" t="s">
        <v>47</v>
      </c>
      <c r="H238" s="23" t="s">
        <v>299</v>
      </c>
      <c r="I238" s="13"/>
      <c r="J238" s="23" t="s">
        <v>238</v>
      </c>
    </row>
    <row r="239" spans="1:44" x14ac:dyDescent="0.25">
      <c r="A239" s="23" t="s">
        <v>300</v>
      </c>
      <c r="D239" s="43">
        <v>1.85562034961551E-4</v>
      </c>
      <c r="E239" s="23" t="s">
        <v>50</v>
      </c>
      <c r="F239" s="13" t="s">
        <v>46</v>
      </c>
      <c r="G239" s="23" t="s">
        <v>47</v>
      </c>
      <c r="H239" s="23" t="s">
        <v>301</v>
      </c>
      <c r="I239" s="13"/>
      <c r="J239" s="23" t="s">
        <v>238</v>
      </c>
    </row>
    <row r="240" spans="1:44" x14ac:dyDescent="0.25">
      <c r="A240" s="23" t="s">
        <v>302</v>
      </c>
      <c r="D240" s="43">
        <v>5.0549657799870791E-3</v>
      </c>
      <c r="E240" s="23" t="s">
        <v>50</v>
      </c>
      <c r="F240" s="13" t="s">
        <v>46</v>
      </c>
      <c r="G240" s="23" t="s">
        <v>47</v>
      </c>
      <c r="H240" s="23" t="s">
        <v>110</v>
      </c>
      <c r="I240" s="13"/>
      <c r="J240" s="23" t="s">
        <v>238</v>
      </c>
    </row>
    <row r="241" spans="1:14" x14ac:dyDescent="0.25">
      <c r="A241" s="23" t="s">
        <v>49</v>
      </c>
      <c r="D241" s="43">
        <v>1.6636596237932158E-4</v>
      </c>
      <c r="E241" s="23" t="s">
        <v>50</v>
      </c>
      <c r="F241" s="13" t="s">
        <v>46</v>
      </c>
      <c r="G241" s="23" t="s">
        <v>47</v>
      </c>
      <c r="H241" s="23" t="s">
        <v>48</v>
      </c>
      <c r="I241" s="13"/>
      <c r="J241" s="23" t="s">
        <v>238</v>
      </c>
    </row>
    <row r="242" spans="1:14" s="21" customFormat="1" x14ac:dyDescent="0.25"/>
    <row r="243" spans="1:14" x14ac:dyDescent="0.25">
      <c r="A243" s="11" t="s">
        <v>0</v>
      </c>
      <c r="B243" s="37" t="s">
        <v>329</v>
      </c>
    </row>
    <row r="244" spans="1:14" x14ac:dyDescent="0.25">
      <c r="A244" s="14" t="s">
        <v>1</v>
      </c>
      <c r="B244" s="18" t="s">
        <v>330</v>
      </c>
    </row>
    <row r="245" spans="1:14" x14ac:dyDescent="0.25">
      <c r="A245" s="14" t="s">
        <v>2</v>
      </c>
      <c r="B245" s="13" t="s">
        <v>28</v>
      </c>
    </row>
    <row r="246" spans="1:14" x14ac:dyDescent="0.25">
      <c r="A246" s="14" t="s">
        <v>4</v>
      </c>
      <c r="B246" s="13">
        <v>-1</v>
      </c>
    </row>
    <row r="247" spans="1:14" x14ac:dyDescent="0.25">
      <c r="A247" s="14" t="s">
        <v>5</v>
      </c>
      <c r="B247" s="23" t="s">
        <v>6</v>
      </c>
    </row>
    <row r="248" spans="1:14" x14ac:dyDescent="0.25">
      <c r="A248" s="14" t="s">
        <v>7</v>
      </c>
      <c r="B248" s="23" t="s">
        <v>8</v>
      </c>
    </row>
    <row r="249" spans="1:14" x14ac:dyDescent="0.25">
      <c r="A249" s="14" t="s">
        <v>9</v>
      </c>
    </row>
    <row r="250" spans="1:14" s="13" customFormat="1" x14ac:dyDescent="0.25">
      <c r="A250" s="11" t="s">
        <v>10</v>
      </c>
      <c r="B250" s="11" t="s">
        <v>1</v>
      </c>
      <c r="C250" s="11" t="s">
        <v>2</v>
      </c>
      <c r="D250" s="11" t="s">
        <v>4</v>
      </c>
      <c r="E250" s="11" t="s">
        <v>5</v>
      </c>
      <c r="F250" s="11" t="s">
        <v>11</v>
      </c>
      <c r="G250" s="11" t="s">
        <v>12</v>
      </c>
      <c r="H250" s="11" t="s">
        <v>13</v>
      </c>
      <c r="I250" s="11" t="s">
        <v>14</v>
      </c>
      <c r="J250" s="11" t="s">
        <v>15</v>
      </c>
      <c r="K250" s="11" t="s">
        <v>16</v>
      </c>
      <c r="L250" s="11" t="s">
        <v>17</v>
      </c>
      <c r="M250" s="11" t="s">
        <v>18</v>
      </c>
      <c r="N250" s="11" t="s">
        <v>19</v>
      </c>
    </row>
    <row r="251" spans="1:14" x14ac:dyDescent="0.25">
      <c r="A251" s="23" t="s">
        <v>329</v>
      </c>
      <c r="B251" s="18" t="s">
        <v>330</v>
      </c>
      <c r="C251" s="23" t="s">
        <v>28</v>
      </c>
      <c r="D251" s="24">
        <v>-1</v>
      </c>
      <c r="E251" s="23" t="s">
        <v>6</v>
      </c>
      <c r="F251" s="16" t="s">
        <v>56</v>
      </c>
      <c r="G251" s="23" t="s">
        <v>20</v>
      </c>
    </row>
    <row r="252" spans="1:14" x14ac:dyDescent="0.25">
      <c r="A252" s="23" t="s">
        <v>250</v>
      </c>
      <c r="B252" s="23" t="s">
        <v>251</v>
      </c>
      <c r="C252" s="23" t="s">
        <v>25</v>
      </c>
      <c r="D252" s="27">
        <v>2.6923076923076922E-4</v>
      </c>
      <c r="E252" s="23" t="s">
        <v>6</v>
      </c>
      <c r="F252" s="13" t="s">
        <v>206</v>
      </c>
      <c r="G252" s="23" t="s">
        <v>21</v>
      </c>
      <c r="J252" s="23" t="s">
        <v>238</v>
      </c>
    </row>
    <row r="253" spans="1:14" x14ac:dyDescent="0.25">
      <c r="A253" s="23" t="s">
        <v>250</v>
      </c>
      <c r="B253" s="23" t="s">
        <v>251</v>
      </c>
      <c r="C253" s="23" t="s">
        <v>25</v>
      </c>
      <c r="D253" s="27">
        <v>1.8846153846153846E-5</v>
      </c>
      <c r="E253" s="23" t="s">
        <v>6</v>
      </c>
      <c r="F253" s="13" t="s">
        <v>206</v>
      </c>
      <c r="G253" s="23" t="s">
        <v>21</v>
      </c>
      <c r="J253" s="23" t="s">
        <v>238</v>
      </c>
    </row>
    <row r="254" spans="1:14" x14ac:dyDescent="0.25">
      <c r="A254" s="23" t="s">
        <v>92</v>
      </c>
      <c r="B254" s="23" t="s">
        <v>93</v>
      </c>
      <c r="C254" s="23" t="s">
        <v>25</v>
      </c>
      <c r="D254" s="27">
        <v>2.7692307692307688E-6</v>
      </c>
      <c r="E254" s="23" t="s">
        <v>6</v>
      </c>
      <c r="F254" s="13" t="s">
        <v>206</v>
      </c>
      <c r="G254" s="23" t="s">
        <v>21</v>
      </c>
      <c r="J254" s="23" t="s">
        <v>238</v>
      </c>
    </row>
    <row r="255" spans="1:14" x14ac:dyDescent="0.25">
      <c r="A255" s="23" t="s">
        <v>90</v>
      </c>
      <c r="B255" s="23" t="s">
        <v>91</v>
      </c>
      <c r="C255" s="23" t="s">
        <v>25</v>
      </c>
      <c r="D255" s="27">
        <v>2.6538461538461535E-8</v>
      </c>
      <c r="E255" s="23" t="s">
        <v>6</v>
      </c>
      <c r="F255" s="13" t="s">
        <v>206</v>
      </c>
      <c r="G255" s="23" t="s">
        <v>21</v>
      </c>
      <c r="J255" s="23" t="s">
        <v>238</v>
      </c>
    </row>
    <row r="256" spans="1:14" x14ac:dyDescent="0.25">
      <c r="A256" s="23" t="s">
        <v>258</v>
      </c>
      <c r="B256" s="23" t="s">
        <v>259</v>
      </c>
      <c r="C256" s="23" t="s">
        <v>25</v>
      </c>
      <c r="D256" s="27">
        <v>4.6153846153846151E-5</v>
      </c>
      <c r="E256" s="23" t="s">
        <v>6</v>
      </c>
      <c r="F256" s="13" t="s">
        <v>206</v>
      </c>
      <c r="G256" s="23" t="s">
        <v>21</v>
      </c>
      <c r="J256" s="23" t="s">
        <v>238</v>
      </c>
    </row>
    <row r="257" spans="1:10" x14ac:dyDescent="0.25">
      <c r="A257" s="23" t="s">
        <v>319</v>
      </c>
      <c r="B257" s="23" t="s">
        <v>320</v>
      </c>
      <c r="C257" s="23" t="s">
        <v>28</v>
      </c>
      <c r="D257" s="27">
        <v>4.6153846153846151E-5</v>
      </c>
      <c r="E257" s="23" t="s">
        <v>6</v>
      </c>
      <c r="F257" s="13" t="s">
        <v>206</v>
      </c>
      <c r="G257" s="23" t="s">
        <v>21</v>
      </c>
      <c r="J257" s="23" t="s">
        <v>238</v>
      </c>
    </row>
    <row r="258" spans="1:10" x14ac:dyDescent="0.25">
      <c r="A258" s="23" t="s">
        <v>262</v>
      </c>
      <c r="B258" s="23" t="s">
        <v>263</v>
      </c>
      <c r="C258" s="23" t="s">
        <v>25</v>
      </c>
      <c r="D258" s="27">
        <v>1.4615384615384615E-4</v>
      </c>
      <c r="E258" s="23" t="s">
        <v>6</v>
      </c>
      <c r="F258" s="13" t="s">
        <v>206</v>
      </c>
      <c r="G258" s="23" t="s">
        <v>21</v>
      </c>
      <c r="J258" s="23" t="s">
        <v>238</v>
      </c>
    </row>
    <row r="259" spans="1:10" x14ac:dyDescent="0.25">
      <c r="A259" s="23" t="s">
        <v>96</v>
      </c>
      <c r="B259" s="23" t="s">
        <v>97</v>
      </c>
      <c r="C259" s="23" t="s">
        <v>25</v>
      </c>
      <c r="D259" s="27">
        <v>4.6153846153846147E-4</v>
      </c>
      <c r="E259" s="23" t="s">
        <v>6</v>
      </c>
      <c r="F259" s="13" t="s">
        <v>206</v>
      </c>
      <c r="G259" s="23" t="s">
        <v>21</v>
      </c>
      <c r="J259" s="23" t="s">
        <v>238</v>
      </c>
    </row>
    <row r="260" spans="1:10" x14ac:dyDescent="0.25">
      <c r="A260" s="23" t="s">
        <v>88</v>
      </c>
      <c r="B260" s="23" t="s">
        <v>89</v>
      </c>
      <c r="C260" s="23" t="s">
        <v>25</v>
      </c>
      <c r="D260" s="27">
        <v>6.9230769230769237E-5</v>
      </c>
      <c r="E260" s="23" t="s">
        <v>6</v>
      </c>
      <c r="F260" s="13" t="s">
        <v>206</v>
      </c>
      <c r="G260" s="23" t="s">
        <v>21</v>
      </c>
      <c r="J260" s="23" t="s">
        <v>238</v>
      </c>
    </row>
    <row r="261" spans="1:10" x14ac:dyDescent="0.25">
      <c r="A261" s="23" t="s">
        <v>296</v>
      </c>
      <c r="D261" s="27">
        <v>3.1153846153846153E-6</v>
      </c>
      <c r="E261" s="23" t="s">
        <v>6</v>
      </c>
      <c r="F261" s="13" t="s">
        <v>46</v>
      </c>
      <c r="G261" s="23" t="s">
        <v>47</v>
      </c>
      <c r="H261" s="23" t="s">
        <v>202</v>
      </c>
      <c r="J261" s="23" t="s">
        <v>238</v>
      </c>
    </row>
    <row r="262" spans="1:10" x14ac:dyDescent="0.25">
      <c r="A262" s="23" t="s">
        <v>168</v>
      </c>
      <c r="D262" s="27">
        <v>3.4615384615384617E-6</v>
      </c>
      <c r="E262" s="23" t="s">
        <v>6</v>
      </c>
      <c r="F262" s="13" t="s">
        <v>46</v>
      </c>
      <c r="G262" s="23" t="s">
        <v>47</v>
      </c>
      <c r="H262" s="23" t="s">
        <v>202</v>
      </c>
      <c r="J262" s="23" t="s">
        <v>238</v>
      </c>
    </row>
    <row r="263" spans="1:10" x14ac:dyDescent="0.25">
      <c r="A263" s="23" t="s">
        <v>168</v>
      </c>
      <c r="D263" s="27">
        <v>4.9999999999999998E-8</v>
      </c>
      <c r="E263" s="23" t="s">
        <v>6</v>
      </c>
      <c r="F263" s="13" t="s">
        <v>46</v>
      </c>
      <c r="G263" s="23" t="s">
        <v>47</v>
      </c>
      <c r="H263" s="23" t="s">
        <v>348</v>
      </c>
      <c r="J263" s="23" t="s">
        <v>238</v>
      </c>
    </row>
    <row r="264" spans="1:10" x14ac:dyDescent="0.25">
      <c r="A264" s="23" t="s">
        <v>349</v>
      </c>
      <c r="D264" s="27">
        <v>1.8461538461538461E-5</v>
      </c>
      <c r="E264" s="23" t="s">
        <v>6</v>
      </c>
      <c r="F264" s="13" t="s">
        <v>46</v>
      </c>
      <c r="G264" s="23" t="s">
        <v>47</v>
      </c>
      <c r="H264" s="23" t="s">
        <v>348</v>
      </c>
      <c r="J264" s="23" t="s">
        <v>238</v>
      </c>
    </row>
    <row r="265" spans="1:10" x14ac:dyDescent="0.25">
      <c r="A265" s="23" t="s">
        <v>349</v>
      </c>
      <c r="D265" s="27">
        <v>1.9615384615384613E-5</v>
      </c>
      <c r="E265" s="23" t="s">
        <v>6</v>
      </c>
      <c r="F265" s="13" t="s">
        <v>46</v>
      </c>
      <c r="G265" s="23" t="s">
        <v>47</v>
      </c>
      <c r="H265" s="23" t="s">
        <v>202</v>
      </c>
      <c r="J265" s="23" t="s">
        <v>238</v>
      </c>
    </row>
    <row r="266" spans="1:10" x14ac:dyDescent="0.25">
      <c r="A266" s="23" t="s">
        <v>119</v>
      </c>
      <c r="D266" s="27">
        <v>1.0769230769230768E-4</v>
      </c>
      <c r="E266" s="23" t="s">
        <v>6</v>
      </c>
      <c r="F266" s="13" t="s">
        <v>46</v>
      </c>
      <c r="G266" s="23" t="s">
        <v>47</v>
      </c>
      <c r="H266" s="23" t="s">
        <v>348</v>
      </c>
      <c r="J266" s="23" t="s">
        <v>238</v>
      </c>
    </row>
    <row r="267" spans="1:10" x14ac:dyDescent="0.25">
      <c r="A267" s="23" t="s">
        <v>119</v>
      </c>
      <c r="D267" s="27">
        <v>1.1153846153846153E-4</v>
      </c>
      <c r="E267" s="23" t="s">
        <v>6</v>
      </c>
      <c r="F267" s="13" t="s">
        <v>46</v>
      </c>
      <c r="G267" s="23" t="s">
        <v>47</v>
      </c>
      <c r="H267" s="23" t="s">
        <v>202</v>
      </c>
      <c r="J267" s="23" t="s">
        <v>238</v>
      </c>
    </row>
    <row r="268" spans="1:10" x14ac:dyDescent="0.25">
      <c r="A268" s="23" t="s">
        <v>130</v>
      </c>
      <c r="D268" s="27">
        <v>1.4999999999999999E-7</v>
      </c>
      <c r="E268" s="23" t="s">
        <v>6</v>
      </c>
      <c r="F268" s="13" t="s">
        <v>46</v>
      </c>
      <c r="G268" s="23" t="s">
        <v>47</v>
      </c>
      <c r="H268" s="23" t="s">
        <v>202</v>
      </c>
      <c r="J268" s="23" t="s">
        <v>238</v>
      </c>
    </row>
    <row r="269" spans="1:10" x14ac:dyDescent="0.25">
      <c r="A269" s="23" t="s">
        <v>130</v>
      </c>
      <c r="D269" s="27">
        <v>2.9999999999999999E-7</v>
      </c>
      <c r="E269" s="23" t="s">
        <v>6</v>
      </c>
      <c r="F269" s="13" t="s">
        <v>46</v>
      </c>
      <c r="G269" s="23" t="s">
        <v>47</v>
      </c>
      <c r="H269" s="23" t="s">
        <v>348</v>
      </c>
      <c r="J269" s="23" t="s">
        <v>238</v>
      </c>
    </row>
    <row r="270" spans="1:10" x14ac:dyDescent="0.25">
      <c r="A270" s="23" t="s">
        <v>350</v>
      </c>
      <c r="D270" s="27">
        <v>1.9999999999999999E-6</v>
      </c>
      <c r="E270" s="23" t="s">
        <v>6</v>
      </c>
      <c r="F270" s="13" t="s">
        <v>46</v>
      </c>
      <c r="G270" s="23" t="s">
        <v>47</v>
      </c>
      <c r="H270" s="23" t="s">
        <v>202</v>
      </c>
      <c r="J270" s="23" t="s">
        <v>238</v>
      </c>
    </row>
    <row r="271" spans="1:10" x14ac:dyDescent="0.25">
      <c r="A271" s="23" t="s">
        <v>170</v>
      </c>
      <c r="D271" s="27">
        <v>4.6153846153846151E-7</v>
      </c>
      <c r="E271" s="23" t="s">
        <v>6</v>
      </c>
      <c r="F271" s="13" t="s">
        <v>46</v>
      </c>
      <c r="G271" s="23" t="s">
        <v>47</v>
      </c>
      <c r="H271" s="23" t="s">
        <v>202</v>
      </c>
      <c r="J271" s="23" t="s">
        <v>238</v>
      </c>
    </row>
    <row r="272" spans="1:10" x14ac:dyDescent="0.25">
      <c r="A272" s="23" t="s">
        <v>170</v>
      </c>
      <c r="D272" s="27">
        <v>1.2692307692307691E-4</v>
      </c>
      <c r="E272" s="23" t="s">
        <v>6</v>
      </c>
      <c r="F272" s="13" t="s">
        <v>46</v>
      </c>
      <c r="G272" s="23" t="s">
        <v>47</v>
      </c>
      <c r="H272" s="23" t="s">
        <v>202</v>
      </c>
      <c r="J272" s="23" t="s">
        <v>238</v>
      </c>
    </row>
    <row r="273" spans="1:10" x14ac:dyDescent="0.25">
      <c r="A273" s="23" t="s">
        <v>170</v>
      </c>
      <c r="D273" s="27">
        <v>8.8461538461538455E-7</v>
      </c>
      <c r="E273" s="23" t="s">
        <v>6</v>
      </c>
      <c r="F273" s="13" t="s">
        <v>46</v>
      </c>
      <c r="G273" s="23" t="s">
        <v>47</v>
      </c>
      <c r="H273" s="23" t="s">
        <v>348</v>
      </c>
      <c r="J273" s="23" t="s">
        <v>238</v>
      </c>
    </row>
    <row r="274" spans="1:10" x14ac:dyDescent="0.25">
      <c r="A274" s="23" t="s">
        <v>167</v>
      </c>
      <c r="D274" s="27">
        <v>2.3846153846153846E-6</v>
      </c>
      <c r="E274" s="23" t="s">
        <v>6</v>
      </c>
      <c r="F274" s="13" t="s">
        <v>46</v>
      </c>
      <c r="G274" s="23" t="s">
        <v>47</v>
      </c>
      <c r="H274" s="23" t="s">
        <v>202</v>
      </c>
      <c r="J274" s="23" t="s">
        <v>238</v>
      </c>
    </row>
    <row r="275" spans="1:10" x14ac:dyDescent="0.25">
      <c r="A275" s="23" t="s">
        <v>167</v>
      </c>
      <c r="D275" s="27">
        <v>4.2307692307692309E-7</v>
      </c>
      <c r="E275" s="23" t="s">
        <v>6</v>
      </c>
      <c r="F275" s="13" t="s">
        <v>46</v>
      </c>
      <c r="G275" s="23" t="s">
        <v>47</v>
      </c>
      <c r="H275" s="23" t="s">
        <v>348</v>
      </c>
      <c r="J275" s="23" t="s">
        <v>238</v>
      </c>
    </row>
    <row r="276" spans="1:10" x14ac:dyDescent="0.25">
      <c r="A276" s="23" t="s">
        <v>127</v>
      </c>
      <c r="D276" s="27">
        <v>9.6153846153846149E-7</v>
      </c>
      <c r="E276" s="23" t="s">
        <v>6</v>
      </c>
      <c r="F276" s="13" t="s">
        <v>46</v>
      </c>
      <c r="G276" s="23" t="s">
        <v>47</v>
      </c>
      <c r="H276" s="23" t="s">
        <v>202</v>
      </c>
      <c r="J276" s="23" t="s">
        <v>238</v>
      </c>
    </row>
    <row r="277" spans="1:10" x14ac:dyDescent="0.25">
      <c r="A277" s="23" t="s">
        <v>127</v>
      </c>
      <c r="D277" s="27">
        <v>1.769230769230769E-7</v>
      </c>
      <c r="E277" s="23" t="s">
        <v>6</v>
      </c>
      <c r="F277" s="13" t="s">
        <v>46</v>
      </c>
      <c r="G277" s="23" t="s">
        <v>47</v>
      </c>
      <c r="H277" s="23" t="s">
        <v>348</v>
      </c>
      <c r="J277" s="23" t="s">
        <v>238</v>
      </c>
    </row>
    <row r="278" spans="1:10" x14ac:dyDescent="0.25">
      <c r="A278" s="23" t="s">
        <v>124</v>
      </c>
      <c r="D278" s="27">
        <v>1.0384615384615384E-4</v>
      </c>
      <c r="E278" s="23" t="s">
        <v>6</v>
      </c>
      <c r="F278" s="13" t="s">
        <v>46</v>
      </c>
      <c r="G278" s="23" t="s">
        <v>47</v>
      </c>
      <c r="H278" s="23" t="s">
        <v>202</v>
      </c>
      <c r="J278" s="23" t="s">
        <v>238</v>
      </c>
    </row>
    <row r="279" spans="1:10" x14ac:dyDescent="0.25">
      <c r="A279" s="23" t="s">
        <v>351</v>
      </c>
      <c r="D279" s="27">
        <v>5.0000000000000001E-4</v>
      </c>
      <c r="E279" s="23" t="s">
        <v>6</v>
      </c>
      <c r="F279" s="13" t="s">
        <v>46</v>
      </c>
      <c r="G279" s="23" t="s">
        <v>47</v>
      </c>
      <c r="H279" s="23" t="s">
        <v>202</v>
      </c>
      <c r="J279" s="23" t="s">
        <v>238</v>
      </c>
    </row>
    <row r="280" spans="1:10" x14ac:dyDescent="0.25">
      <c r="A280" s="23" t="s">
        <v>129</v>
      </c>
      <c r="D280" s="27">
        <v>1.8076923076923076E-6</v>
      </c>
      <c r="E280" s="23" t="s">
        <v>6</v>
      </c>
      <c r="F280" s="13" t="s">
        <v>46</v>
      </c>
      <c r="G280" s="23" t="s">
        <v>47</v>
      </c>
      <c r="H280" s="23" t="s">
        <v>202</v>
      </c>
      <c r="J280" s="23" t="s">
        <v>238</v>
      </c>
    </row>
    <row r="281" spans="1:10" x14ac:dyDescent="0.25">
      <c r="A281" s="23" t="s">
        <v>129</v>
      </c>
      <c r="D281" s="27">
        <v>4.6153846153846146E-8</v>
      </c>
      <c r="E281" s="23" t="s">
        <v>6</v>
      </c>
      <c r="F281" s="13" t="s">
        <v>46</v>
      </c>
      <c r="G281" s="23" t="s">
        <v>47</v>
      </c>
      <c r="H281" s="23" t="s">
        <v>348</v>
      </c>
      <c r="J281" s="23" t="s">
        <v>238</v>
      </c>
    </row>
    <row r="282" spans="1:10" x14ac:dyDescent="0.25">
      <c r="A282" s="23" t="s">
        <v>352</v>
      </c>
      <c r="D282" s="27">
        <v>2.5769230769230769E-3</v>
      </c>
      <c r="E282" s="23" t="s">
        <v>6</v>
      </c>
      <c r="F282" s="13" t="s">
        <v>46</v>
      </c>
      <c r="G282" s="23" t="s">
        <v>47</v>
      </c>
      <c r="H282" s="23" t="s">
        <v>202</v>
      </c>
      <c r="J282" s="23" t="s">
        <v>238</v>
      </c>
    </row>
    <row r="283" spans="1:10" x14ac:dyDescent="0.25">
      <c r="A283" s="23" t="s">
        <v>353</v>
      </c>
      <c r="D283" s="27">
        <v>2.4999999999999999E-7</v>
      </c>
      <c r="E283" s="23" t="s">
        <v>6</v>
      </c>
      <c r="F283" s="13" t="s">
        <v>46</v>
      </c>
      <c r="G283" s="23" t="s">
        <v>47</v>
      </c>
      <c r="H283" s="23" t="s">
        <v>348</v>
      </c>
      <c r="J283" s="23" t="s">
        <v>238</v>
      </c>
    </row>
    <row r="284" spans="1:10" x14ac:dyDescent="0.25">
      <c r="A284" s="23" t="s">
        <v>353</v>
      </c>
      <c r="D284" s="27">
        <v>9.2307692307692295E-4</v>
      </c>
      <c r="E284" s="23" t="s">
        <v>6</v>
      </c>
      <c r="F284" s="13" t="s">
        <v>46</v>
      </c>
      <c r="G284" s="23" t="s">
        <v>47</v>
      </c>
      <c r="H284" s="23" t="s">
        <v>202</v>
      </c>
      <c r="J284" s="23" t="s">
        <v>238</v>
      </c>
    </row>
    <row r="285" spans="1:10" x14ac:dyDescent="0.25">
      <c r="A285" s="23" t="s">
        <v>184</v>
      </c>
      <c r="D285" s="27">
        <v>5.384615384615385E-8</v>
      </c>
      <c r="E285" s="23" t="s">
        <v>6</v>
      </c>
      <c r="F285" s="13" t="s">
        <v>46</v>
      </c>
      <c r="G285" s="23" t="s">
        <v>47</v>
      </c>
      <c r="H285" s="23" t="s">
        <v>202</v>
      </c>
      <c r="J285" s="23" t="s">
        <v>238</v>
      </c>
    </row>
    <row r="286" spans="1:10" x14ac:dyDescent="0.25">
      <c r="A286" s="23" t="s">
        <v>184</v>
      </c>
      <c r="D286" s="27">
        <v>5.769230769230769E-10</v>
      </c>
      <c r="E286" s="23" t="s">
        <v>6</v>
      </c>
      <c r="F286" s="13" t="s">
        <v>46</v>
      </c>
      <c r="G286" s="23" t="s">
        <v>47</v>
      </c>
      <c r="H286" s="23" t="s">
        <v>348</v>
      </c>
      <c r="J286" s="23" t="s">
        <v>238</v>
      </c>
    </row>
    <row r="287" spans="1:10" x14ac:dyDescent="0.25">
      <c r="A287" s="23" t="s">
        <v>128</v>
      </c>
      <c r="D287" s="27">
        <v>1.1153846153846153E-5</v>
      </c>
      <c r="E287" s="23" t="s">
        <v>6</v>
      </c>
      <c r="F287" s="13" t="s">
        <v>46</v>
      </c>
      <c r="G287" s="23" t="s">
        <v>47</v>
      </c>
      <c r="H287" s="23" t="s">
        <v>202</v>
      </c>
      <c r="J287" s="23" t="s">
        <v>238</v>
      </c>
    </row>
    <row r="288" spans="1:10" x14ac:dyDescent="0.25">
      <c r="A288" s="23" t="s">
        <v>354</v>
      </c>
      <c r="D288" s="27">
        <v>1.9615384615384617E-4</v>
      </c>
      <c r="E288" s="23" t="s">
        <v>6</v>
      </c>
      <c r="F288" s="13" t="s">
        <v>46</v>
      </c>
      <c r="G288" s="23" t="s">
        <v>47</v>
      </c>
      <c r="H288" s="23" t="s">
        <v>202</v>
      </c>
      <c r="J288" s="23" t="s">
        <v>238</v>
      </c>
    </row>
    <row r="289" spans="1:10" x14ac:dyDescent="0.25">
      <c r="A289" s="23" t="s">
        <v>354</v>
      </c>
      <c r="D289" s="27">
        <v>9.9999999999999991E-5</v>
      </c>
      <c r="E289" s="23" t="s">
        <v>6</v>
      </c>
      <c r="F289" s="13" t="s">
        <v>46</v>
      </c>
      <c r="G289" s="23" t="s">
        <v>47</v>
      </c>
      <c r="H289" s="23" t="s">
        <v>348</v>
      </c>
      <c r="J289" s="23" t="s">
        <v>238</v>
      </c>
    </row>
    <row r="290" spans="1:10" x14ac:dyDescent="0.25">
      <c r="A290" s="23" t="s">
        <v>125</v>
      </c>
      <c r="D290" s="27">
        <v>4.2307692307692303E-9</v>
      </c>
      <c r="E290" s="23" t="s">
        <v>6</v>
      </c>
      <c r="F290" s="13" t="s">
        <v>46</v>
      </c>
      <c r="G290" s="23" t="s">
        <v>47</v>
      </c>
      <c r="H290" s="23" t="s">
        <v>348</v>
      </c>
      <c r="J290" s="23" t="s">
        <v>238</v>
      </c>
    </row>
    <row r="291" spans="1:10" x14ac:dyDescent="0.25">
      <c r="A291" s="23" t="s">
        <v>355</v>
      </c>
      <c r="D291" s="27">
        <v>1.0769230769230769E-5</v>
      </c>
      <c r="E291" s="23" t="s">
        <v>6</v>
      </c>
      <c r="F291" s="13" t="s">
        <v>46</v>
      </c>
      <c r="G291" s="23" t="s">
        <v>47</v>
      </c>
      <c r="H291" s="23" t="s">
        <v>202</v>
      </c>
      <c r="J291" s="23" t="s">
        <v>238</v>
      </c>
    </row>
    <row r="292" spans="1:10" x14ac:dyDescent="0.25">
      <c r="A292" s="23" t="s">
        <v>356</v>
      </c>
      <c r="D292" s="27">
        <v>2.5384615384615385E-9</v>
      </c>
      <c r="E292" s="23" t="s">
        <v>6</v>
      </c>
      <c r="F292" s="13" t="s">
        <v>46</v>
      </c>
      <c r="G292" s="23" t="s">
        <v>47</v>
      </c>
      <c r="H292" s="23" t="s">
        <v>202</v>
      </c>
      <c r="J292" s="23" t="s">
        <v>238</v>
      </c>
    </row>
    <row r="293" spans="1:10" x14ac:dyDescent="0.25">
      <c r="A293" s="23" t="s">
        <v>357</v>
      </c>
      <c r="D293" s="27">
        <v>7.3076923076923081E-2</v>
      </c>
      <c r="E293" s="23" t="s">
        <v>6</v>
      </c>
      <c r="F293" s="13" t="s">
        <v>46</v>
      </c>
      <c r="G293" s="23" t="s">
        <v>47</v>
      </c>
      <c r="H293" s="23" t="s">
        <v>202</v>
      </c>
      <c r="J293" s="23" t="s">
        <v>238</v>
      </c>
    </row>
    <row r="294" spans="1:10" x14ac:dyDescent="0.25">
      <c r="A294" s="23" t="s">
        <v>357</v>
      </c>
      <c r="D294" s="27">
        <v>3.4999999999999996E-2</v>
      </c>
      <c r="E294" s="23" t="s">
        <v>6</v>
      </c>
      <c r="F294" s="13" t="s">
        <v>46</v>
      </c>
      <c r="G294" s="23" t="s">
        <v>47</v>
      </c>
      <c r="H294" s="23" t="s">
        <v>348</v>
      </c>
      <c r="J294" s="23" t="s">
        <v>238</v>
      </c>
    </row>
    <row r="295" spans="1:10" x14ac:dyDescent="0.25">
      <c r="A295" s="23" t="s">
        <v>114</v>
      </c>
      <c r="D295" s="27">
        <v>3.8461538461538459E-3</v>
      </c>
      <c r="E295" s="23" t="s">
        <v>6</v>
      </c>
      <c r="F295" s="13" t="s">
        <v>46</v>
      </c>
      <c r="G295" s="23" t="s">
        <v>47</v>
      </c>
      <c r="H295" s="23" t="s">
        <v>202</v>
      </c>
      <c r="J295" s="23" t="s">
        <v>238</v>
      </c>
    </row>
    <row r="296" spans="1:10" x14ac:dyDescent="0.25">
      <c r="A296" s="23" t="s">
        <v>120</v>
      </c>
      <c r="D296" s="27">
        <v>2.6153846153846154E-4</v>
      </c>
      <c r="E296" s="23" t="s">
        <v>6</v>
      </c>
      <c r="F296" s="13" t="s">
        <v>46</v>
      </c>
      <c r="G296" s="23" t="s">
        <v>47</v>
      </c>
      <c r="H296" s="23" t="s">
        <v>202</v>
      </c>
      <c r="J296" s="23" t="s">
        <v>238</v>
      </c>
    </row>
    <row r="297" spans="1:10" x14ac:dyDescent="0.25">
      <c r="A297" s="23" t="s">
        <v>358</v>
      </c>
      <c r="D297" s="27">
        <v>1.5769230769230768E-6</v>
      </c>
      <c r="E297" s="23" t="s">
        <v>6</v>
      </c>
      <c r="F297" s="13" t="s">
        <v>46</v>
      </c>
      <c r="G297" s="23" t="s">
        <v>47</v>
      </c>
      <c r="H297" s="23" t="s">
        <v>348</v>
      </c>
      <c r="J297" s="23" t="s">
        <v>238</v>
      </c>
    </row>
    <row r="298" spans="1:10" x14ac:dyDescent="0.25">
      <c r="A298" s="23" t="s">
        <v>358</v>
      </c>
      <c r="D298" s="27">
        <v>7.6923076923076915E-7</v>
      </c>
      <c r="E298" s="23" t="s">
        <v>6</v>
      </c>
      <c r="F298" s="13" t="s">
        <v>46</v>
      </c>
      <c r="G298" s="23" t="s">
        <v>47</v>
      </c>
      <c r="H298" s="23" t="s">
        <v>202</v>
      </c>
      <c r="J298" s="23" t="s">
        <v>238</v>
      </c>
    </row>
    <row r="299" spans="1:10" x14ac:dyDescent="0.25">
      <c r="A299" s="23" t="s">
        <v>359</v>
      </c>
      <c r="D299" s="27">
        <v>2.5384615384615387E-7</v>
      </c>
      <c r="E299" s="23" t="s">
        <v>6</v>
      </c>
      <c r="F299" s="13" t="s">
        <v>46</v>
      </c>
      <c r="G299" s="23" t="s">
        <v>47</v>
      </c>
      <c r="H299" s="23" t="s">
        <v>202</v>
      </c>
      <c r="J299" s="23" t="s">
        <v>238</v>
      </c>
    </row>
    <row r="300" spans="1:10" x14ac:dyDescent="0.25">
      <c r="A300" s="23" t="s">
        <v>298</v>
      </c>
      <c r="D300" s="27">
        <v>6.1538461538461538E-3</v>
      </c>
      <c r="E300" s="23" t="s">
        <v>50</v>
      </c>
      <c r="F300" s="13" t="s">
        <v>46</v>
      </c>
      <c r="G300" s="23" t="s">
        <v>47</v>
      </c>
      <c r="H300" s="23" t="s">
        <v>299</v>
      </c>
      <c r="J300" s="23" t="s">
        <v>238</v>
      </c>
    </row>
    <row r="301" spans="1:10" x14ac:dyDescent="0.25">
      <c r="A301" s="23" t="s">
        <v>298</v>
      </c>
      <c r="D301" s="27">
        <v>7.3076923076923076E-3</v>
      </c>
      <c r="E301" s="23" t="s">
        <v>50</v>
      </c>
      <c r="F301" s="13" t="s">
        <v>46</v>
      </c>
      <c r="G301" s="23" t="s">
        <v>47</v>
      </c>
      <c r="H301" s="23" t="s">
        <v>348</v>
      </c>
      <c r="J301" s="23" t="s">
        <v>238</v>
      </c>
    </row>
    <row r="302" spans="1:10" x14ac:dyDescent="0.25">
      <c r="A302" s="23" t="s">
        <v>298</v>
      </c>
      <c r="D302" s="27">
        <v>4.9999999999999992E-3</v>
      </c>
      <c r="E302" s="23" t="s">
        <v>50</v>
      </c>
      <c r="F302" s="13" t="s">
        <v>46</v>
      </c>
      <c r="G302" s="23" t="s">
        <v>47</v>
      </c>
      <c r="H302" s="23" t="s">
        <v>299</v>
      </c>
      <c r="J302" s="23" t="s">
        <v>238</v>
      </c>
    </row>
    <row r="303" spans="1:10" x14ac:dyDescent="0.25">
      <c r="A303" s="23" t="s">
        <v>169</v>
      </c>
      <c r="D303" s="27">
        <v>6.5384615384615385E-7</v>
      </c>
      <c r="E303" s="23" t="s">
        <v>6</v>
      </c>
      <c r="F303" s="13" t="s">
        <v>46</v>
      </c>
      <c r="G303" s="23" t="s">
        <v>47</v>
      </c>
      <c r="H303" s="23" t="s">
        <v>202</v>
      </c>
      <c r="J303" s="23" t="s">
        <v>238</v>
      </c>
    </row>
    <row r="304" spans="1:10" s="17" customFormat="1" x14ac:dyDescent="0.25"/>
    <row r="305" spans="1:14" s="13" customFormat="1" x14ac:dyDescent="0.25">
      <c r="A305" s="11" t="s">
        <v>0</v>
      </c>
      <c r="B305" s="12" t="s">
        <v>362</v>
      </c>
    </row>
    <row r="306" spans="1:14" s="13" customFormat="1" x14ac:dyDescent="0.25">
      <c r="A306" s="14" t="s">
        <v>1</v>
      </c>
      <c r="B306" s="13" t="s">
        <v>361</v>
      </c>
    </row>
    <row r="307" spans="1:14" s="13" customFormat="1" x14ac:dyDescent="0.25">
      <c r="A307" s="14" t="s">
        <v>2</v>
      </c>
      <c r="B307" s="13" t="s">
        <v>28</v>
      </c>
    </row>
    <row r="308" spans="1:14" s="13" customFormat="1" x14ac:dyDescent="0.25">
      <c r="A308" s="14" t="s">
        <v>4</v>
      </c>
      <c r="B308" s="13">
        <v>1</v>
      </c>
    </row>
    <row r="309" spans="1:14" s="13" customFormat="1" x14ac:dyDescent="0.25">
      <c r="A309" s="14" t="s">
        <v>5</v>
      </c>
      <c r="B309" s="13" t="s">
        <v>6</v>
      </c>
    </row>
    <row r="310" spans="1:14" s="13" customFormat="1" x14ac:dyDescent="0.25">
      <c r="A310" s="14" t="s">
        <v>7</v>
      </c>
      <c r="B310" s="15" t="s">
        <v>395</v>
      </c>
    </row>
    <row r="311" spans="1:14" s="13" customFormat="1" x14ac:dyDescent="0.25">
      <c r="A311" s="14" t="s">
        <v>9</v>
      </c>
    </row>
    <row r="312" spans="1:14" s="13" customFormat="1" x14ac:dyDescent="0.25">
      <c r="A312" s="11" t="s">
        <v>10</v>
      </c>
      <c r="B312" s="11" t="s">
        <v>1</v>
      </c>
      <c r="C312" s="11" t="s">
        <v>2</v>
      </c>
      <c r="D312" s="11" t="s">
        <v>4</v>
      </c>
      <c r="E312" s="11" t="s">
        <v>5</v>
      </c>
      <c r="F312" s="11" t="s">
        <v>11</v>
      </c>
      <c r="G312" s="11" t="s">
        <v>12</v>
      </c>
      <c r="H312" s="11" t="s">
        <v>13</v>
      </c>
      <c r="I312" s="11" t="s">
        <v>14</v>
      </c>
      <c r="J312" s="11" t="s">
        <v>15</v>
      </c>
      <c r="K312" s="11" t="s">
        <v>16</v>
      </c>
      <c r="L312" s="11" t="s">
        <v>17</v>
      </c>
      <c r="M312" s="11" t="s">
        <v>18</v>
      </c>
      <c r="N312" s="11" t="s">
        <v>19</v>
      </c>
    </row>
    <row r="313" spans="1:14" s="13" customFormat="1" x14ac:dyDescent="0.25">
      <c r="A313" s="13" t="s">
        <v>362</v>
      </c>
      <c r="B313" s="13" t="s">
        <v>361</v>
      </c>
      <c r="C313" s="13" t="s">
        <v>28</v>
      </c>
      <c r="D313" s="13">
        <v>1</v>
      </c>
      <c r="E313" s="13" t="s">
        <v>6</v>
      </c>
      <c r="F313" s="16" t="s">
        <v>56</v>
      </c>
      <c r="G313" s="13" t="s">
        <v>20</v>
      </c>
    </row>
    <row r="314" spans="1:14" s="35" customFormat="1" x14ac:dyDescent="0.25">
      <c r="A314" s="23" t="s">
        <v>360</v>
      </c>
      <c r="B314" s="23" t="s">
        <v>361</v>
      </c>
      <c r="C314" s="23" t="s">
        <v>28</v>
      </c>
      <c r="D314" s="24">
        <v>1</v>
      </c>
      <c r="E314" s="23" t="s">
        <v>6</v>
      </c>
      <c r="F314" s="16" t="s">
        <v>56</v>
      </c>
      <c r="G314" s="23" t="s">
        <v>21</v>
      </c>
      <c r="H314" s="23"/>
      <c r="I314" s="23"/>
      <c r="J314" s="23"/>
    </row>
    <row r="315" spans="1:14" x14ac:dyDescent="0.25">
      <c r="A315" s="23" t="s">
        <v>379</v>
      </c>
      <c r="B315" s="23" t="s">
        <v>225</v>
      </c>
      <c r="C315" s="23" t="s">
        <v>28</v>
      </c>
      <c r="D315" s="45">
        <v>2.0542601971056911</v>
      </c>
      <c r="E315" s="23" t="s">
        <v>6</v>
      </c>
      <c r="F315" s="16" t="s">
        <v>56</v>
      </c>
      <c r="G315" s="23" t="s">
        <v>21</v>
      </c>
    </row>
    <row r="316" spans="1:14" x14ac:dyDescent="0.25">
      <c r="A316" s="23" t="s">
        <v>378</v>
      </c>
      <c r="B316" s="23" t="s">
        <v>209</v>
      </c>
      <c r="C316" s="23" t="s">
        <v>28</v>
      </c>
      <c r="D316" s="46">
        <v>7.7034757391463415</v>
      </c>
      <c r="E316" s="23" t="s">
        <v>6</v>
      </c>
      <c r="F316" s="16" t="s">
        <v>56</v>
      </c>
      <c r="G316" s="23" t="s">
        <v>21</v>
      </c>
    </row>
    <row r="317" spans="1:14" x14ac:dyDescent="0.25">
      <c r="A317" s="23" t="s">
        <v>377</v>
      </c>
      <c r="B317" s="23" t="s">
        <v>229</v>
      </c>
      <c r="C317" s="23" t="s">
        <v>28</v>
      </c>
      <c r="D317" s="46">
        <v>21.184558282652439</v>
      </c>
      <c r="E317" s="23" t="s">
        <v>6</v>
      </c>
      <c r="F317" s="16" t="s">
        <v>56</v>
      </c>
      <c r="G317" s="23" t="s">
        <v>21</v>
      </c>
      <c r="I317" s="13"/>
    </row>
    <row r="318" spans="1:14" s="17" customFormat="1" x14ac:dyDescent="0.25"/>
    <row r="319" spans="1:14" s="13" customFormat="1" x14ac:dyDescent="0.25">
      <c r="A319" s="11" t="s">
        <v>0</v>
      </c>
      <c r="B319" s="12" t="s">
        <v>380</v>
      </c>
    </row>
    <row r="320" spans="1:14" s="13" customFormat="1" x14ac:dyDescent="0.25">
      <c r="A320" s="14" t="s">
        <v>1</v>
      </c>
      <c r="B320" s="13" t="s">
        <v>363</v>
      </c>
    </row>
    <row r="321" spans="1:14" s="13" customFormat="1" x14ac:dyDescent="0.25">
      <c r="A321" s="14" t="s">
        <v>2</v>
      </c>
      <c r="B321" s="13" t="s">
        <v>28</v>
      </c>
    </row>
    <row r="322" spans="1:14" s="13" customFormat="1" x14ac:dyDescent="0.25">
      <c r="A322" s="14" t="s">
        <v>4</v>
      </c>
      <c r="B322" s="13">
        <v>1</v>
      </c>
    </row>
    <row r="323" spans="1:14" s="13" customFormat="1" x14ac:dyDescent="0.25">
      <c r="A323" s="14" t="s">
        <v>5</v>
      </c>
      <c r="B323" s="13" t="s">
        <v>6</v>
      </c>
    </row>
    <row r="324" spans="1:14" s="13" customFormat="1" ht="30" x14ac:dyDescent="0.25">
      <c r="A324" s="14" t="s">
        <v>7</v>
      </c>
      <c r="B324" s="19" t="s">
        <v>403</v>
      </c>
    </row>
    <row r="325" spans="1:14" s="13" customFormat="1" x14ac:dyDescent="0.25">
      <c r="A325" s="14" t="s">
        <v>9</v>
      </c>
    </row>
    <row r="326" spans="1:14" s="13" customFormat="1" x14ac:dyDescent="0.25">
      <c r="A326" s="11" t="s">
        <v>10</v>
      </c>
      <c r="B326" s="11" t="s">
        <v>1</v>
      </c>
      <c r="C326" s="11" t="s">
        <v>2</v>
      </c>
      <c r="D326" s="11" t="s">
        <v>4</v>
      </c>
      <c r="E326" s="11" t="s">
        <v>5</v>
      </c>
      <c r="F326" s="11" t="s">
        <v>11</v>
      </c>
      <c r="G326" s="11" t="s">
        <v>12</v>
      </c>
      <c r="H326" s="11" t="s">
        <v>13</v>
      </c>
      <c r="I326" s="11" t="s">
        <v>14</v>
      </c>
      <c r="J326" s="11" t="s">
        <v>15</v>
      </c>
      <c r="K326" s="11" t="s">
        <v>16</v>
      </c>
      <c r="L326" s="11" t="s">
        <v>17</v>
      </c>
      <c r="M326" s="11" t="s">
        <v>18</v>
      </c>
      <c r="N326" s="11" t="s">
        <v>19</v>
      </c>
    </row>
    <row r="327" spans="1:14" s="13" customFormat="1" x14ac:dyDescent="0.25">
      <c r="A327" s="13" t="s">
        <v>380</v>
      </c>
      <c r="B327" s="13" t="s">
        <v>363</v>
      </c>
      <c r="C327" s="13" t="s">
        <v>28</v>
      </c>
      <c r="D327" s="13">
        <v>1</v>
      </c>
      <c r="E327" s="13" t="s">
        <v>6</v>
      </c>
      <c r="F327" s="16" t="s">
        <v>56</v>
      </c>
      <c r="G327" s="13" t="s">
        <v>20</v>
      </c>
    </row>
    <row r="328" spans="1:14" s="35" customFormat="1" x14ac:dyDescent="0.25">
      <c r="A328" s="23" t="s">
        <v>360</v>
      </c>
      <c r="B328" s="23" t="s">
        <v>361</v>
      </c>
      <c r="C328" s="23" t="s">
        <v>28</v>
      </c>
      <c r="D328" s="38">
        <v>4.5454545454545459</v>
      </c>
      <c r="E328" s="23" t="s">
        <v>6</v>
      </c>
      <c r="F328" s="16" t="s">
        <v>56</v>
      </c>
      <c r="G328" s="23" t="s">
        <v>21</v>
      </c>
      <c r="H328" s="23"/>
      <c r="I328" s="23"/>
      <c r="J328" s="23"/>
    </row>
    <row r="329" spans="1:14" x14ac:dyDescent="0.25">
      <c r="A329" s="23" t="s">
        <v>379</v>
      </c>
      <c r="B329" s="23" t="s">
        <v>225</v>
      </c>
      <c r="C329" s="23" t="s">
        <v>28</v>
      </c>
      <c r="D329" s="45">
        <v>9.3071867065354876</v>
      </c>
      <c r="E329" s="23" t="s">
        <v>6</v>
      </c>
      <c r="F329" s="16" t="s">
        <v>56</v>
      </c>
      <c r="G329" s="23" t="s">
        <v>21</v>
      </c>
    </row>
    <row r="330" spans="1:14" x14ac:dyDescent="0.25">
      <c r="A330" s="23" t="s">
        <v>378</v>
      </c>
      <c r="B330" s="23" t="s">
        <v>209</v>
      </c>
      <c r="C330" s="23" t="s">
        <v>28</v>
      </c>
      <c r="D330" s="45">
        <v>34.814695274134309</v>
      </c>
      <c r="E330" s="23" t="s">
        <v>6</v>
      </c>
      <c r="F330" s="16" t="s">
        <v>56</v>
      </c>
      <c r="G330" s="23" t="s">
        <v>21</v>
      </c>
    </row>
    <row r="331" spans="1:14" x14ac:dyDescent="0.25">
      <c r="A331" s="23" t="s">
        <v>377</v>
      </c>
      <c r="B331" s="23" t="s">
        <v>229</v>
      </c>
      <c r="C331" s="23" t="s">
        <v>28</v>
      </c>
      <c r="D331" s="45">
        <v>95.740412003869352</v>
      </c>
      <c r="E331" s="23" t="s">
        <v>6</v>
      </c>
      <c r="F331" s="16" t="s">
        <v>56</v>
      </c>
      <c r="G331" s="23" t="s">
        <v>21</v>
      </c>
      <c r="I331" s="1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c0c41a-12c1-4165-8422-5f5ca88e9f6a" xsi:nil="true"/>
    <lcf76f155ced4ddcb4097134ff3c332f xmlns="d78c010b-218d-4be4-b2d9-423b1f51aa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DCE0B9-F822-43B9-8FA4-0E5A53779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92CF09-C25F-448C-821E-AD94453B3152}">
  <ds:schemaRefs>
    <ds:schemaRef ds:uri="http://schemas.microsoft.com/office/2006/metadata/properties"/>
    <ds:schemaRef ds:uri="http://schemas.microsoft.com/office/infopath/2007/PartnerControls"/>
    <ds:schemaRef ds:uri="adc0c41a-12c1-4165-8422-5f5ca88e9f6a"/>
    <ds:schemaRef ds:uri="d78c010b-218d-4be4-b2d9-423b1f51aae5"/>
  </ds:schemaRefs>
</ds:datastoreItem>
</file>

<file path=customXml/itemProps3.xml><?xml version="1.0" encoding="utf-8"?>
<ds:datastoreItem xmlns:ds="http://schemas.openxmlformats.org/officeDocument/2006/customXml" ds:itemID="{3AB90B26-BD59-4509-808B-5C4F1D827B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Note</vt:lpstr>
      <vt:lpstr>Ni_Market_GLO</vt:lpstr>
      <vt:lpstr>PR1_Ni_AU_HPAL_Laterites</vt:lpstr>
      <vt:lpstr>PR2_Ni_AU_FlashSmelting</vt:lpstr>
      <vt:lpstr>PR3_NiO_ID_RKEF_Laterites</vt:lpstr>
      <vt:lpstr>PR4_FeNi_CO_RKEF_Laterites</vt:lpstr>
      <vt:lpstr>PR5_NPI_ID_BlastSmelt_Laterite</vt:lpstr>
      <vt:lpstr>PR6_Ni_CN_GFEM</vt:lpstr>
      <vt:lpstr>PR7_Ni_CN_LEM</vt:lpstr>
      <vt:lpstr>PR8_FeNi_CN_Smelting_Laterites</vt:lpstr>
      <vt:lpstr>PR9_FeNi_AU_Laterites</vt:lpstr>
      <vt:lpstr>PR10_Ni_CN_Recycling</vt:lpstr>
      <vt:lpstr>PR11_NiSO4_World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2015-06-05T18:19:34Z</dcterms:created>
  <dcterms:modified xsi:type="dcterms:W3CDTF">2026-09-09T15:29:22Z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