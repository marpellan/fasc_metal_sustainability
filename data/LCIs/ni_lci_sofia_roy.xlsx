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LCIs/"/>
    </mc:Choice>
  </mc:AlternateContent>
  <xr:revisionPtr revIDLastSave="62" documentId="8_{85F0669E-F0AF-42BA-BF43-9EA77600C7EF}" xr6:coauthVersionLast="47" xr6:coauthVersionMax="47" xr10:uidLastSave="{6B2B2D52-CECE-453A-A3F2-8F28373C0F3D}"/>
  <bookViews>
    <workbookView xWindow="-110" yWindow="-110" windowWidth="19420" windowHeight="10300" xr2:uid="{00000000-000D-0000-FFFF-FFFF00000000}"/>
  </bookViews>
  <sheets>
    <sheet name="Pyrometallurgical sulfide ore" sheetId="6" r:id="rId1"/>
    <sheet name="POX leaching of Ni concentrate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9" l="1"/>
  <c r="D15" i="9"/>
  <c r="D14" i="9"/>
  <c r="D13" i="9"/>
  <c r="D12" i="9"/>
  <c r="D11" i="9"/>
  <c r="D10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</calcChain>
</file>

<file path=xl/sharedStrings.xml><?xml version="1.0" encoding="utf-8"?>
<sst xmlns="http://schemas.openxmlformats.org/spreadsheetml/2006/main" count="364" uniqueCount="104">
  <si>
    <t>database</t>
  </si>
  <si>
    <t>Activity</t>
  </si>
  <si>
    <t>reference product</t>
  </si>
  <si>
    <t>location</t>
  </si>
  <si>
    <t>GLO</t>
  </si>
  <si>
    <t>amount</t>
  </si>
  <si>
    <t>unit</t>
  </si>
  <si>
    <t>kilogram</t>
  </si>
  <si>
    <t>comment</t>
  </si>
  <si>
    <t>Exchanges</t>
  </si>
  <si>
    <t>name</t>
  </si>
  <si>
    <t>Nickel metal</t>
  </si>
  <si>
    <t>CA</t>
  </si>
  <si>
    <t>diesel, burned in building machine</t>
  </si>
  <si>
    <t>megajoule</t>
  </si>
  <si>
    <t>electricity, high voltage</t>
  </si>
  <si>
    <t>RoW</t>
  </si>
  <si>
    <t>kilowatt hour</t>
  </si>
  <si>
    <t>market for limestone, crushed, washed</t>
  </si>
  <si>
    <t>limestone, crushed, washed</t>
  </si>
  <si>
    <t>cubic meter</t>
  </si>
  <si>
    <t>heat, district or industrial, natural gas</t>
  </si>
  <si>
    <t>market for sodium hydroxide, without water, in 50% solution state</t>
  </si>
  <si>
    <t>sodium hydroxide, without water, in 50% solution state</t>
  </si>
  <si>
    <t>market for sulfuric acid</t>
  </si>
  <si>
    <t>sulfuric acid</t>
  </si>
  <si>
    <t>electricity, high voltage, production mix</t>
  </si>
  <si>
    <t>heat, district or industrial, other than natural gas</t>
  </si>
  <si>
    <t>market for ammonia, anhydrous, liquid</t>
  </si>
  <si>
    <t>ammonia, anhydrous, liquid</t>
  </si>
  <si>
    <t>oxygen, liquid</t>
  </si>
  <si>
    <t>market for soda ash, dense</t>
  </si>
  <si>
    <t>soda ash, dense</t>
  </si>
  <si>
    <t>market for chemical, organic</t>
  </si>
  <si>
    <t>chemical, organic</t>
  </si>
  <si>
    <t>Copper ion</t>
  </si>
  <si>
    <t>Manganese II</t>
  </si>
  <si>
    <t>Nickel II</t>
  </si>
  <si>
    <t>From Supplementary Table 19 in S1 PDF (flash smelting route).</t>
  </si>
  <si>
    <t>market for diesel, burned in building machine</t>
  </si>
  <si>
    <t>market for electricity, medium voltage</t>
  </si>
  <si>
    <t>electricity, medium voltage</t>
  </si>
  <si>
    <t>CA-ON</t>
  </si>
  <si>
    <t>transport, freight, lorry &gt;32 metric ton, EURO4</t>
  </si>
  <si>
    <t>ton kilometer</t>
  </si>
  <si>
    <t>heat production, natural gas, at industrial furnace &gt;100kW</t>
  </si>
  <si>
    <t>CA-QC</t>
  </si>
  <si>
    <t>heat production, light fuel oil, at industrial furnace 1MW</t>
  </si>
  <si>
    <t>heat production, at hard coal industrial furnace 1-10MW</t>
  </si>
  <si>
    <t>market for silica sand</t>
  </si>
  <si>
    <t>silica sand</t>
  </si>
  <si>
    <t>heat production, at coal coke industrial furnace 1-10MW</t>
  </si>
  <si>
    <t>From Supplementary Table 2: Inventory for POX leaching of 19% Ni concentrate and refining to nickel metal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</si>
  <si>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</si>
  <si>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</si>
  <si>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</si>
  <si>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</si>
  <si>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</si>
  <si>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</si>
  <si>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</si>
  <si>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</si>
  <si>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CA-NF</t>
  </si>
  <si>
    <t>technosphere</t>
  </si>
  <si>
    <t>nickel mine operation and benefication to nickel concentrate, 16% Ni</t>
  </si>
  <si>
    <t>nickel concentrate, 16% Ni</t>
  </si>
  <si>
    <t>boric acid, anhydrous, powder</t>
  </si>
  <si>
    <t>cationic resin</t>
  </si>
  <si>
    <t>market for boric acid, anhydrous, powder</t>
  </si>
  <si>
    <t>market for cationic resin</t>
  </si>
  <si>
    <t>hydrochloric acid, without water, in 30% solution state</t>
  </si>
  <si>
    <t>market for hydrochloric acid, without water, in 30% solution state</t>
  </si>
  <si>
    <t>kerosene</t>
  </si>
  <si>
    <t>market for kerosene</t>
  </si>
  <si>
    <t>market for oxygen, liquid</t>
  </si>
  <si>
    <t>polyacrylamide</t>
  </si>
  <si>
    <t>market for polyacrylamide</t>
  </si>
  <si>
    <t>market for sodium chloride, powder</t>
  </si>
  <si>
    <t>sodium chloride, powder</t>
  </si>
  <si>
    <t>market for sodium hydrogen sulfite</t>
  </si>
  <si>
    <t>sodium hydrogen sulfite</t>
  </si>
  <si>
    <t>sodium hydrosulfide</t>
  </si>
  <si>
    <t>market for sodium hydrosulfide</t>
  </si>
  <si>
    <t>biosphere3</t>
  </si>
  <si>
    <t>biosphere</t>
  </si>
  <si>
    <t>natural resource::in ground</t>
  </si>
  <si>
    <t>Chlorine</t>
  </si>
  <si>
    <t>Cobalt II</t>
  </si>
  <si>
    <t>Iron ion</t>
  </si>
  <si>
    <t>Lead II</t>
  </si>
  <si>
    <t>Nitrogen oxides</t>
  </si>
  <si>
    <t>air</t>
  </si>
  <si>
    <t>Particulate Matter, &lt; 2.5 um</t>
  </si>
  <si>
    <t>Sulfur dioxide</t>
  </si>
  <si>
    <t>Sulfuric acid</t>
  </si>
  <si>
    <t>ecoinvent-3.10-cutoff</t>
  </si>
  <si>
    <t>Database</t>
  </si>
  <si>
    <t>market for hydrogen, gaseous, low pressure</t>
  </si>
  <si>
    <t>hydrogen, gaseous, low pressure</t>
  </si>
  <si>
    <t>Carbon dioxide, fossil</t>
  </si>
  <si>
    <t>Hydrogen</t>
  </si>
  <si>
    <t>Water, unspecified natural origin</t>
  </si>
  <si>
    <t>Pyrometallurical sulfide ore (mining CA)</t>
  </si>
  <si>
    <t>POX leaching of 19% Ni concentrate and refining to nickel metal (mining CA)</t>
  </si>
  <si>
    <t>Nickel - Sofia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</si>
</sst>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0</xdr:row>
      <xdr:rowOff>0</xdr:rowOff>
    </xdr:from>
    <xdr:to>
      <xdr:col>20</xdr:col>
      <xdr:colOff>229657</xdr:colOff>
      <xdr:row>44</xdr:row>
      <xdr:rowOff>58328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3C2AF06-0DC4-9F0C-9D6F-E6692D456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7275" y="0"/>
          <a:ext cx="7573432" cy="8440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609600</xdr:colOff>
      <xdr:row>9</xdr:row>
      <xdr:rowOff>47625</xdr:rowOff>
    </xdr:from>
    <xdr:to>
      <xdr:col>19</xdr:col>
      <xdr:colOff>724980</xdr:colOff>
      <xdr:row>30</xdr:row>
      <xdr:rowOff>38657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A4CCF40-A4AB-4698-65ED-31BF9EA89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9300" y="1762125"/>
          <a:ext cx="7735380" cy="3991532"/>
        </a:xfrm>
        <a:prstGeom prst="rect">
          <a:avLst/>
        </a:prstGeom>
      </xdr:spPr>
    </xdr:pic>
    <xdr:clientData/>
  </xdr:twoCellAnchor>
  <xdr:twoCellAnchor editAs="oneCell">
    <xdr:from>
      <xdr:col>9</xdr:col>
      <xdr:colOff>666749</xdr:colOff>
      <xdr:row>29</xdr:row>
      <xdr:rowOff>57150</xdr:rowOff>
    </xdr:from>
    <xdr:to>
      <xdr:col>19</xdr:col>
      <xdr:colOff>466724</xdr:colOff>
      <xdr:row>62</xdr:row>
      <xdr:rowOff>77080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5DE9919-69DA-3CF7-5669-4A7216AEB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49" y="5581650"/>
          <a:ext cx="7419975" cy="6306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7"/>
  <sheetViews>
    <sheetView tabSelected="1" workbookViewId="0">
      <selection activeCell="A9" sqref="A9"/>
    </sheetView>
  </sheetViews>
  <sheetFormatPr baseColWidth="10" defaultColWidth="9.1796875" defaultRowHeight="14.5"/>
  <cols>
    <col min="1" max="2" width="55" customWidth="1"/>
    <col min="3" max="4" width="10" customWidth="1"/>
    <col min="5" max="5" width="15" customWidth="1"/>
    <col min="6" max="6" width="20.26953125" bestFit="1" customWidth="1"/>
    <col min="7" max="7" width="13.26953125" bestFit="1" customWidth="1"/>
  </cols>
  <sheetData>
    <row r="1" spans="1:14">
      <c r="A1" s="1" t="s">
        <v>95</v>
      </c>
      <c r="B1" t="s">
        <v>103</v>
      </c>
    </row>
    <row r="2" spans="1:14">
      <c r="A2" s="1" t="s">
        <v>1</v>
      </c>
      <c r="B2" t="s">
        <v>101</v>
      </c>
    </row>
    <row r="3" spans="1:14">
      <c r="A3" s="1" t="s">
        <v>2</v>
      </c>
      <c r="B3" t="s">
        <v>11</v>
      </c>
    </row>
    <row r="4" spans="1:14">
      <c r="A4" s="1" t="s">
        <v>3</v>
      </c>
      <c r="B4" t="s">
        <v>12</v>
      </c>
    </row>
    <row r="5" spans="1:14">
      <c r="A5" s="1" t="s">
        <v>5</v>
      </c>
      <c r="B5">
        <v>1</v>
      </c>
    </row>
    <row r="6" spans="1:14">
      <c r="A6" s="1" t="s">
        <v>6</v>
      </c>
      <c r="B6" t="s">
        <v>7</v>
      </c>
    </row>
    <row r="7" spans="1:14">
      <c r="A7" s="1" t="s">
        <v>8</v>
      </c>
      <c r="B7" t="s">
        <v>38</v>
      </c>
    </row>
    <row r="8" spans="1:14">
      <c r="A8" s="1" t="s">
        <v>9</v>
      </c>
    </row>
    <row r="9" spans="1:14">
      <c r="A9" s="1" t="s">
        <v>10</v>
      </c>
      <c r="B9" s="1" t="s">
        <v>2</v>
      </c>
      <c r="C9" s="1" t="s">
        <v>3</v>
      </c>
      <c r="D9" s="1" t="s">
        <v>5</v>
      </c>
      <c r="E9" s="1" t="s">
        <v>6</v>
      </c>
      <c r="F9" s="2" t="s">
        <v>0</v>
      </c>
      <c r="G9" s="2" t="s">
        <v>53</v>
      </c>
      <c r="H9" s="2" t="s">
        <v>54</v>
      </c>
      <c r="I9" s="2" t="s">
        <v>55</v>
      </c>
      <c r="J9" s="2" t="s">
        <v>56</v>
      </c>
      <c r="K9" s="2" t="s">
        <v>57</v>
      </c>
      <c r="L9" s="2" t="s">
        <v>58</v>
      </c>
      <c r="M9" s="2" t="s">
        <v>59</v>
      </c>
      <c r="N9" s="2" t="s">
        <v>60</v>
      </c>
    </row>
    <row r="10" spans="1:14">
      <c r="A10" t="s">
        <v>63</v>
      </c>
      <c r="B10" t="s">
        <v>64</v>
      </c>
      <c r="C10" t="s">
        <v>46</v>
      </c>
      <c r="D10">
        <v>7.79</v>
      </c>
      <c r="E10" t="s">
        <v>7</v>
      </c>
      <c r="F10" t="s">
        <v>94</v>
      </c>
      <c r="G10" t="s">
        <v>62</v>
      </c>
    </row>
    <row r="11" spans="1:14">
      <c r="A11" t="s">
        <v>39</v>
      </c>
      <c r="B11" t="s">
        <v>13</v>
      </c>
      <c r="C11" t="s">
        <v>4</v>
      </c>
      <c r="D11">
        <v>3.64</v>
      </c>
      <c r="E11" t="s">
        <v>14</v>
      </c>
      <c r="F11" t="s">
        <v>94</v>
      </c>
      <c r="G11" t="s">
        <v>62</v>
      </c>
    </row>
    <row r="12" spans="1:14">
      <c r="A12" t="s">
        <v>40</v>
      </c>
      <c r="B12" t="s">
        <v>41</v>
      </c>
      <c r="C12" t="s">
        <v>42</v>
      </c>
      <c r="D12">
        <v>2.2799999999999998</v>
      </c>
      <c r="E12" t="s">
        <v>17</v>
      </c>
      <c r="F12" t="s">
        <v>94</v>
      </c>
      <c r="G12" t="s">
        <v>62</v>
      </c>
    </row>
    <row r="13" spans="1:14">
      <c r="A13" t="s">
        <v>40</v>
      </c>
      <c r="B13" t="s">
        <v>41</v>
      </c>
      <c r="C13" t="s">
        <v>42</v>
      </c>
      <c r="D13">
        <v>3.06</v>
      </c>
      <c r="E13" t="s">
        <v>17</v>
      </c>
      <c r="F13" t="s">
        <v>94</v>
      </c>
      <c r="G13" t="s">
        <v>62</v>
      </c>
    </row>
    <row r="14" spans="1:14">
      <c r="A14" t="s">
        <v>43</v>
      </c>
      <c r="B14" t="s">
        <v>43</v>
      </c>
      <c r="C14" t="s">
        <v>16</v>
      </c>
      <c r="D14">
        <v>3.54</v>
      </c>
      <c r="E14" t="s">
        <v>44</v>
      </c>
      <c r="F14" t="s">
        <v>94</v>
      </c>
      <c r="G14" t="s">
        <v>62</v>
      </c>
    </row>
    <row r="15" spans="1:14">
      <c r="A15" t="s">
        <v>45</v>
      </c>
      <c r="B15" t="s">
        <v>21</v>
      </c>
      <c r="C15" t="s">
        <v>46</v>
      </c>
      <c r="D15">
        <v>8.1999999999999993</v>
      </c>
      <c r="E15" t="s">
        <v>14</v>
      </c>
      <c r="F15" t="s">
        <v>94</v>
      </c>
      <c r="G15" t="s">
        <v>62</v>
      </c>
    </row>
    <row r="16" spans="1:14">
      <c r="A16" t="s">
        <v>47</v>
      </c>
      <c r="B16" t="s">
        <v>27</v>
      </c>
      <c r="C16" t="s">
        <v>46</v>
      </c>
      <c r="D16">
        <v>6.24</v>
      </c>
      <c r="E16" t="s">
        <v>14</v>
      </c>
      <c r="F16" t="s">
        <v>94</v>
      </c>
      <c r="G16" t="s">
        <v>62</v>
      </c>
    </row>
    <row r="17" spans="1:7">
      <c r="A17" t="s">
        <v>48</v>
      </c>
      <c r="B17" t="s">
        <v>27</v>
      </c>
      <c r="C17" t="s">
        <v>46</v>
      </c>
      <c r="D17">
        <v>11.22</v>
      </c>
      <c r="E17" t="s">
        <v>14</v>
      </c>
      <c r="F17" t="s">
        <v>94</v>
      </c>
      <c r="G17" t="s">
        <v>62</v>
      </c>
    </row>
    <row r="18" spans="1:7">
      <c r="A18" t="s">
        <v>73</v>
      </c>
      <c r="B18" t="s">
        <v>30</v>
      </c>
      <c r="C18" t="s">
        <v>16</v>
      </c>
      <c r="D18">
        <v>0.49</v>
      </c>
      <c r="E18" t="s">
        <v>7</v>
      </c>
      <c r="F18" t="s">
        <v>94</v>
      </c>
      <c r="G18" t="s">
        <v>62</v>
      </c>
    </row>
    <row r="19" spans="1:7">
      <c r="A19" t="s">
        <v>49</v>
      </c>
      <c r="B19" t="s">
        <v>50</v>
      </c>
      <c r="C19" t="s">
        <v>4</v>
      </c>
      <c r="D19">
        <v>2.2400000000000002</v>
      </c>
      <c r="E19" t="s">
        <v>7</v>
      </c>
      <c r="F19" t="s">
        <v>94</v>
      </c>
      <c r="G19" t="s">
        <v>62</v>
      </c>
    </row>
    <row r="20" spans="1:7">
      <c r="A20" t="s">
        <v>51</v>
      </c>
      <c r="B20" t="s">
        <v>27</v>
      </c>
      <c r="C20" t="s">
        <v>46</v>
      </c>
      <c r="D20">
        <v>9.01</v>
      </c>
      <c r="E20" t="s">
        <v>14</v>
      </c>
      <c r="F20" t="s">
        <v>94</v>
      </c>
      <c r="G20" t="s">
        <v>62</v>
      </c>
    </row>
    <row r="21" spans="1:7">
      <c r="A21" t="s">
        <v>26</v>
      </c>
      <c r="B21" t="s">
        <v>15</v>
      </c>
      <c r="C21" t="s">
        <v>42</v>
      </c>
      <c r="D21">
        <v>0.7</v>
      </c>
      <c r="E21" t="s">
        <v>17</v>
      </c>
      <c r="F21" t="s">
        <v>94</v>
      </c>
      <c r="G21" t="s">
        <v>62</v>
      </c>
    </row>
    <row r="22" spans="1:7">
      <c r="A22" t="s">
        <v>49</v>
      </c>
      <c r="B22" t="s">
        <v>50</v>
      </c>
      <c r="C22" t="s">
        <v>4</v>
      </c>
      <c r="D22">
        <v>0.28999999999999998</v>
      </c>
      <c r="E22" t="s">
        <v>7</v>
      </c>
      <c r="F22" t="s">
        <v>94</v>
      </c>
      <c r="G22" t="s">
        <v>62</v>
      </c>
    </row>
    <row r="23" spans="1:7">
      <c r="A23" t="s">
        <v>43</v>
      </c>
      <c r="B23" t="s">
        <v>43</v>
      </c>
      <c r="C23" t="s">
        <v>16</v>
      </c>
      <c r="D23">
        <v>0.91</v>
      </c>
      <c r="E23" t="s">
        <v>44</v>
      </c>
      <c r="F23" t="s">
        <v>94</v>
      </c>
      <c r="G23" t="s">
        <v>62</v>
      </c>
    </row>
    <row r="24" spans="1:7">
      <c r="A24" t="s">
        <v>28</v>
      </c>
      <c r="B24" t="s">
        <v>29</v>
      </c>
      <c r="C24" t="s">
        <v>16</v>
      </c>
      <c r="D24">
        <v>0.64</v>
      </c>
      <c r="E24" t="s">
        <v>7</v>
      </c>
      <c r="F24" t="s">
        <v>94</v>
      </c>
      <c r="G24" t="s">
        <v>62</v>
      </c>
    </row>
    <row r="25" spans="1:7">
      <c r="A25" t="s">
        <v>96</v>
      </c>
      <c r="B25" t="s">
        <v>97</v>
      </c>
      <c r="C25" t="s">
        <v>16</v>
      </c>
      <c r="D25">
        <v>7.0000000000000007E-2</v>
      </c>
      <c r="E25" t="s">
        <v>7</v>
      </c>
      <c r="F25" t="s">
        <v>94</v>
      </c>
      <c r="G25" t="s">
        <v>62</v>
      </c>
    </row>
    <row r="26" spans="1:7">
      <c r="A26" t="s">
        <v>26</v>
      </c>
      <c r="B26" t="s">
        <v>15</v>
      </c>
      <c r="C26" t="s">
        <v>42</v>
      </c>
      <c r="D26">
        <v>2.9</v>
      </c>
      <c r="E26" t="s">
        <v>17</v>
      </c>
      <c r="F26" t="s">
        <v>94</v>
      </c>
      <c r="G26" t="s">
        <v>62</v>
      </c>
    </row>
    <row r="27" spans="1:7">
      <c r="A27" t="s">
        <v>45</v>
      </c>
      <c r="B27" t="s">
        <v>21</v>
      </c>
      <c r="C27" t="s">
        <v>46</v>
      </c>
      <c r="D27">
        <v>18.5</v>
      </c>
      <c r="E27" t="s">
        <v>14</v>
      </c>
      <c r="F27" t="s">
        <v>94</v>
      </c>
      <c r="G27" t="s">
        <v>62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FFB66-19E7-4922-B5E1-4E4E9E0C2D29}">
  <dimension ref="A1:N44"/>
  <sheetViews>
    <sheetView topLeftCell="A22" workbookViewId="0">
      <selection activeCell="A9" sqref="A9"/>
    </sheetView>
  </sheetViews>
  <sheetFormatPr baseColWidth="10" defaultRowHeight="14.5"/>
  <cols>
    <col min="1" max="1" width="63.26953125" bestFit="1" customWidth="1"/>
    <col min="2" max="2" width="97.54296875" bestFit="1" customWidth="1"/>
    <col min="4" max="4" width="12" bestFit="1" customWidth="1"/>
    <col min="6" max="6" width="19.7265625" bestFit="1" customWidth="1"/>
  </cols>
  <sheetData>
    <row r="1" spans="1:14">
      <c r="A1" s="1" t="s">
        <v>1</v>
      </c>
      <c r="B1" t="s">
        <v>102</v>
      </c>
    </row>
    <row r="2" spans="1:14">
      <c r="A2" s="1" t="s">
        <v>2</v>
      </c>
      <c r="B2" t="s">
        <v>11</v>
      </c>
    </row>
    <row r="3" spans="1:14">
      <c r="A3" s="1" t="s">
        <v>3</v>
      </c>
      <c r="B3" t="s">
        <v>61</v>
      </c>
    </row>
    <row r="4" spans="1:14">
      <c r="A4" s="1" t="s">
        <v>5</v>
      </c>
      <c r="B4">
        <v>1</v>
      </c>
    </row>
    <row r="5" spans="1:14">
      <c r="A5" s="1" t="s">
        <v>6</v>
      </c>
      <c r="B5" t="s">
        <v>7</v>
      </c>
    </row>
    <row r="6" spans="1:14">
      <c r="A6" s="1" t="s">
        <v>8</v>
      </c>
      <c r="B6" t="s">
        <v>52</v>
      </c>
    </row>
    <row r="7" spans="1:14">
      <c r="A7" s="1" t="s">
        <v>9</v>
      </c>
    </row>
    <row r="8" spans="1:14" s="1" customFormat="1">
      <c r="A8" s="1" t="s">
        <v>10</v>
      </c>
      <c r="B8" s="1" t="s">
        <v>2</v>
      </c>
      <c r="C8" s="1" t="s">
        <v>3</v>
      </c>
      <c r="D8" s="1" t="s">
        <v>5</v>
      </c>
      <c r="E8" s="1" t="s">
        <v>6</v>
      </c>
      <c r="F8" s="2" t="s">
        <v>0</v>
      </c>
      <c r="G8" s="2" t="s">
        <v>53</v>
      </c>
      <c r="H8" s="2" t="s">
        <v>54</v>
      </c>
      <c r="I8" s="2" t="s">
        <v>55</v>
      </c>
      <c r="J8" s="2" t="s">
        <v>56</v>
      </c>
      <c r="K8" s="2" t="s">
        <v>57</v>
      </c>
      <c r="L8" s="2" t="s">
        <v>58</v>
      </c>
      <c r="M8" s="2" t="s">
        <v>59</v>
      </c>
      <c r="N8" s="2" t="s">
        <v>60</v>
      </c>
    </row>
    <row r="9" spans="1:14">
      <c r="A9" t="s">
        <v>63</v>
      </c>
      <c r="B9" t="s">
        <v>64</v>
      </c>
      <c r="C9" t="s">
        <v>46</v>
      </c>
      <c r="D9">
        <v>4.79</v>
      </c>
      <c r="E9" t="s">
        <v>7</v>
      </c>
      <c r="F9" t="s">
        <v>94</v>
      </c>
      <c r="G9" t="s">
        <v>62</v>
      </c>
    </row>
    <row r="10" spans="1:14">
      <c r="A10" t="s">
        <v>67</v>
      </c>
      <c r="B10" t="s">
        <v>65</v>
      </c>
      <c r="C10" t="s">
        <v>4</v>
      </c>
      <c r="D10">
        <f>0.0046</f>
        <v>4.5999999999999999E-3</v>
      </c>
      <c r="E10" t="s">
        <v>7</v>
      </c>
      <c r="F10" t="s">
        <v>94</v>
      </c>
      <c r="G10" t="s">
        <v>62</v>
      </c>
    </row>
    <row r="11" spans="1:14">
      <c r="A11" t="s">
        <v>68</v>
      </c>
      <c r="B11" t="s">
        <v>66</v>
      </c>
      <c r="C11" t="s">
        <v>16</v>
      </c>
      <c r="D11">
        <f>0.00022</f>
        <v>2.2000000000000001E-4</v>
      </c>
      <c r="E11" t="s">
        <v>7</v>
      </c>
      <c r="F11" t="s">
        <v>94</v>
      </c>
      <c r="G11" t="s">
        <v>62</v>
      </c>
    </row>
    <row r="12" spans="1:14">
      <c r="A12" t="s">
        <v>33</v>
      </c>
      <c r="B12" t="s">
        <v>34</v>
      </c>
      <c r="C12" t="s">
        <v>4</v>
      </c>
      <c r="D12">
        <f>0.00005</f>
        <v>5.0000000000000002E-5</v>
      </c>
      <c r="E12" t="s">
        <v>7</v>
      </c>
      <c r="F12" t="s">
        <v>94</v>
      </c>
      <c r="G12" t="s">
        <v>62</v>
      </c>
    </row>
    <row r="13" spans="1:14">
      <c r="A13" t="s">
        <v>33</v>
      </c>
      <c r="B13" t="s">
        <v>34</v>
      </c>
      <c r="C13" t="s">
        <v>4</v>
      </c>
      <c r="D13">
        <f>0.00009</f>
        <v>9.0000000000000006E-5</v>
      </c>
      <c r="E13" t="s">
        <v>7</v>
      </c>
      <c r="F13" t="s">
        <v>94</v>
      </c>
      <c r="G13" t="s">
        <v>62</v>
      </c>
    </row>
    <row r="14" spans="1:14">
      <c r="A14" t="s">
        <v>33</v>
      </c>
      <c r="B14" t="s">
        <v>34</v>
      </c>
      <c r="C14" t="s">
        <v>4</v>
      </c>
      <c r="D14">
        <f>0.0002</f>
        <v>2.0000000000000001E-4</v>
      </c>
      <c r="E14" t="s">
        <v>7</v>
      </c>
      <c r="F14" t="s">
        <v>94</v>
      </c>
      <c r="G14" t="s">
        <v>62</v>
      </c>
    </row>
    <row r="15" spans="1:14">
      <c r="A15" t="s">
        <v>33</v>
      </c>
      <c r="B15" t="s">
        <v>34</v>
      </c>
      <c r="C15" t="s">
        <v>4</v>
      </c>
      <c r="D15">
        <f>0.0006</f>
        <v>5.9999999999999995E-4</v>
      </c>
      <c r="E15" t="s">
        <v>7</v>
      </c>
      <c r="F15" t="s">
        <v>94</v>
      </c>
      <c r="G15" t="s">
        <v>62</v>
      </c>
    </row>
    <row r="16" spans="1:14">
      <c r="A16" t="s">
        <v>33</v>
      </c>
      <c r="B16" t="s">
        <v>34</v>
      </c>
      <c r="C16" t="s">
        <v>4</v>
      </c>
      <c r="D16">
        <v>0.12</v>
      </c>
      <c r="E16" t="s">
        <v>7</v>
      </c>
      <c r="F16" t="s">
        <v>94</v>
      </c>
      <c r="G16" t="s">
        <v>62</v>
      </c>
      <c r="I16" s="4"/>
    </row>
    <row r="17" spans="1:8">
      <c r="A17" t="s">
        <v>26</v>
      </c>
      <c r="B17" t="s">
        <v>15</v>
      </c>
      <c r="C17" t="s">
        <v>61</v>
      </c>
      <c r="D17">
        <v>11.43</v>
      </c>
      <c r="E17" t="s">
        <v>17</v>
      </c>
      <c r="F17" t="s">
        <v>94</v>
      </c>
      <c r="G17" t="s">
        <v>62</v>
      </c>
    </row>
    <row r="18" spans="1:8">
      <c r="A18" t="s">
        <v>47</v>
      </c>
      <c r="B18" t="s">
        <v>27</v>
      </c>
      <c r="C18" t="s">
        <v>46</v>
      </c>
      <c r="D18">
        <v>0.02</v>
      </c>
      <c r="E18" t="s">
        <v>14</v>
      </c>
      <c r="F18" t="s">
        <v>94</v>
      </c>
      <c r="G18" t="s">
        <v>62</v>
      </c>
    </row>
    <row r="19" spans="1:8">
      <c r="A19" t="s">
        <v>47</v>
      </c>
      <c r="B19" t="s">
        <v>27</v>
      </c>
      <c r="C19" t="s">
        <v>46</v>
      </c>
      <c r="D19">
        <v>0.32</v>
      </c>
      <c r="E19" t="s">
        <v>14</v>
      </c>
      <c r="F19" t="s">
        <v>94</v>
      </c>
      <c r="G19" t="s">
        <v>62</v>
      </c>
    </row>
    <row r="20" spans="1:8">
      <c r="A20" t="s">
        <v>70</v>
      </c>
      <c r="B20" t="s">
        <v>69</v>
      </c>
      <c r="C20" t="s">
        <v>16</v>
      </c>
      <c r="D20">
        <v>0.15</v>
      </c>
      <c r="E20" t="s">
        <v>7</v>
      </c>
      <c r="F20" t="s">
        <v>94</v>
      </c>
      <c r="G20" t="s">
        <v>62</v>
      </c>
    </row>
    <row r="21" spans="1:8">
      <c r="A21" t="s">
        <v>72</v>
      </c>
      <c r="B21" t="s">
        <v>71</v>
      </c>
      <c r="C21" t="s">
        <v>16</v>
      </c>
      <c r="D21">
        <f>0.00382</f>
        <v>3.82E-3</v>
      </c>
      <c r="E21" t="s">
        <v>7</v>
      </c>
      <c r="F21" t="s">
        <v>94</v>
      </c>
      <c r="G21" t="s">
        <v>62</v>
      </c>
    </row>
    <row r="22" spans="1:8">
      <c r="A22" t="s">
        <v>18</v>
      </c>
      <c r="B22" t="s">
        <v>19</v>
      </c>
      <c r="C22" t="s">
        <v>16</v>
      </c>
      <c r="D22">
        <v>2.15</v>
      </c>
      <c r="E22" t="s">
        <v>7</v>
      </c>
      <c r="F22" t="s">
        <v>94</v>
      </c>
      <c r="G22" t="s">
        <v>62</v>
      </c>
    </row>
    <row r="23" spans="1:8">
      <c r="A23" t="s">
        <v>73</v>
      </c>
      <c r="B23" t="s">
        <v>30</v>
      </c>
      <c r="C23" t="s">
        <v>16</v>
      </c>
      <c r="D23">
        <v>2.74</v>
      </c>
      <c r="E23" t="s">
        <v>7</v>
      </c>
      <c r="F23" t="s">
        <v>94</v>
      </c>
      <c r="G23" t="s">
        <v>62</v>
      </c>
    </row>
    <row r="24" spans="1:8">
      <c r="A24" t="s">
        <v>75</v>
      </c>
      <c r="B24" t="s">
        <v>74</v>
      </c>
      <c r="C24" t="s">
        <v>4</v>
      </c>
      <c r="D24">
        <v>0.01</v>
      </c>
      <c r="E24" t="s">
        <v>7</v>
      </c>
      <c r="F24" t="s">
        <v>94</v>
      </c>
      <c r="G24" t="s">
        <v>62</v>
      </c>
    </row>
    <row r="25" spans="1:8">
      <c r="A25" t="s">
        <v>31</v>
      </c>
      <c r="B25" t="s">
        <v>32</v>
      </c>
      <c r="C25" t="s">
        <v>4</v>
      </c>
      <c r="D25">
        <v>0.2</v>
      </c>
      <c r="E25" t="s">
        <v>7</v>
      </c>
      <c r="F25" t="s">
        <v>94</v>
      </c>
      <c r="G25" t="s">
        <v>62</v>
      </c>
    </row>
    <row r="26" spans="1:8">
      <c r="A26" t="s">
        <v>76</v>
      </c>
      <c r="B26" t="s">
        <v>77</v>
      </c>
      <c r="C26" t="s">
        <v>4</v>
      </c>
      <c r="D26">
        <v>0.02</v>
      </c>
      <c r="E26" t="s">
        <v>7</v>
      </c>
      <c r="F26" t="s">
        <v>94</v>
      </c>
      <c r="G26" t="s">
        <v>62</v>
      </c>
    </row>
    <row r="27" spans="1:8">
      <c r="A27" t="s">
        <v>78</v>
      </c>
      <c r="B27" t="s">
        <v>79</v>
      </c>
      <c r="C27" t="s">
        <v>4</v>
      </c>
      <c r="D27">
        <v>0.02</v>
      </c>
      <c r="E27" t="s">
        <v>7</v>
      </c>
      <c r="F27" t="s">
        <v>94</v>
      </c>
      <c r="G27" t="s">
        <v>62</v>
      </c>
    </row>
    <row r="28" spans="1:8">
      <c r="A28" t="s">
        <v>81</v>
      </c>
      <c r="B28" t="s">
        <v>80</v>
      </c>
      <c r="C28" t="s">
        <v>4</v>
      </c>
      <c r="D28">
        <v>0.02</v>
      </c>
      <c r="E28" t="s">
        <v>7</v>
      </c>
      <c r="F28" t="s">
        <v>94</v>
      </c>
      <c r="G28" t="s">
        <v>62</v>
      </c>
    </row>
    <row r="29" spans="1:8">
      <c r="A29" t="s">
        <v>22</v>
      </c>
      <c r="B29" t="s">
        <v>23</v>
      </c>
      <c r="C29" t="s">
        <v>16</v>
      </c>
      <c r="D29">
        <v>0.01</v>
      </c>
      <c r="E29" t="s">
        <v>7</v>
      </c>
      <c r="F29" t="s">
        <v>94</v>
      </c>
      <c r="G29" t="s">
        <v>62</v>
      </c>
    </row>
    <row r="30" spans="1:8">
      <c r="A30" t="s">
        <v>24</v>
      </c>
      <c r="B30" t="s">
        <v>25</v>
      </c>
      <c r="C30" t="s">
        <v>16</v>
      </c>
      <c r="D30">
        <v>0.62</v>
      </c>
      <c r="E30" t="s">
        <v>7</v>
      </c>
      <c r="F30" t="s">
        <v>94</v>
      </c>
      <c r="G30" t="s">
        <v>62</v>
      </c>
    </row>
    <row r="31" spans="1:8">
      <c r="A31" t="s">
        <v>98</v>
      </c>
      <c r="D31">
        <f>0.0015</f>
        <v>1.5E-3</v>
      </c>
      <c r="E31" t="s">
        <v>7</v>
      </c>
      <c r="F31" s="3" t="s">
        <v>82</v>
      </c>
      <c r="G31" s="3" t="s">
        <v>83</v>
      </c>
      <c r="H31" s="3" t="s">
        <v>90</v>
      </c>
    </row>
    <row r="32" spans="1:8">
      <c r="A32" t="s">
        <v>85</v>
      </c>
      <c r="D32">
        <f>0.0000007</f>
        <v>6.9999999999999997E-7</v>
      </c>
      <c r="E32" t="s">
        <v>7</v>
      </c>
      <c r="F32" s="3" t="s">
        <v>82</v>
      </c>
      <c r="G32" s="3" t="s">
        <v>83</v>
      </c>
      <c r="H32" s="3" t="s">
        <v>90</v>
      </c>
    </row>
    <row r="33" spans="1:8">
      <c r="A33" t="s">
        <v>86</v>
      </c>
      <c r="D33">
        <f>0.00001</f>
        <v>1.0000000000000001E-5</v>
      </c>
      <c r="E33" t="s">
        <v>7</v>
      </c>
      <c r="F33" s="3" t="s">
        <v>82</v>
      </c>
      <c r="G33" s="3" t="s">
        <v>83</v>
      </c>
      <c r="H33" s="3" t="s">
        <v>90</v>
      </c>
    </row>
    <row r="34" spans="1:8">
      <c r="A34" t="s">
        <v>35</v>
      </c>
      <c r="D34">
        <f>0.00003</f>
        <v>3.0000000000000001E-5</v>
      </c>
      <c r="E34" t="s">
        <v>7</v>
      </c>
      <c r="F34" s="3" t="s">
        <v>82</v>
      </c>
      <c r="G34" s="3" t="s">
        <v>83</v>
      </c>
      <c r="H34" s="3" t="s">
        <v>90</v>
      </c>
    </row>
    <row r="35" spans="1:8">
      <c r="A35" t="s">
        <v>99</v>
      </c>
      <c r="D35">
        <f>0.00027</f>
        <v>2.7E-4</v>
      </c>
      <c r="E35" t="s">
        <v>7</v>
      </c>
      <c r="F35" s="3" t="s">
        <v>82</v>
      </c>
      <c r="G35" s="3" t="s">
        <v>83</v>
      </c>
      <c r="H35" s="3" t="s">
        <v>90</v>
      </c>
    </row>
    <row r="36" spans="1:8">
      <c r="A36" t="s">
        <v>87</v>
      </c>
      <c r="D36">
        <f>0.00008</f>
        <v>8.0000000000000007E-5</v>
      </c>
      <c r="E36" t="s">
        <v>7</v>
      </c>
      <c r="F36" s="3" t="s">
        <v>82</v>
      </c>
      <c r="G36" s="3" t="s">
        <v>83</v>
      </c>
      <c r="H36" s="3" t="s">
        <v>90</v>
      </c>
    </row>
    <row r="37" spans="1:8">
      <c r="A37" t="s">
        <v>88</v>
      </c>
      <c r="D37">
        <f>0.00000125</f>
        <v>1.2500000000000001E-6</v>
      </c>
      <c r="E37" t="s">
        <v>7</v>
      </c>
      <c r="F37" s="3" t="s">
        <v>82</v>
      </c>
      <c r="G37" s="3" t="s">
        <v>83</v>
      </c>
      <c r="H37" s="3" t="s">
        <v>90</v>
      </c>
    </row>
    <row r="38" spans="1:8">
      <c r="A38" t="s">
        <v>36</v>
      </c>
      <c r="D38">
        <f>0.00000356</f>
        <v>3.5599999999999998E-6</v>
      </c>
      <c r="E38" t="s">
        <v>7</v>
      </c>
      <c r="F38" s="3" t="s">
        <v>82</v>
      </c>
      <c r="G38" s="3" t="s">
        <v>83</v>
      </c>
      <c r="H38" s="3" t="s">
        <v>90</v>
      </c>
    </row>
    <row r="39" spans="1:8">
      <c r="A39" t="s">
        <v>37</v>
      </c>
      <c r="D39">
        <f>0.00018</f>
        <v>1.8000000000000001E-4</v>
      </c>
      <c r="E39" t="s">
        <v>7</v>
      </c>
      <c r="F39" s="3" t="s">
        <v>82</v>
      </c>
      <c r="G39" s="3" t="s">
        <v>83</v>
      </c>
      <c r="H39" s="3" t="s">
        <v>90</v>
      </c>
    </row>
    <row r="40" spans="1:8">
      <c r="A40" t="s">
        <v>89</v>
      </c>
      <c r="D40">
        <f>0.00167</f>
        <v>1.67E-3</v>
      </c>
      <c r="E40" t="s">
        <v>7</v>
      </c>
      <c r="F40" s="3" t="s">
        <v>82</v>
      </c>
      <c r="G40" s="3" t="s">
        <v>83</v>
      </c>
      <c r="H40" s="3" t="s">
        <v>90</v>
      </c>
    </row>
    <row r="41" spans="1:8">
      <c r="A41" t="s">
        <v>91</v>
      </c>
      <c r="D41">
        <f>0.00171</f>
        <v>1.7099999999999999E-3</v>
      </c>
      <c r="E41" t="s">
        <v>7</v>
      </c>
      <c r="F41" s="3" t="s">
        <v>82</v>
      </c>
      <c r="G41" s="3" t="s">
        <v>83</v>
      </c>
      <c r="H41" s="3" t="s">
        <v>90</v>
      </c>
    </row>
    <row r="42" spans="1:8">
      <c r="A42" t="s">
        <v>92</v>
      </c>
      <c r="D42">
        <f>0.00377</f>
        <v>3.7699999999999999E-3</v>
      </c>
      <c r="E42" t="s">
        <v>7</v>
      </c>
      <c r="F42" s="3" t="s">
        <v>82</v>
      </c>
      <c r="G42" s="3" t="s">
        <v>83</v>
      </c>
      <c r="H42" s="3" t="s">
        <v>90</v>
      </c>
    </row>
    <row r="43" spans="1:8">
      <c r="A43" t="s">
        <v>93</v>
      </c>
      <c r="D43">
        <f>0.00013</f>
        <v>1.2999999999999999E-4</v>
      </c>
      <c r="E43" t="s">
        <v>7</v>
      </c>
      <c r="F43" s="3" t="s">
        <v>82</v>
      </c>
      <c r="G43" s="3" t="s">
        <v>83</v>
      </c>
      <c r="H43" s="3" t="s">
        <v>90</v>
      </c>
    </row>
    <row r="44" spans="1:8">
      <c r="A44" t="s">
        <v>100</v>
      </c>
      <c r="D44">
        <v>0.08</v>
      </c>
      <c r="E44" t="s">
        <v>20</v>
      </c>
      <c r="F44" s="3" t="s">
        <v>82</v>
      </c>
      <c r="G44" s="3" t="s">
        <v>83</v>
      </c>
      <c r="H44" s="3" t="s">
        <v>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Pyrometallurgical sulfide ore</vt:lpstr>
      <vt:lpstr>POX leaching of Ni concentrate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2026-02-03T09:58:16Z</dcterms:created>
  <dcterms:modified xsi:type="dcterms:W3CDTF">2026-05-25T12:54:48Z</dcterms:modified>
</cp:coreProperties>
</file>