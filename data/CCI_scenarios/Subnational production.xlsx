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rot\Downloads\"/>
    </mc:Choice>
  </mc:AlternateContent>
  <xr:revisionPtr revIDLastSave="0" documentId="13_ncr:1_{0B24FF3F-BF8A-4CC8-83E2-BFB7AE996FD6}" xr6:coauthVersionLast="47" xr6:coauthVersionMax="47" xr10:uidLastSave="{00000000-0000-0000-0000-000000000000}"/>
  <bookViews>
    <workbookView xWindow="-120" yWindow="-120" windowWidth="20730" windowHeight="11160" activeTab="2" xr2:uid="{A890A27C-7719-40D6-AD0F-AC4A4CDEF03A}"/>
  </bookViews>
  <sheets>
    <sheet name="2023 production, PT" sheetId="2" r:id="rId1"/>
    <sheet name="2040 existing forecasts, PT" sheetId="6" r:id="rId2"/>
    <sheet name="2040 potential forecasts, PT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6" l="1"/>
  <c r="B18" i="6"/>
  <c r="B29" i="3" l="1"/>
  <c r="B23" i="3"/>
  <c r="B16" i="3"/>
  <c r="B8" i="3"/>
  <c r="B34" i="2"/>
  <c r="C32" i="2" s="1"/>
  <c r="B26" i="2"/>
  <c r="C24" i="2" s="1"/>
  <c r="B19" i="2"/>
  <c r="C18" i="2" s="1"/>
  <c r="B9" i="2"/>
  <c r="C8" i="2" s="1"/>
  <c r="C14" i="2" l="1"/>
  <c r="C17" i="2"/>
  <c r="C7" i="2"/>
  <c r="C16" i="2"/>
  <c r="C6" i="2"/>
  <c r="C15" i="2"/>
  <c r="C33" i="2"/>
  <c r="C25" i="2"/>
  <c r="C31" i="2"/>
  <c r="C5" i="2"/>
</calcChain>
</file>

<file path=xl/sharedStrings.xml><?xml version="1.0" encoding="utf-8"?>
<sst xmlns="http://schemas.openxmlformats.org/spreadsheetml/2006/main" count="87" uniqueCount="21">
  <si>
    <t>Cobalt</t>
  </si>
  <si>
    <t>Copper</t>
  </si>
  <si>
    <t>Lithium</t>
  </si>
  <si>
    <t>Nickel</t>
  </si>
  <si>
    <t>Ontario</t>
  </si>
  <si>
    <t>Newfoundland and Labrador</t>
  </si>
  <si>
    <t>Quebec</t>
  </si>
  <si>
    <t>Manitoba</t>
  </si>
  <si>
    <t>British Columbia</t>
  </si>
  <si>
    <t>Northwest Territories</t>
  </si>
  <si>
    <t>Yukon</t>
  </si>
  <si>
    <t>Sum</t>
  </si>
  <si>
    <t>Share of production in 2023 (%)</t>
  </si>
  <si>
    <t>Calculated using data from S&amp;P Capital IQ Pro</t>
  </si>
  <si>
    <t>Province/territory</t>
  </si>
  <si>
    <t>Production in 2023 from mines at the production stage (tonnes)</t>
  </si>
  <si>
    <t>Production in 2023 from mines at the production stage (tonnes LCE)</t>
  </si>
  <si>
    <t>Production forecasts for 2040 from mines at the feasibility, preproduction, or production stage (tonnes)</t>
  </si>
  <si>
    <t>Production forecasts for 2040 from mines at the feasibility, preproduction, or production stage (tonnes LCE)</t>
  </si>
  <si>
    <t>Production forecasts for 2040 from mines at the production stage (tonnes)</t>
  </si>
  <si>
    <t>Production forecasts for 2040 from mines at the production stage (tonnes LCE)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</si>
</sst>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9" fontId="0" fillId="0" borderId="0" xfId="1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F465-67D5-4F1F-A2BD-D98F2408746F}">
  <dimension ref="A1:E34"/>
  <sheetViews>
    <sheetView workbookViewId="0"/>
  </sheetViews>
  <sheetFormatPr defaultRowHeight="15" x14ac:dyDescent="0.25"/>
  <cols>
    <col min="1" max="1" width="29.5703125" customWidth="1"/>
    <col min="2" max="2" width="29.5703125" style="1" customWidth="1"/>
    <col min="3" max="3" width="29.5703125" customWidth="1"/>
    <col min="8" max="13" width="19.85546875" customWidth="1"/>
  </cols>
  <sheetData>
    <row r="1" spans="1:5" x14ac:dyDescent="0.25">
      <c r="A1" t="s">
        <v>13</v>
      </c>
    </row>
    <row r="3" spans="1:5" x14ac:dyDescent="0.25">
      <c r="A3" s="2" t="s">
        <v>0</v>
      </c>
    </row>
    <row r="4" spans="1:5" s="6" customFormat="1" ht="45" x14ac:dyDescent="0.25">
      <c r="A4" s="4" t="s">
        <v>14</v>
      </c>
      <c r="B4" s="5" t="s">
        <v>15</v>
      </c>
      <c r="C4" s="4" t="s">
        <v>12</v>
      </c>
    </row>
    <row r="5" spans="1:5" x14ac:dyDescent="0.25">
      <c r="A5" t="s">
        <v>7</v>
      </c>
      <c r="B5" s="1">
        <v>94</v>
      </c>
      <c r="C5" s="3">
        <f>B5/$B$9</f>
        <v>1.9599666388657216E-2</v>
      </c>
      <c r="E5" s="1"/>
    </row>
    <row r="6" spans="1:5" x14ac:dyDescent="0.25">
      <c r="A6" t="s">
        <v>5</v>
      </c>
      <c r="B6" s="1">
        <v>637</v>
      </c>
      <c r="C6" s="3">
        <f t="shared" ref="C6:C8" si="0">B6/$B$9</f>
        <v>0.1328190158465388</v>
      </c>
    </row>
    <row r="7" spans="1:5" x14ac:dyDescent="0.25">
      <c r="A7" t="s">
        <v>4</v>
      </c>
      <c r="B7" s="1">
        <v>3865</v>
      </c>
      <c r="C7" s="3">
        <f t="shared" si="0"/>
        <v>0.80587989991659714</v>
      </c>
    </row>
    <row r="8" spans="1:5" x14ac:dyDescent="0.25">
      <c r="A8" t="s">
        <v>6</v>
      </c>
      <c r="B8" s="1">
        <v>200</v>
      </c>
      <c r="C8" s="3">
        <f t="shared" si="0"/>
        <v>4.1701417848206836E-2</v>
      </c>
    </row>
    <row r="9" spans="1:5" x14ac:dyDescent="0.25">
      <c r="A9" t="s">
        <v>11</v>
      </c>
      <c r="B9" s="1">
        <f>SUM(B5:B8)</f>
        <v>4796</v>
      </c>
    </row>
    <row r="12" spans="1:5" x14ac:dyDescent="0.25">
      <c r="A12" s="2" t="s">
        <v>1</v>
      </c>
    </row>
    <row r="13" spans="1:5" s="6" customFormat="1" ht="45" x14ac:dyDescent="0.25">
      <c r="A13" s="4" t="s">
        <v>14</v>
      </c>
      <c r="B13" s="5" t="s">
        <v>15</v>
      </c>
      <c r="C13" s="4" t="s">
        <v>12</v>
      </c>
    </row>
    <row r="14" spans="1:5" x14ac:dyDescent="0.25">
      <c r="A14" t="s">
        <v>8</v>
      </c>
      <c r="B14" s="1">
        <v>277891</v>
      </c>
      <c r="C14" s="3">
        <f>B14/$B$19</f>
        <v>0.66199041881361953</v>
      </c>
      <c r="E14" s="1"/>
    </row>
    <row r="15" spans="1:5" x14ac:dyDescent="0.25">
      <c r="A15" t="s">
        <v>7</v>
      </c>
      <c r="B15" s="1">
        <v>16854</v>
      </c>
      <c r="C15" s="3">
        <f t="shared" ref="C15:C18" si="1">B15/$B$19</f>
        <v>4.01495065284041E-2</v>
      </c>
    </row>
    <row r="16" spans="1:5" x14ac:dyDescent="0.25">
      <c r="A16" t="s">
        <v>5</v>
      </c>
      <c r="B16" s="1">
        <v>9600</v>
      </c>
      <c r="C16" s="3">
        <f t="shared" si="1"/>
        <v>2.2869067442309203E-2</v>
      </c>
    </row>
    <row r="17" spans="1:5" x14ac:dyDescent="0.25">
      <c r="A17" t="s">
        <v>4</v>
      </c>
      <c r="B17" s="1">
        <v>108793</v>
      </c>
      <c r="C17" s="3">
        <f t="shared" si="1"/>
        <v>0.25916608898449428</v>
      </c>
    </row>
    <row r="18" spans="1:5" x14ac:dyDescent="0.25">
      <c r="A18" t="s">
        <v>6</v>
      </c>
      <c r="B18" s="1">
        <v>6643</v>
      </c>
      <c r="C18" s="3">
        <f t="shared" si="1"/>
        <v>1.5824918231172921E-2</v>
      </c>
    </row>
    <row r="19" spans="1:5" x14ac:dyDescent="0.25">
      <c r="A19" t="s">
        <v>11</v>
      </c>
      <c r="B19" s="1">
        <f>SUM(B14:B18)</f>
        <v>419781</v>
      </c>
    </row>
    <row r="22" spans="1:5" x14ac:dyDescent="0.25">
      <c r="A22" s="2" t="s">
        <v>2</v>
      </c>
    </row>
    <row r="23" spans="1:5" s="6" customFormat="1" ht="45" x14ac:dyDescent="0.25">
      <c r="A23" s="4" t="s">
        <v>14</v>
      </c>
      <c r="B23" s="5" t="s">
        <v>16</v>
      </c>
      <c r="C23" s="4" t="s">
        <v>12</v>
      </c>
    </row>
    <row r="24" spans="1:5" x14ac:dyDescent="0.25">
      <c r="A24" t="s">
        <v>7</v>
      </c>
      <c r="B24" s="1">
        <v>4513</v>
      </c>
      <c r="C24" s="3">
        <f>B24/$B$26</f>
        <v>0.33548914659530182</v>
      </c>
      <c r="E24" s="1"/>
    </row>
    <row r="25" spans="1:5" x14ac:dyDescent="0.25">
      <c r="A25" t="s">
        <v>6</v>
      </c>
      <c r="B25" s="1">
        <v>8939</v>
      </c>
      <c r="C25" s="3">
        <f>B25/$B$26</f>
        <v>0.66451085340469818</v>
      </c>
    </row>
    <row r="26" spans="1:5" x14ac:dyDescent="0.25">
      <c r="A26" t="s">
        <v>11</v>
      </c>
      <c r="B26" s="1">
        <f>SUM(B24:B25)</f>
        <v>13452</v>
      </c>
    </row>
    <row r="29" spans="1:5" x14ac:dyDescent="0.25">
      <c r="A29" s="2" t="s">
        <v>3</v>
      </c>
    </row>
    <row r="30" spans="1:5" s="6" customFormat="1" ht="45" x14ac:dyDescent="0.25">
      <c r="A30" s="4" t="s">
        <v>14</v>
      </c>
      <c r="B30" s="5" t="s">
        <v>15</v>
      </c>
      <c r="C30" s="4" t="s">
        <v>12</v>
      </c>
    </row>
    <row r="31" spans="1:5" x14ac:dyDescent="0.25">
      <c r="A31" t="s">
        <v>7</v>
      </c>
      <c r="B31" s="1">
        <v>7900</v>
      </c>
      <c r="C31" s="3">
        <f>B31/$B$34</f>
        <v>4.2288277582395228E-2</v>
      </c>
      <c r="E31" s="1"/>
    </row>
    <row r="32" spans="1:5" x14ac:dyDescent="0.25">
      <c r="A32" t="s">
        <v>5</v>
      </c>
      <c r="B32" s="1">
        <v>13500</v>
      </c>
      <c r="C32" s="3">
        <f t="shared" ref="C32:C33" si="2">B32/$B$34</f>
        <v>7.2264778147131087E-2</v>
      </c>
    </row>
    <row r="33" spans="1:3" x14ac:dyDescent="0.25">
      <c r="A33" t="s">
        <v>4</v>
      </c>
      <c r="B33" s="1">
        <v>165413</v>
      </c>
      <c r="C33" s="3">
        <f t="shared" si="2"/>
        <v>0.88544694427047366</v>
      </c>
    </row>
    <row r="34" spans="1:3" x14ac:dyDescent="0.25">
      <c r="A34" t="s">
        <v>11</v>
      </c>
      <c r="B34" s="1">
        <f>SUM(B31:B33)</f>
        <v>186813</v>
      </c>
    </row>
  </sheetData>
  <sortState xmlns:xlrd2="http://schemas.microsoft.com/office/spreadsheetml/2017/richdata2" ref="I16:K33">
    <sortCondition ref="I16:I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2E0B-7716-4011-98B0-9CB907DE4615}">
  <dimension ref="A1:H23"/>
  <sheetViews>
    <sheetView workbookViewId="0">
      <selection activeCell="G28" sqref="G28"/>
    </sheetView>
  </sheetViews>
  <sheetFormatPr defaultRowHeight="15" x14ac:dyDescent="0.25"/>
  <cols>
    <col min="1" max="1" width="27.5703125" customWidth="1"/>
    <col min="2" max="2" width="27.5703125" style="1" customWidth="1"/>
  </cols>
  <sheetData>
    <row r="1" spans="1:8" x14ac:dyDescent="0.25">
      <c r="A1" t="s">
        <v>13</v>
      </c>
    </row>
    <row r="3" spans="1:8" x14ac:dyDescent="0.25">
      <c r="A3" s="2" t="s">
        <v>0</v>
      </c>
    </row>
    <row r="4" spans="1:8" s="6" customFormat="1" ht="45" x14ac:dyDescent="0.25">
      <c r="A4" s="4" t="s">
        <v>14</v>
      </c>
      <c r="B4" s="5" t="s">
        <v>19</v>
      </c>
    </row>
    <row r="5" spans="1:8" x14ac:dyDescent="0.25">
      <c r="A5" t="s">
        <v>4</v>
      </c>
      <c r="B5" s="1">
        <v>261</v>
      </c>
    </row>
    <row r="6" spans="1:8" x14ac:dyDescent="0.25">
      <c r="A6" t="s">
        <v>11</v>
      </c>
      <c r="B6" s="1">
        <v>261</v>
      </c>
    </row>
    <row r="8" spans="1:8" x14ac:dyDescent="0.25">
      <c r="A8" s="2" t="s">
        <v>1</v>
      </c>
    </row>
    <row r="9" spans="1:8" ht="45" x14ac:dyDescent="0.25">
      <c r="A9" s="2" t="s">
        <v>14</v>
      </c>
      <c r="B9" s="5" t="s">
        <v>19</v>
      </c>
    </row>
    <row r="10" spans="1:8" x14ac:dyDescent="0.25">
      <c r="A10" t="s">
        <v>8</v>
      </c>
      <c r="B10" s="1">
        <v>108920</v>
      </c>
    </row>
    <row r="11" spans="1:8" x14ac:dyDescent="0.25">
      <c r="A11" t="s">
        <v>4</v>
      </c>
      <c r="B11" s="1">
        <v>44370</v>
      </c>
    </row>
    <row r="12" spans="1:8" x14ac:dyDescent="0.25">
      <c r="A12" t="s">
        <v>11</v>
      </c>
      <c r="B12" s="1">
        <f>SUM(B10:B11)</f>
        <v>153290</v>
      </c>
    </row>
    <row r="13" spans="1:8" x14ac:dyDescent="0.25">
      <c r="H13" s="1"/>
    </row>
    <row r="14" spans="1:8" x14ac:dyDescent="0.25">
      <c r="A14" s="2" t="s">
        <v>2</v>
      </c>
      <c r="H14" s="1"/>
    </row>
    <row r="15" spans="1:8" ht="60" x14ac:dyDescent="0.25">
      <c r="A15" s="2" t="s">
        <v>14</v>
      </c>
      <c r="B15" s="5" t="s">
        <v>20</v>
      </c>
    </row>
    <row r="16" spans="1:8" x14ac:dyDescent="0.25">
      <c r="A16" t="s">
        <v>7</v>
      </c>
      <c r="B16" s="1">
        <v>5015</v>
      </c>
    </row>
    <row r="17" spans="1:2" x14ac:dyDescent="0.25">
      <c r="A17" t="s">
        <v>6</v>
      </c>
      <c r="B17" s="1">
        <v>28177</v>
      </c>
    </row>
    <row r="18" spans="1:2" x14ac:dyDescent="0.25">
      <c r="A18" t="s">
        <v>11</v>
      </c>
      <c r="B18" s="1">
        <f>SUM(B16:B17)</f>
        <v>33192</v>
      </c>
    </row>
    <row r="20" spans="1:2" x14ac:dyDescent="0.25">
      <c r="A20" s="2" t="s">
        <v>3</v>
      </c>
    </row>
    <row r="21" spans="1:2" ht="45" x14ac:dyDescent="0.25">
      <c r="A21" s="2" t="s">
        <v>14</v>
      </c>
      <c r="B21" s="5" t="s">
        <v>19</v>
      </c>
    </row>
    <row r="22" spans="1:2" x14ac:dyDescent="0.25">
      <c r="A22" t="s">
        <v>4</v>
      </c>
      <c r="B22" s="1">
        <v>37000</v>
      </c>
    </row>
    <row r="23" spans="1:2" x14ac:dyDescent="0.25">
      <c r="A23" t="s">
        <v>11</v>
      </c>
      <c r="B23" s="1">
        <v>37000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A2BA-3C54-4D29-886A-92A8FFAC5FEB}">
  <dimension ref="A1:H29"/>
  <sheetViews>
    <sheetView tabSelected="1" workbookViewId="0"/>
  </sheetViews>
  <sheetFormatPr defaultRowHeight="15" x14ac:dyDescent="0.25"/>
  <cols>
    <col min="1" max="1" width="27.5703125" customWidth="1"/>
    <col min="2" max="2" width="27.5703125" style="1" customWidth="1"/>
  </cols>
  <sheetData>
    <row r="1" spans="1:2" x14ac:dyDescent="0.25">
      <c r="A1" t="s">
        <v>13</v>
      </c>
    </row>
    <row r="3" spans="1:2" x14ac:dyDescent="0.25">
      <c r="A3" s="2" t="s">
        <v>0</v>
      </c>
    </row>
    <row r="4" spans="1:2" s="6" customFormat="1" ht="60" x14ac:dyDescent="0.25">
      <c r="A4" s="4" t="s">
        <v>14</v>
      </c>
      <c r="B4" s="5" t="s">
        <v>17</v>
      </c>
    </row>
    <row r="5" spans="1:2" x14ac:dyDescent="0.25">
      <c r="A5" t="s">
        <v>4</v>
      </c>
      <c r="B5" s="1">
        <v>261</v>
      </c>
    </row>
    <row r="6" spans="1:2" x14ac:dyDescent="0.25">
      <c r="A6" t="s">
        <v>9</v>
      </c>
      <c r="B6" s="1">
        <v>1792</v>
      </c>
    </row>
    <row r="7" spans="1:2" x14ac:dyDescent="0.25">
      <c r="A7" t="s">
        <v>6</v>
      </c>
      <c r="B7" s="1">
        <v>2154</v>
      </c>
    </row>
    <row r="8" spans="1:2" x14ac:dyDescent="0.25">
      <c r="A8" t="s">
        <v>11</v>
      </c>
      <c r="B8" s="1">
        <f>SUM(B5:B7)</f>
        <v>4207</v>
      </c>
    </row>
    <row r="10" spans="1:2" x14ac:dyDescent="0.25">
      <c r="A10" s="2" t="s">
        <v>1</v>
      </c>
    </row>
    <row r="11" spans="1:2" ht="60" x14ac:dyDescent="0.25">
      <c r="A11" s="2" t="s">
        <v>14</v>
      </c>
      <c r="B11" s="5" t="s">
        <v>17</v>
      </c>
    </row>
    <row r="12" spans="1:2" x14ac:dyDescent="0.25">
      <c r="A12" t="s">
        <v>8</v>
      </c>
      <c r="B12" s="1">
        <v>108920</v>
      </c>
    </row>
    <row r="13" spans="1:2" x14ac:dyDescent="0.25">
      <c r="A13" t="s">
        <v>9</v>
      </c>
      <c r="B13" s="1">
        <v>959</v>
      </c>
    </row>
    <row r="14" spans="1:2" x14ac:dyDescent="0.25">
      <c r="A14" t="s">
        <v>4</v>
      </c>
      <c r="B14" s="1">
        <v>45268</v>
      </c>
    </row>
    <row r="15" spans="1:2" x14ac:dyDescent="0.25">
      <c r="A15" t="s">
        <v>10</v>
      </c>
      <c r="B15" s="1">
        <v>77000</v>
      </c>
    </row>
    <row r="16" spans="1:2" x14ac:dyDescent="0.25">
      <c r="A16" t="s">
        <v>11</v>
      </c>
      <c r="B16" s="1">
        <f>SUM(B12:B15)</f>
        <v>232147</v>
      </c>
    </row>
    <row r="17" spans="1:8" x14ac:dyDescent="0.25">
      <c r="H17" s="1"/>
    </row>
    <row r="18" spans="1:8" x14ac:dyDescent="0.25">
      <c r="A18" s="2" t="s">
        <v>2</v>
      </c>
      <c r="H18" s="1"/>
    </row>
    <row r="19" spans="1:8" ht="75" x14ac:dyDescent="0.25">
      <c r="A19" s="2" t="s">
        <v>14</v>
      </c>
      <c r="B19" s="5" t="s">
        <v>18</v>
      </c>
    </row>
    <row r="20" spans="1:8" x14ac:dyDescent="0.25">
      <c r="A20" t="s">
        <v>7</v>
      </c>
      <c r="B20" s="1">
        <v>5015</v>
      </c>
    </row>
    <row r="21" spans="1:8" x14ac:dyDescent="0.25">
      <c r="A21" t="s">
        <v>4</v>
      </c>
      <c r="B21" s="1">
        <v>37392</v>
      </c>
    </row>
    <row r="22" spans="1:8" x14ac:dyDescent="0.25">
      <c r="A22" t="s">
        <v>6</v>
      </c>
      <c r="B22" s="1">
        <v>174301</v>
      </c>
    </row>
    <row r="23" spans="1:8" x14ac:dyDescent="0.25">
      <c r="A23" t="s">
        <v>11</v>
      </c>
      <c r="B23" s="1">
        <f>SUM(B20:B22)</f>
        <v>216708</v>
      </c>
    </row>
    <row r="25" spans="1:8" x14ac:dyDescent="0.25">
      <c r="A25" s="2" t="s">
        <v>3</v>
      </c>
    </row>
    <row r="26" spans="1:8" ht="60" x14ac:dyDescent="0.25">
      <c r="A26" s="2" t="s">
        <v>14</v>
      </c>
      <c r="B26" s="5" t="s">
        <v>17</v>
      </c>
    </row>
    <row r="27" spans="1:8" x14ac:dyDescent="0.25">
      <c r="A27" t="s">
        <v>4</v>
      </c>
      <c r="B27" s="1">
        <v>37000</v>
      </c>
    </row>
    <row r="28" spans="1:8" x14ac:dyDescent="0.25">
      <c r="A28" t="s">
        <v>6</v>
      </c>
      <c r="B28" s="1">
        <v>42311</v>
      </c>
    </row>
    <row r="29" spans="1:8" x14ac:dyDescent="0.25">
      <c r="A29" t="s">
        <v>11</v>
      </c>
      <c r="B29" s="1">
        <f>SUM(B27:B28)</f>
        <v>79311</v>
      </c>
    </row>
  </sheetData>
  <sortState xmlns:xlrd2="http://schemas.microsoft.com/office/spreadsheetml/2017/richdata2" ref="J17:K27">
    <sortCondition ref="J17:J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production, PT</vt:lpstr>
      <vt:lpstr>2040 existing forecasts, PT</vt:lpstr>
      <vt:lpstr>2040 potential forecasts,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Trottier-Chi</dc:creator>
  <cp:lastModifiedBy>Calvin Trottier-Chi</cp:lastModifiedBy>
  <dcterms:created xsi:type="dcterms:W3CDTF">2024-11-01T16:05:02Z</dcterms:created>
  <dcterms:modified xsi:type="dcterms:W3CDTF">2024-11-05T20:35:59Z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{F28CAE81-F784-4ADE-9CED-831EA7EF9F77}</vt:lpwstr>
  </property>
</Properties>
</file>