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polymtlca-my.sharepoint.com/personal/marin_pellan_polymtl_ca/Documents/POST_DOC/CODE/fasc_metal_sustainability/data/CCI_scenarios/"/>
    </mc:Choice>
  </mc:AlternateContent>
  <xr:revisionPtr revIDLastSave="193" documentId="11_273A23B01633B14C0CDAEA9C5490F653FA7E0181" xr6:coauthVersionLast="47" xr6:coauthVersionMax="47" xr10:uidLastSave="{FFB89578-A822-40FB-BC18-D404279440D7}"/>
  <bookViews>
    <workbookView minimized="1" xWindow="35745" yWindow="5565" windowWidth="14400" windowHeight="7275" activeTab="2" xr2:uid="{00000000-000D-0000-FFFF-FFFF00000000}"/>
  </bookViews>
  <sheets>
    <sheet name="README" sheetId="4" r:id="rId1"/>
    <sheet name="CCI_prod_data" sheetId="9" r:id="rId2"/>
    <sheet name="CCI_raw_data" sheetId="8" r:id="rId3"/>
    <sheet name="Graphite_assumption" sheetId="7" r:id="rId4"/>
    <sheet name="Chartier_Poncelet" sheetId="5" r:id="rId5"/>
    <sheet name="CCI_demand_data" sheetId="3" r:id="rId6"/>
  </sheets>
  <definedNames>
    <definedName name="_xlnm._FilterDatabase" localSheetId="5" hidden="1">CCI_demand_data!$A$1:$E$1</definedName>
    <definedName name="_xlnm._FilterDatabase" localSheetId="1" hidden="1">CCI_prod_data!$A$1:$E$277</definedName>
    <definedName name="_xlnm._FilterDatabase" localSheetId="2" hidden="1">CCI_raw_data!$A$1:$F$1030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33" i="9" l="1"/>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32"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186"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40"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94"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48" i="9"/>
  <c r="G4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2" i="9"/>
  <c r="F3" i="9"/>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61" i="9"/>
  <c r="F62" i="9"/>
  <c r="F63" i="9"/>
  <c r="F64" i="9"/>
  <c r="F65" i="9"/>
  <c r="F66" i="9"/>
  <c r="F67" i="9"/>
  <c r="F68" i="9"/>
  <c r="F69" i="9"/>
  <c r="F70" i="9"/>
  <c r="F71" i="9"/>
  <c r="F72" i="9"/>
  <c r="F73" i="9"/>
  <c r="F74" i="9"/>
  <c r="F75" i="9"/>
  <c r="F76" i="9"/>
  <c r="F77" i="9"/>
  <c r="F78" i="9"/>
  <c r="F79" i="9"/>
  <c r="F80" i="9"/>
  <c r="F81" i="9"/>
  <c r="F82" i="9"/>
  <c r="F83" i="9"/>
  <c r="F84" i="9"/>
  <c r="F85" i="9"/>
  <c r="F86" i="9"/>
  <c r="F87" i="9"/>
  <c r="F88" i="9"/>
  <c r="F89" i="9"/>
  <c r="F90" i="9"/>
  <c r="F91" i="9"/>
  <c r="F92" i="9"/>
  <c r="F93" i="9"/>
  <c r="F94" i="9"/>
  <c r="F95" i="9"/>
  <c r="F96" i="9"/>
  <c r="F97" i="9"/>
  <c r="F98" i="9"/>
  <c r="F99" i="9"/>
  <c r="F100" i="9"/>
  <c r="F101" i="9"/>
  <c r="F102" i="9"/>
  <c r="F103" i="9"/>
  <c r="F104" i="9"/>
  <c r="F105" i="9"/>
  <c r="F106" i="9"/>
  <c r="F107" i="9"/>
  <c r="F108" i="9"/>
  <c r="F109" i="9"/>
  <c r="F110" i="9"/>
  <c r="F111" i="9"/>
  <c r="F112" i="9"/>
  <c r="F113" i="9"/>
  <c r="F114" i="9"/>
  <c r="F115" i="9"/>
  <c r="F116" i="9"/>
  <c r="F117" i="9"/>
  <c r="F118" i="9"/>
  <c r="F119" i="9"/>
  <c r="F120" i="9"/>
  <c r="F121" i="9"/>
  <c r="F122" i="9"/>
  <c r="F123" i="9"/>
  <c r="F124" i="9"/>
  <c r="F125" i="9"/>
  <c r="F126" i="9"/>
  <c r="F127" i="9"/>
  <c r="F128" i="9"/>
  <c r="F129" i="9"/>
  <c r="F130" i="9"/>
  <c r="F131" i="9"/>
  <c r="F132" i="9"/>
  <c r="F133" i="9"/>
  <c r="F134" i="9"/>
  <c r="F135" i="9"/>
  <c r="F136" i="9"/>
  <c r="F137" i="9"/>
  <c r="F138" i="9"/>
  <c r="F139" i="9"/>
  <c r="F140" i="9"/>
  <c r="F141" i="9"/>
  <c r="F142" i="9"/>
  <c r="F143" i="9"/>
  <c r="F144" i="9"/>
  <c r="F145" i="9"/>
  <c r="F146" i="9"/>
  <c r="F147" i="9"/>
  <c r="F148" i="9"/>
  <c r="F149" i="9"/>
  <c r="F150" i="9"/>
  <c r="F151" i="9"/>
  <c r="F152" i="9"/>
  <c r="F153" i="9"/>
  <c r="F154" i="9"/>
  <c r="F155" i="9"/>
  <c r="F156" i="9"/>
  <c r="F157" i="9"/>
  <c r="F158" i="9"/>
  <c r="F159" i="9"/>
  <c r="F160" i="9"/>
  <c r="F161" i="9"/>
  <c r="F162" i="9"/>
  <c r="F163" i="9"/>
  <c r="F164" i="9"/>
  <c r="F165" i="9"/>
  <c r="F166" i="9"/>
  <c r="F167" i="9"/>
  <c r="F168" i="9"/>
  <c r="F169" i="9"/>
  <c r="F170" i="9"/>
  <c r="F171" i="9"/>
  <c r="F172" i="9"/>
  <c r="F173" i="9"/>
  <c r="F174" i="9"/>
  <c r="F175" i="9"/>
  <c r="F176" i="9"/>
  <c r="F177" i="9"/>
  <c r="F178" i="9"/>
  <c r="F179" i="9"/>
  <c r="F180" i="9"/>
  <c r="F181" i="9"/>
  <c r="F182" i="9"/>
  <c r="F183" i="9"/>
  <c r="F184" i="9"/>
  <c r="F185" i="9"/>
  <c r="F186" i="9"/>
  <c r="F187" i="9"/>
  <c r="F188" i="9"/>
  <c r="F189" i="9"/>
  <c r="F190" i="9"/>
  <c r="F191" i="9"/>
  <c r="F192" i="9"/>
  <c r="F193" i="9"/>
  <c r="F194" i="9"/>
  <c r="F195" i="9"/>
  <c r="F196" i="9"/>
  <c r="F197" i="9"/>
  <c r="F198" i="9"/>
  <c r="F199" i="9"/>
  <c r="F200" i="9"/>
  <c r="F201" i="9"/>
  <c r="F202" i="9"/>
  <c r="F203" i="9"/>
  <c r="F204" i="9"/>
  <c r="F205" i="9"/>
  <c r="F206" i="9"/>
  <c r="F207" i="9"/>
  <c r="F208" i="9"/>
  <c r="F209" i="9"/>
  <c r="F210" i="9"/>
  <c r="F211" i="9"/>
  <c r="F212" i="9"/>
  <c r="F213" i="9"/>
  <c r="F214" i="9"/>
  <c r="F215" i="9"/>
  <c r="F216" i="9"/>
  <c r="F217" i="9"/>
  <c r="F218" i="9"/>
  <c r="F219" i="9"/>
  <c r="F220" i="9"/>
  <c r="F221" i="9"/>
  <c r="F222" i="9"/>
  <c r="F223" i="9"/>
  <c r="F224" i="9"/>
  <c r="F225" i="9"/>
  <c r="F226" i="9"/>
  <c r="F227" i="9"/>
  <c r="F228" i="9"/>
  <c r="F229" i="9"/>
  <c r="F230" i="9"/>
  <c r="F231" i="9"/>
  <c r="F232" i="9"/>
  <c r="F233" i="9"/>
  <c r="F234" i="9"/>
  <c r="F235" i="9"/>
  <c r="F236" i="9"/>
  <c r="F237" i="9"/>
  <c r="F238" i="9"/>
  <c r="F239" i="9"/>
  <c r="F240" i="9"/>
  <c r="F241" i="9"/>
  <c r="F242" i="9"/>
  <c r="F243" i="9"/>
  <c r="F244" i="9"/>
  <c r="F245" i="9"/>
  <c r="F246" i="9"/>
  <c r="F247" i="9"/>
  <c r="F248" i="9"/>
  <c r="F249" i="9"/>
  <c r="F250" i="9"/>
  <c r="F251" i="9"/>
  <c r="F252" i="9"/>
  <c r="F253" i="9"/>
  <c r="F254" i="9"/>
  <c r="F255" i="9"/>
  <c r="F256" i="9"/>
  <c r="F257" i="9"/>
  <c r="F258" i="9"/>
  <c r="F259" i="9"/>
  <c r="F260" i="9"/>
  <c r="F261" i="9"/>
  <c r="F262" i="9"/>
  <c r="F263" i="9"/>
  <c r="F264" i="9"/>
  <c r="F265" i="9"/>
  <c r="F266" i="9"/>
  <c r="F267" i="9"/>
  <c r="F268" i="9"/>
  <c r="F269" i="9"/>
  <c r="F270" i="9"/>
  <c r="F271" i="9"/>
  <c r="F272" i="9"/>
  <c r="F273" i="9"/>
  <c r="F274" i="9"/>
  <c r="F275" i="9"/>
  <c r="F276" i="9"/>
  <c r="F277" i="9"/>
  <c r="F2" i="9"/>
</calcChain>
</file>

<file path=xl/sharedStrings.xml><?xml version="1.0" encoding="utf-8"?>
<sst xmlns="http://schemas.openxmlformats.org/spreadsheetml/2006/main" count="5808" uniqueCount="420">
  <si>
    <t>Cobalt</t>
  </si>
  <si>
    <t>Copper</t>
  </si>
  <si>
    <t>Graphite</t>
  </si>
  <si>
    <t>Lithium</t>
  </si>
  <si>
    <t>Neodymium</t>
  </si>
  <si>
    <t>Nickel</t>
  </si>
  <si>
    <t>Metal</t>
  </si>
  <si>
    <t>Demand type</t>
  </si>
  <si>
    <t>Scenario</t>
  </si>
  <si>
    <t>Year</t>
  </si>
  <si>
    <t>Value in kt by 2040</t>
  </si>
  <si>
    <t>Cleand demand</t>
  </si>
  <si>
    <t>Domestic demand</t>
  </si>
  <si>
    <t>Other demand</t>
  </si>
  <si>
    <t>Domestic demand with exports</t>
  </si>
  <si>
    <t>Domestic demand with greater recycling</t>
  </si>
  <si>
    <t>Unit</t>
  </si>
  <si>
    <t>Existing production</t>
  </si>
  <si>
    <t>Production potential</t>
  </si>
  <si>
    <t>Z</t>
  </si>
  <si>
    <t>Symbol</t>
  </si>
  <si>
    <t>Mineral</t>
  </si>
  <si>
    <t>production yield</t>
  </si>
  <si>
    <t>comment</t>
  </si>
  <si>
    <t>U1</t>
  </si>
  <si>
    <t>U2</t>
  </si>
  <si>
    <t>U3</t>
  </si>
  <si>
    <t>U4</t>
  </si>
  <si>
    <t>U5</t>
  </si>
  <si>
    <t>GSD^2</t>
  </si>
  <si>
    <t>GSD</t>
  </si>
  <si>
    <t xml:space="preserve"> α </t>
  </si>
  <si>
    <t>β</t>
  </si>
  <si>
    <t>uncertainty string</t>
  </si>
  <si>
    <t>fabrication and manufacturing yield</t>
  </si>
  <si>
    <t>New scrap recovery</t>
  </si>
  <si>
    <t>Remelting yield</t>
  </si>
  <si>
    <t>Ag</t>
  </si>
  <si>
    <t>Silver</t>
  </si>
  <si>
    <t>Value from Helbig et al. (2020), based on Johnson et al. (2005)</t>
  </si>
  <si>
    <t>10;51.9512154283539;9.70714751948482</t>
  </si>
  <si>
    <t>10;34.2893818471338;3.39055454831733</t>
  </si>
  <si>
    <t>1;1</t>
  </si>
  <si>
    <t>Al</t>
  </si>
  <si>
    <t>Aluminum</t>
  </si>
  <si>
    <t>Value from Helbig et al. (2020), based on Bertram et al. (2017)</t>
  </si>
  <si>
    <t>10;113.573278520256;15.5905136877806</t>
  </si>
  <si>
    <t>10;174.593862569104;120.872674086303</t>
  </si>
  <si>
    <t>10;57.8315762843693;3.26874126824696</t>
  </si>
  <si>
    <t>10;33.6478349590029;1.0406546894537</t>
  </si>
  <si>
    <t>As</t>
  </si>
  <si>
    <t>Arsenic</t>
  </si>
  <si>
    <t>Calculated based an arsenic SFA for China (Shi et al., 2017). China processes most of the world's arsenic.</t>
  </si>
  <si>
    <t>10;3.77122629323981;40.9416853238295</t>
  </si>
  <si>
    <t>Calculated based an arsenic SFA for China (Shi et al., 2017). China processes most of the world's arsenic. Assumed to include the potential recovery of new scraps in the manufacture of GaAs semiconductors.</t>
  </si>
  <si>
    <t>10;45.6538461538461;1</t>
  </si>
  <si>
    <t>While the recycling of arsenic from new scraps may occur in the manufacture of GaAs semiconductors (Ciacci et al., 2015), it is here assumed to be included in the fabrication and manufacturing yield.</t>
  </si>
  <si>
    <t>1;0</t>
  </si>
  <si>
    <t>No functional recycling of arsenic is estimated to occur currently (Ciacci et al., 2015; Graedel et al., 2011; USGS, 2020)</t>
  </si>
  <si>
    <t>Au</t>
  </si>
  <si>
    <t>Gold</t>
  </si>
  <si>
    <t>Best estimate based on the literature survey realized for gold. We estimated an extraction yield of 85%, concentration yield of 87.5%, and refining yield of 98.5%. See supporting information for details.</t>
  </si>
  <si>
    <t>10;45.4350806497305;16.5843955602843</t>
  </si>
  <si>
    <t>Calculated from US statistics (USGS, 2004a), and considering a fabrication rate of 100% for investment products. We consider these values to be reasonnable estimates for the current global yields.</t>
  </si>
  <si>
    <t>10;16.1291948710862;1.8778288493111</t>
  </si>
  <si>
    <t>10;15.582167106453;1.731351900717</t>
  </si>
  <si>
    <t>10;40.5454545454546;1</t>
  </si>
  <si>
    <t>B</t>
  </si>
  <si>
    <t>Boron</t>
  </si>
  <si>
    <t>Estimate considering an extraction yield of 80% and refining yield of 97%  (Althaus et al., 2007, Graedel et al., 2015)</t>
  </si>
  <si>
    <t>10;33.0690797489152;9.54571374195491</t>
  </si>
  <si>
    <t>Assumption</t>
  </si>
  <si>
    <t>10;19;1</t>
  </si>
  <si>
    <t>Assumed to be included in the fabrication and manufacturing yield, if any recovery occurs.</t>
  </si>
  <si>
    <t>No recycling of old boron scraps is considered to occur (European Commission, 2020a; Graedel et al., 2015)</t>
  </si>
  <si>
    <t>Ba</t>
  </si>
  <si>
    <t>Barium</t>
  </si>
  <si>
    <t>Panousi et al., 2016</t>
  </si>
  <si>
    <t>10;24.8977671397931;6.22444178494826</t>
  </si>
  <si>
    <t>Assumed to be included in the fabrication and manufacturing yield.</t>
  </si>
  <si>
    <t>Negligible recycling is considered to occur for barium (Panousi et al., 2016)</t>
  </si>
  <si>
    <t>Be</t>
  </si>
  <si>
    <t>Beryllium</t>
  </si>
  <si>
    <t>Calculated based on US production, which represents over 50% of the global production (Lederer et al., 2016)</t>
  </si>
  <si>
    <t>10;26.3901895778364;3.94336166105602</t>
  </si>
  <si>
    <t>Calculated based on USGS static MFA for the year 2000 (Cunningham, 2004)</t>
  </si>
  <si>
    <t>10;26.6275683629337;2.42068803299398</t>
  </si>
  <si>
    <t>Calculated based on USGS static MFA for the year 2000 (Cunningham, 2004).</t>
  </si>
  <si>
    <t>10;40.4560030051636;6.75053492384878</t>
  </si>
  <si>
    <t>Assumed that recovered new scraps are mostly from copper alloys and remelted with a 100% yield (BeST, 2016), and that collected old scraps are targetted specifically for their Be content.</t>
  </si>
  <si>
    <t>Bi</t>
  </si>
  <si>
    <t>Bismuth</t>
  </si>
  <si>
    <t>Estimate from Panousi et al., 2016</t>
  </si>
  <si>
    <t>10;42.6955994779466;14.2318664926489</t>
  </si>
  <si>
    <t>Assumption, including the recovery of new scraps.</t>
  </si>
  <si>
    <t>No EOL recycling is considered to occur (European Commission, 2020a; Panousi et al., 2016)</t>
  </si>
  <si>
    <t>Cd</t>
  </si>
  <si>
    <t>Cadmium</t>
  </si>
  <si>
    <t>Average value from US (Llewellyn, 1994) and Australian statistics (Kwonpongsagoon et al., 2007)</t>
  </si>
  <si>
    <t>10;42.3184399435594;13.1622533658747</t>
  </si>
  <si>
    <t>Estimate based on Cha et al., 2013; Plachy, 2003</t>
  </si>
  <si>
    <t>10;499;1</t>
  </si>
  <si>
    <t>Assumed to be included in the fabrication yield.</t>
  </si>
  <si>
    <t>Estimate based on the literature review. See the Supporting information for details.</t>
  </si>
  <si>
    <t>Ce</t>
  </si>
  <si>
    <t>Cerium</t>
  </si>
  <si>
    <t>Calculated using the grouped methodogy for REEs, detailed in section 2.4.3.1 of the Supporting information.</t>
  </si>
  <si>
    <t>10;18.7670384112497;13.5057366157051</t>
  </si>
  <si>
    <t>Calculated based on the MFA of Du and Graedel, 2011</t>
  </si>
  <si>
    <t>10;30.6393317476184;5.20513743974985</t>
  </si>
  <si>
    <t>Assumption; the EOL-RR efficiency and related uncertainty is already attributed to the collection and separation step.</t>
  </si>
  <si>
    <t>Co</t>
  </si>
  <si>
    <t>Value from Helbig et al. (2020), based on Harper et al. (2012)</t>
  </si>
  <si>
    <t>10;50.6799230657896;64.6730283941691</t>
  </si>
  <si>
    <t>10;24.0978829490536;1.53779651908868</t>
  </si>
  <si>
    <t>10;1;20.3522012578616</t>
  </si>
  <si>
    <t>10;30.8185626977511;68.9961322424396</t>
  </si>
  <si>
    <t>Cr</t>
  </si>
  <si>
    <t>Chromium</t>
  </si>
  <si>
    <t>Value from Helbig et al. (2020), based on Johnson et al. (2006)</t>
  </si>
  <si>
    <t>10;65.5453497043691;21.6803849022144</t>
  </si>
  <si>
    <t>10;66.923274053289;24.189135199984</t>
  </si>
  <si>
    <t>The value from Helbig et al. (2020), based on Johnson et al. (2006), was recalculated considering that new scrap recovery losses attributed to downgraded scraps were re-allocated to remelting losses. See the supporting information for details.</t>
  </si>
  <si>
    <t>10;69.253563031311;33.0670165825179</t>
  </si>
  <si>
    <t>Based on a personal communication with B.K. Reck (01-27-2022). See supporting information for details.</t>
  </si>
  <si>
    <t>10;40.1801752469583;37.5267674476309</t>
  </si>
  <si>
    <t>Cu</t>
  </si>
  <si>
    <t>Value from Helbig et al. (2020), based on Glöser-Chahoud (2017). The works of Glöser-Chahoud were published in a scientific article (Glöser et al., 2013), and we considered this value to be as relevant in our uncertainty assessment (U1=1).</t>
  </si>
  <si>
    <t>10;98.3289857122141;19.4661443795754</t>
  </si>
  <si>
    <t>10;102.049119404496;21.7802676906478</t>
  </si>
  <si>
    <t>10;55.5217629571599;4.62681357976332</t>
  </si>
  <si>
    <t>Dy</t>
  </si>
  <si>
    <t>Dysprosium</t>
  </si>
  <si>
    <t>10;19.5906215801558;9.99436493141161</t>
  </si>
  <si>
    <t>10;40.5267516342231;31.520806826618</t>
  </si>
  <si>
    <t>10;23.2101995752731;17.4076496814548</t>
  </si>
  <si>
    <t>Assumption; the EOL-RR efficiency and related uncertainty is already attributed to the collection and separation step. The yield of remelting for new scraps is assumed to be included in the new scrap recovery as calculated based on the MFA of Du and Graedel, 2011.</t>
  </si>
  <si>
    <t>Er</t>
  </si>
  <si>
    <t>Erbium</t>
  </si>
  <si>
    <t>10;9.96416644793705;4.96362393988681</t>
  </si>
  <si>
    <t>Assumption based on the process yields for other REEs</t>
  </si>
  <si>
    <t>10;13.070617457485;2.30657955132089</t>
  </si>
  <si>
    <t>Assumed to be negligible</t>
  </si>
  <si>
    <t>Negligible EoL recycling is estimated to occur.</t>
  </si>
  <si>
    <t>Eu</t>
  </si>
  <si>
    <t>Europium</t>
  </si>
  <si>
    <t>10;19.331367438052;11.9407025185134</t>
  </si>
  <si>
    <t>10;20.9522625448498;5.23806563621244</t>
  </si>
  <si>
    <t>Assumption. The yield of remelting for new scraps may be included in the new scrap recovery as calculated based on the MFA of Du and Graedel, 2011</t>
  </si>
  <si>
    <t>Fe</t>
  </si>
  <si>
    <t>Iron</t>
  </si>
  <si>
    <t>Value from Helbig et al. (2020), based on Wang et al. (2007)</t>
  </si>
  <si>
    <t>10;630.102164893499;90.7647166096587</t>
  </si>
  <si>
    <t>10;58.9289612399502;7.42536508921625</t>
  </si>
  <si>
    <t>10;34.9905897306072;2.23344189769833</t>
  </si>
  <si>
    <t>Ga</t>
  </si>
  <si>
    <t>Gallium</t>
  </si>
  <si>
    <t>Value from Helbig et al. (2020), based on Licht et al. (2015). Currently uncertainty distribution value is fixed.</t>
  </si>
  <si>
    <t>10;1;54.6507936507936</t>
  </si>
  <si>
    <t>Value from Helbig et al. (2020), based on Licht et al. (2015)</t>
  </si>
  <si>
    <t>10;33.6440094512501;88.1574941986766</t>
  </si>
  <si>
    <t>10;77.4739569780957;19.1564443689497</t>
  </si>
  <si>
    <t>10;88.8258781426306;35.5303512570522</t>
  </si>
  <si>
    <t>Gd</t>
  </si>
  <si>
    <t>Gadolinium</t>
  </si>
  <si>
    <t>10;19.5200540391943;10.9867893058402</t>
  </si>
  <si>
    <t>10;27.710905865485;12.1235213161497</t>
  </si>
  <si>
    <t>10;5.97183199402422;23.8873279760969</t>
  </si>
  <si>
    <t>Ge</t>
  </si>
  <si>
    <t>Germanium</t>
  </si>
  <si>
    <t>10;1;151.033898305085</t>
  </si>
  <si>
    <t>10;61.5199008450466;86.6300644552697</t>
  </si>
  <si>
    <t>Assumption, based on Du and Graedel (2011). The yield of remelting may be included in the new scrap recovery yield reported in the MFA of the authors.</t>
  </si>
  <si>
    <t>10;78.2170069715507;74.2398710238448</t>
  </si>
  <si>
    <t>Hf</t>
  </si>
  <si>
    <t>Hafnium</t>
  </si>
  <si>
    <t>Estimate based on the average hafnium content of zirconium minerals and production statistics in 2016. See supporting information for details.</t>
  </si>
  <si>
    <t>10;1;367</t>
  </si>
  <si>
    <t>No EOL recycling is considered to occur (BRGM, 2018a; Ciacci et al., 2015)</t>
  </si>
  <si>
    <t>Hg</t>
  </si>
  <si>
    <t>Mercury</t>
  </si>
  <si>
    <t>Calculated based on Panousi et al., 2016</t>
  </si>
  <si>
    <t>10;15.6503959597742;2.65416071832429</t>
  </si>
  <si>
    <t>Assumption, see supporting information for details.</t>
  </si>
  <si>
    <t>Ho</t>
  </si>
  <si>
    <t>Holmium</t>
  </si>
  <si>
    <t>10;9.9642827837121;4.96602422084293</t>
  </si>
  <si>
    <t>No recovery and recycling is expected to occur (European Commission, 2020a)</t>
  </si>
  <si>
    <t>In</t>
  </si>
  <si>
    <t>Indium</t>
  </si>
  <si>
    <t>The value of 54% from Helbig et al. (2020), as calculated based on Licht et al. (2015), was revised to 30% given other available information (Lokanc et al., 2015; Mikolajczak and Peng, 2018).</t>
  </si>
  <si>
    <t>10;11.307969912614;26.3852631294327</t>
  </si>
  <si>
    <t>10;9.07888120596333;60.021492417202</t>
  </si>
  <si>
    <t>10;81.3350364270653;22.8589925981145</t>
  </si>
  <si>
    <t>10;24.6430020283976;1</t>
  </si>
  <si>
    <t>Ir</t>
  </si>
  <si>
    <t>Iridium</t>
  </si>
  <si>
    <t>Calculated using a mining yield of 85% (for all PGEs) and statistics reported by Nassar (2013)</t>
  </si>
  <si>
    <t>10;77.7438299100146;57.2821073920149</t>
  </si>
  <si>
    <t>Assumed to be the same yield as refining</t>
  </si>
  <si>
    <t>10;24;1</t>
  </si>
  <si>
    <t>La</t>
  </si>
  <si>
    <t>Lanthanum</t>
  </si>
  <si>
    <t>10;19.0898082890213;12.7216416029444</t>
  </si>
  <si>
    <t>10;30.1166290188405;4.96924378810868</t>
  </si>
  <si>
    <t>Li</t>
  </si>
  <si>
    <t>Calculated using the share of production from brines and from ores and their respective estimated yields. See supporting information for details.</t>
  </si>
  <si>
    <t>10;20.4650678707801;8.80543012948845</t>
  </si>
  <si>
    <t>Calculated considering an average yield of 80% for batteries based on Chung et al. (2016), and 90% for other applications (assumption). See supporting information for details.</t>
  </si>
  <si>
    <t>10;30.5333891191343;6.03354395767324</t>
  </si>
  <si>
    <t>10;6.92742540448169;1.222486836085</t>
  </si>
  <si>
    <t>Lu</t>
  </si>
  <si>
    <t>Lutetium</t>
  </si>
  <si>
    <t>10;9.9653993060945;4.99098828274641</t>
  </si>
  <si>
    <t>Mg</t>
  </si>
  <si>
    <t>Magnesium</t>
  </si>
  <si>
    <t>Estimated based on Graedel et al., 2015; Ramakrishnan and Koltun, 2004; Harraz, 2017. See supporting information for details.</t>
  </si>
  <si>
    <t>10;29.0313470331095;13.7089504024584</t>
  </si>
  <si>
    <t>Estimate considering a yield of 92% for Mg metal and 90-95% for refractories and other non-metal Mg applications. Assumed to include the recovery of new scraps whenever it occurs.</t>
  </si>
  <si>
    <t>10;12.8582777668166;1.11811111015797</t>
  </si>
  <si>
    <t>Assumption, including different potential recycling routes for both metal and non-metal Mg applications</t>
  </si>
  <si>
    <t>Mn</t>
  </si>
  <si>
    <t>Manganese</t>
  </si>
  <si>
    <t>Estimate based on a literature review. See supporting information for details.</t>
  </si>
  <si>
    <t>10;46.5886984667502;19.9665850571787</t>
  </si>
  <si>
    <t>Estimate based on national statistics (Jeong et al., 2009; Nakajima et al., 2008; USGS, 2004b) and some assumptions. See supporting information for details.</t>
  </si>
  <si>
    <t>10;30.3462812424586;11.2193373054084</t>
  </si>
  <si>
    <t>Estimate based on national US statistics (USGS, 2004b) and considering an additional approx. 8% losses of manganese to slags. See supporting information for details.</t>
  </si>
  <si>
    <t>10;19.6514311773421;2.77615456314832</t>
  </si>
  <si>
    <t>10;25.2458936990863;6.31147342477157</t>
  </si>
  <si>
    <t>Mo</t>
  </si>
  <si>
    <t>Molybdenum</t>
  </si>
  <si>
    <t>Henckens et al., 2018</t>
  </si>
  <si>
    <t>10;58.2115609087907;38.8077072725271</t>
  </si>
  <si>
    <t xml:space="preserve">Calculated from US statistics for 1998 (USGS, 2004b) </t>
  </si>
  <si>
    <t>10;24.3673498323031;4.95165397661774</t>
  </si>
  <si>
    <t>Calculated from US statistics for 1998 (USGS, 2004b). Same as that reported for iron products in this dataset.</t>
  </si>
  <si>
    <t>10;10.5459874435485;10.5459874435485</t>
  </si>
  <si>
    <t>Nb</t>
  </si>
  <si>
    <t>Niobium</t>
  </si>
  <si>
    <t>Nuss et al., 2014</t>
  </si>
  <si>
    <t>10;31.3244635547697;12.7944991984271</t>
  </si>
  <si>
    <t>Estimate based on US data (USGS, 2004b) and CBMM, 2018b. The yield is estimated to include the recovery and remelting of new scraps, whenever it occurs. See supporting information for details.</t>
  </si>
  <si>
    <t>The recovery of new scraps is taken into account in the fabrication and manufacturing yield to avoid interfering with the EoL remelting rate. See supporting information for details.</t>
  </si>
  <si>
    <t>The value is estimated considering the reportede collection yields for niobium products and an EOL-RR of 9.5% (Graedel et al., 2022). Represents the remelting yield of old scraps only. See the supporting information for details.</t>
  </si>
  <si>
    <t>10;3.0451304362027;19.6202562105228</t>
  </si>
  <si>
    <t>Nd</t>
  </si>
  <si>
    <t>10;19.0657207285708;12.7877828873567</t>
  </si>
  <si>
    <t>10;30.9573461214604;5.35352602100444</t>
  </si>
  <si>
    <t>10;43.2060543580814;23.6604583389494</t>
  </si>
  <si>
    <t>Ni</t>
  </si>
  <si>
    <t>Value from Helbig et al. (2020), based on Reck and Rotter (2012)</t>
  </si>
  <si>
    <t>10;61.454508870789;16.5775131670604</t>
  </si>
  <si>
    <t>10;49.2135595675678;8.34579295243831</t>
  </si>
  <si>
    <t>10;51.5275681018575;9.48360149113942</t>
  </si>
  <si>
    <t>Os</t>
  </si>
  <si>
    <t>Osmium</t>
  </si>
  <si>
    <t>10;25.6265908582309;18.8818216356397</t>
  </si>
  <si>
    <t>No recycling considered to occur (Ciacci et al., 2015; UNEP, 2011)</t>
  </si>
  <si>
    <t>Pb</t>
  </si>
  <si>
    <t>Lead</t>
  </si>
  <si>
    <t>Value from Helbig et al. (2020), based on Mao et al. (2008a)</t>
  </si>
  <si>
    <t>10;32.1656388691773;3.89265693321254</t>
  </si>
  <si>
    <t>10;18.1787325134491;1.07294374025416</t>
  </si>
  <si>
    <t>10;48.0978481894775;11.81050364795</t>
  </si>
  <si>
    <t>Pd</t>
  </si>
  <si>
    <t>Palladium</t>
  </si>
  <si>
    <t>10;81.7352327495568;38.6104124899019</t>
  </si>
  <si>
    <t>Minor losses reported by Nassar (2013) for jewellery and dental applications.</t>
  </si>
  <si>
    <t>10;781.969432314429;1</t>
  </si>
  <si>
    <t>N/A (included in fabrication and manufacturing yield)</t>
  </si>
  <si>
    <t>10;89.9090909090908;1</t>
  </si>
  <si>
    <t>Pr</t>
  </si>
  <si>
    <t>Praseodymium</t>
  </si>
  <si>
    <t>10;19.0156214788304;12.9205990950055</t>
  </si>
  <si>
    <t>10;27.8631509762131;13.1575990721006</t>
  </si>
  <si>
    <t>10;26.8916802095013;18.8241761466509</t>
  </si>
  <si>
    <t>Pt</t>
  </si>
  <si>
    <t>Platinum</t>
  </si>
  <si>
    <t>10;126.696285959744;59.0974716441567</t>
  </si>
  <si>
    <t>10;132.333333333334;1</t>
  </si>
  <si>
    <t>Re</t>
  </si>
  <si>
    <t>Rhenium</t>
  </si>
  <si>
    <t>Value from Helbig et al. (2020), based on Meylan et al. (2015)</t>
  </si>
  <si>
    <t>10;69.6513723984592;68.5630697047333</t>
  </si>
  <si>
    <t>Rh</t>
  </si>
  <si>
    <t>Rhodium</t>
  </si>
  <si>
    <t>10;80.7146020989345;49.5223347708691</t>
  </si>
  <si>
    <t>10;49;1</t>
  </si>
  <si>
    <t>Ru</t>
  </si>
  <si>
    <t>Ruthenium</t>
  </si>
  <si>
    <t>10;80.9961927960783;48.3749902489168</t>
  </si>
  <si>
    <t>10;98.9999999999999;1</t>
  </si>
  <si>
    <t>Sb</t>
  </si>
  <si>
    <t>Antimony</t>
  </si>
  <si>
    <t>Averaged value from an MFA for China (Chu et al., 2019), producing more than 50% of global antimony, as well as global production yields (Haarman, 2015; Panousi et al., 2016)</t>
  </si>
  <si>
    <t>10;36.7856081158663;7.51068209590741</t>
  </si>
  <si>
    <t>Calculated based on Haarman (2015)</t>
  </si>
  <si>
    <t>10;26.15;1</t>
  </si>
  <si>
    <t>10;33.0211497137733;80.7183659670015</t>
  </si>
  <si>
    <t>10;64.3803345177705;13.1826399250673</t>
  </si>
  <si>
    <t>Sc</t>
  </si>
  <si>
    <t>Scandium</t>
  </si>
  <si>
    <t>Estimate based on current production of scandium and the content of scandium in red mud. See supporting information for details.</t>
  </si>
  <si>
    <t>10;1;792.022868887195</t>
  </si>
  <si>
    <t>No functional recycling is considered to occur (BRGM, 2017c; Panousi et al., 2016)</t>
  </si>
  <si>
    <t>Se</t>
  </si>
  <si>
    <t>Selenium</t>
  </si>
  <si>
    <t>Value from Helbig et al. (2020), based on Kavlak and Graedel (2013a)</t>
  </si>
  <si>
    <t>10;1.62027379701602;34.3872984358441</t>
  </si>
  <si>
    <t>10;94.1261811368578;17.1518818960496</t>
  </si>
  <si>
    <t>10;38.490952500803;119.321952752489</t>
  </si>
  <si>
    <t>Si</t>
  </si>
  <si>
    <t>Silicon</t>
  </si>
  <si>
    <t>Estimate based on the yield of 85% for a well-operated furnace (Ali et al., 2018)</t>
  </si>
  <si>
    <t>Estimate based on the literature survey for silicon. See Supporting information for details.</t>
  </si>
  <si>
    <t>No functional recycling is considered to occur (BRGM, 2019a; CRM Alliance, n.d.; European Commission, 2020a)</t>
  </si>
  <si>
    <t>Sm</t>
  </si>
  <si>
    <t>Samarium</t>
  </si>
  <si>
    <t>10;19.4282540838186;11.5236434350901</t>
  </si>
  <si>
    <t>10;16.4207864270816;2.59275575164446</t>
  </si>
  <si>
    <t>Sn</t>
  </si>
  <si>
    <t>Tin</t>
  </si>
  <si>
    <t>Value from Helbig et al. (2020), based on Izard and Müller (2010)</t>
  </si>
  <si>
    <t>10;34.3647377099495;4.58196502799327</t>
  </si>
  <si>
    <t>10;97.6315789473689;1</t>
  </si>
  <si>
    <t>10;19.3733730958979;54.2454446685141</t>
  </si>
  <si>
    <t>Sr</t>
  </si>
  <si>
    <t>Strontium</t>
  </si>
  <si>
    <t>Based on an informed estimate of Panousi et al. (2016)</t>
  </si>
  <si>
    <t>10;23.0479547084309;5.76198867710773</t>
  </si>
  <si>
    <t>No functional recycling is considered to occur (European Commission, 2020a; Panousi et al., 2016)</t>
  </si>
  <si>
    <t>Ta</t>
  </si>
  <si>
    <t>Tantalum</t>
  </si>
  <si>
    <t>Value from Helbig et al. (2020), based on Nassar (2017)</t>
  </si>
  <si>
    <t>10;180.609064011502;98.2433919623006</t>
  </si>
  <si>
    <t>10;168.810971206788;52.825201874233</t>
  </si>
  <si>
    <t>10;164.828147850487;138.455644194409</t>
  </si>
  <si>
    <t>Tb</t>
  </si>
  <si>
    <t>Terbium</t>
  </si>
  <si>
    <t>10;19.5527922096026;10.7100615117219</t>
  </si>
  <si>
    <t>Te</t>
  </si>
  <si>
    <t>Tellurium</t>
  </si>
  <si>
    <t>Value from Helbig et al. (2020), based on Kavlak and Graedel (2013b)</t>
  </si>
  <si>
    <t>10;1.62072710455679;34.391829158695</t>
  </si>
  <si>
    <t>10;125.248058644275;76.4334306598398</t>
  </si>
  <si>
    <t>10;114.588224091329;98.4742550784857</t>
  </si>
  <si>
    <t>Ti</t>
  </si>
  <si>
    <t>Titanium</t>
  </si>
  <si>
    <t>Calculated considering 90% mining yield and 95% refining yield (Graedel et al., 2015)</t>
  </si>
  <si>
    <t>10;22.3725279906026;3.79417141361096</t>
  </si>
  <si>
    <t>Estimated yield including the recovery of new scraps of titanium metal whenever it occurs, which  are collected and recycled efficiently (Goonan, 2010; Takeda and Okabe, 2019). See supporting information for details.</t>
  </si>
  <si>
    <t>The collection of titanium new scraps is considered to occur mostly in-house (Takeda and Okabe, 2019); it is here included in the fabrication and manufacturing yield.</t>
  </si>
  <si>
    <t>Assumed to be the same as the refining yield.</t>
  </si>
  <si>
    <t>Tl</t>
  </si>
  <si>
    <t>Thallium</t>
  </si>
  <si>
    <t>10;22.1898554682838;9.50993805783591</t>
  </si>
  <si>
    <t>No recycling considered to occur (Ciacci et al., 2015; Panousi et al., 2016)</t>
  </si>
  <si>
    <t>Tm</t>
  </si>
  <si>
    <t>Thulium</t>
  </si>
  <si>
    <t>10;9.96385030752143;4.95725889126685</t>
  </si>
  <si>
    <t>V</t>
  </si>
  <si>
    <t>Vanadium</t>
  </si>
  <si>
    <t>Calculated considering statistics for China (Zhang et al., 2014) and US (Goonan, 2011b), weighted accordingly with their respective share of global production in 2019 (USGS, 2020). See Supporting information for details.</t>
  </si>
  <si>
    <t>10;12.7127524002742;25.9616135050928</t>
  </si>
  <si>
    <t>Calculated based on data for China (Zhang et al., 2014) and the US (Goonan, 2011b). See Supporting information for details.</t>
  </si>
  <si>
    <t>10;35.3548440000972;16.9436606346048</t>
  </si>
  <si>
    <t>10;1;121.489747586585</t>
  </si>
  <si>
    <t>W</t>
  </si>
  <si>
    <t>Tungsten</t>
  </si>
  <si>
    <t>10;49.0430083981623;6.32813011589191</t>
  </si>
  <si>
    <t>10;67.0866184152612;7.1878519730637</t>
  </si>
  <si>
    <t>Y</t>
  </si>
  <si>
    <t>Yttrium</t>
  </si>
  <si>
    <t>10;19.5905499820588;9.90990974687977</t>
  </si>
  <si>
    <t>10;31.5964497467837;5.66351457725369</t>
  </si>
  <si>
    <t>Yb</t>
  </si>
  <si>
    <t>Ytterbium</t>
  </si>
  <si>
    <t>10;9.96542246079323;4.99154976201104</t>
  </si>
  <si>
    <t>Zn</t>
  </si>
  <si>
    <t>Zinc</t>
  </si>
  <si>
    <t>Value from Helbig et al. (2020), based on Meylan and Reck (2017)</t>
  </si>
  <si>
    <t>10;97.2061332643028;18.819107399969</t>
  </si>
  <si>
    <t>10;114.840987277532;32.6855117636054</t>
  </si>
  <si>
    <t>10;61.6195717171977;5.88186820936887</t>
  </si>
  <si>
    <t>10;126.274746515775;71.5228056437006</t>
  </si>
  <si>
    <t>Zr</t>
  </si>
  <si>
    <t>Zirconium</t>
  </si>
  <si>
    <t>Calculated considering average losses of 10% at the concentration and refining stages (Iluka, 2020), and assuming 5% extraction losses</t>
  </si>
  <si>
    <t>10;72.6943122426246;12.3282751756498</t>
  </si>
  <si>
    <t xml:space="preserve">The recovery of zirconium from new scraps is estimated to be overall negligible (European Commission, 2020c). </t>
  </si>
  <si>
    <t>Assumption that all EOL losses are due to collection and separation. The uncertainty is already taken into account for that process.</t>
  </si>
  <si>
    <t>Production_mining</t>
  </si>
  <si>
    <t>Production_refining</t>
  </si>
  <si>
    <t>Chartier_Poncelet</t>
  </si>
  <si>
    <t>Stage</t>
  </si>
  <si>
    <t>Yield</t>
  </si>
  <si>
    <t>Concentration (ore → flake)</t>
  </si>
  <si>
    <t>0.70–0.90</t>
  </si>
  <si>
    <t>Sphericalization (flake → SPG)</t>
  </si>
  <si>
    <t>0.35–0.50</t>
  </si>
  <si>
    <t>Coating (SPG → CSPG)</t>
  </si>
  <si>
    <t>0.90–0.95</t>
  </si>
  <si>
    <t>Total (mine → CSPG)</t>
  </si>
  <si>
    <t>~ 0.22 – 0.43</t>
  </si>
  <si>
    <t>1 tonne of battery-grade graphite requires ~2.5–4.5 tonnes of flake concentrate which itself requires ~10–40 tonnes of ore, depending on ore grade.</t>
  </si>
  <si>
    <t>Production type</t>
  </si>
  <si>
    <t>Value</t>
  </si>
  <si>
    <t>Domestic demand scenario</t>
  </si>
  <si>
    <t>kilotonnes</t>
  </si>
  <si>
    <t>Kt demand by 2040</t>
  </si>
  <si>
    <t>Clean demand</t>
  </si>
  <si>
    <t>Clean export potential</t>
  </si>
  <si>
    <t>Domestic demand with exports scenario</t>
  </si>
  <si>
    <t>Domestic demand with greater recycling scenario</t>
  </si>
  <si>
    <t>All minerals</t>
  </si>
  <si>
    <t>$ billions (CAD)</t>
  </si>
  <si>
    <t>Value demand by 2040</t>
  </si>
  <si>
    <t>Value_t_mining</t>
  </si>
  <si>
    <t>Value_t_refining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</si>
</sst>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
  </numFmts>
  <fonts count="14" x14ac:knownFonts="1">
    <font>
      <sz val="10"/>
      <color rgb="FF000000"/>
      <name val="Arial"/>
      <scheme val="minor"/>
    </font>
    <font>
      <sz val="10"/>
      <color theme="1"/>
      <name val="Arial"/>
      <family val="2"/>
      <scheme val="minor"/>
    </font>
    <font>
      <b/>
      <sz val="10"/>
      <color theme="1"/>
      <name val="Arial"/>
      <family val="2"/>
      <scheme val="minor"/>
    </font>
    <font>
      <sz val="10"/>
      <color rgb="FF000000"/>
      <name val="Arial"/>
      <family val="2"/>
      <scheme val="minor"/>
    </font>
    <font>
      <sz val="10"/>
      <color rgb="FF000000"/>
      <name val="Arial"/>
      <scheme val="minor"/>
    </font>
    <font>
      <b/>
      <sz val="11"/>
      <color theme="1"/>
      <name val="Arial"/>
      <family val="2"/>
      <scheme val="minor"/>
    </font>
    <font>
      <b/>
      <sz val="11"/>
      <color rgb="FF000000"/>
      <name val="Calibri"/>
      <family val="2"/>
    </font>
    <font>
      <b/>
      <i/>
      <sz val="11"/>
      <color rgb="FF000000"/>
      <name val="Calibri"/>
      <family val="2"/>
    </font>
    <font>
      <b/>
      <i/>
      <sz val="11"/>
      <name val="Calibri"/>
      <family val="2"/>
    </font>
    <font>
      <b/>
      <sz val="11"/>
      <name val="Calibri"/>
      <family val="2"/>
    </font>
    <font>
      <sz val="11"/>
      <color theme="1"/>
      <name val="Calibri"/>
      <family val="2"/>
    </font>
    <font>
      <sz val="11"/>
      <name val="Calibri"/>
      <family val="2"/>
    </font>
    <font>
      <sz val="11"/>
      <color rgb="FF000000"/>
      <name val="Calibri"/>
      <family val="2"/>
    </font>
    <font>
      <b/>
      <sz val="10"/>
      <color rgb="FF000000"/>
      <name val="Arial"/>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9" fontId="4" fillId="0" borderId="0" applyFont="0" applyFill="0" applyBorder="0" applyAlignment="0" applyProtection="0"/>
  </cellStyleXfs>
  <cellXfs count="26">
    <xf numFmtId="0" fontId="0" fillId="0" borderId="0" xfId="0"/>
    <xf numFmtId="0" fontId="1" fillId="0" borderId="0" xfId="0" applyFont="1"/>
    <xf numFmtId="0" fontId="2" fillId="0" borderId="0" xfId="0" applyFont="1"/>
    <xf numFmtId="0" fontId="3" fillId="0" borderId="0" xfId="0" applyFont="1"/>
    <xf numFmtId="0" fontId="1" fillId="2" borderId="0" xfId="0" applyFont="1" applyFill="1"/>
    <xf numFmtId="0" fontId="5" fillId="0" borderId="0" xfId="0" applyFont="1"/>
    <xf numFmtId="0" fontId="6" fillId="0" borderId="1" xfId="0" applyFont="1" applyBorder="1"/>
    <xf numFmtId="0" fontId="7" fillId="0" borderId="1" xfId="0" applyFont="1" applyBorder="1"/>
    <xf numFmtId="0" fontId="8" fillId="0" borderId="1" xfId="0" applyFont="1" applyBorder="1"/>
    <xf numFmtId="0" fontId="9" fillId="0" borderId="1" xfId="0" applyFont="1" applyBorder="1"/>
    <xf numFmtId="0" fontId="10" fillId="0" borderId="1" xfId="0" applyFont="1" applyBorder="1"/>
    <xf numFmtId="0" fontId="11" fillId="0" borderId="1" xfId="0" applyFont="1" applyBorder="1"/>
    <xf numFmtId="9" fontId="10" fillId="0" borderId="0" xfId="0" applyNumberFormat="1" applyFont="1"/>
    <xf numFmtId="0" fontId="12" fillId="0" borderId="0" xfId="0" applyFont="1"/>
    <xf numFmtId="0" fontId="10" fillId="0" borderId="0" xfId="0" applyFont="1"/>
    <xf numFmtId="2" fontId="10" fillId="0" borderId="0" xfId="0" applyNumberFormat="1" applyFont="1"/>
    <xf numFmtId="164" fontId="10" fillId="0" borderId="0" xfId="0" applyNumberFormat="1" applyFont="1"/>
    <xf numFmtId="9" fontId="10" fillId="0" borderId="0" xfId="1" applyFont="1" applyFill="1" applyBorder="1"/>
    <xf numFmtId="165" fontId="10" fillId="0" borderId="0" xfId="0" applyNumberFormat="1" applyFont="1"/>
    <xf numFmtId="0" fontId="11" fillId="0" borderId="0" xfId="0" applyFont="1"/>
    <xf numFmtId="10" fontId="10" fillId="0" borderId="0" xfId="0" applyNumberFormat="1" applyFont="1"/>
    <xf numFmtId="166" fontId="10" fillId="0" borderId="0" xfId="0" applyNumberFormat="1" applyFont="1"/>
    <xf numFmtId="0" fontId="13" fillId="0" borderId="0" xfId="0" applyFont="1" applyAlignment="1">
      <alignment horizontal="center" vertical="center"/>
    </xf>
    <xf numFmtId="0" fontId="0" fillId="0" borderId="0" xfId="0" applyAlignment="1">
      <alignment vertical="center"/>
    </xf>
    <xf numFmtId="0" fontId="13" fillId="0" borderId="0" xfId="0" applyFont="1" applyAlignment="1">
      <alignment vertical="center"/>
    </xf>
    <xf numFmtId="0" fontId="13" fillId="0" borderId="0" xfId="0" applyFont="1"/>
  </cellXfs>
  <cellStyles count="2">
    <cellStyle name="Normal" xfId="0" builtinId="0"/>
    <cellStyle name="Pourcentag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52AF83-21B5-4B20-B6B7-FF4E4CD7DEC6}">
  <sheetPr>
    <tabColor rgb="FFC00000"/>
  </sheetPr>
  <dimension ref="A1:A3"/>
  <sheetViews>
    <sheetView workbookViewId="0">
      <selection activeCell="C10" sqref="C10"/>
    </sheetView>
  </sheetViews>
  <sheetFormatPr baseColWidth="10" defaultRowHeight="12.5" x14ac:dyDescent="0.25"/>
  <cols>
    <col min="1" max="1" width="16.08984375" bestFit="1" customWidth="1"/>
  </cols>
  <sheetData>
    <row r="1" spans="1:1" x14ac:dyDescent="0.25">
      <c r="A1" s="3" t="s">
        <v>392</v>
      </c>
    </row>
    <row r="2" spans="1:1" x14ac:dyDescent="0.25">
      <c r="A2" s="3" t="s">
        <v>393</v>
      </c>
    </row>
    <row r="3" spans="1:1" x14ac:dyDescent="0.25">
      <c r="A3" s="3" t="s">
        <v>394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801C6-946F-44A5-852A-EC387EAF87BA}">
  <dimension ref="A1:G277"/>
  <sheetViews>
    <sheetView workbookViewId="0">
      <selection activeCell="L24" sqref="L24"/>
    </sheetView>
  </sheetViews>
  <sheetFormatPr baseColWidth="10" defaultColWidth="8.7265625" defaultRowHeight="12.5" x14ac:dyDescent="0.25"/>
  <cols>
    <col min="1" max="1" width="10.453125" customWidth="1"/>
    <col min="2" max="2" width="7.7265625" customWidth="1"/>
    <col min="3" max="3" width="16.7265625" customWidth="1"/>
    <col min="4" max="4" width="11.81640625" customWidth="1"/>
    <col min="5" max="5" width="9" bestFit="1" customWidth="1"/>
    <col min="6" max="6" width="15.6328125" customWidth="1"/>
    <col min="7" max="7" width="16.7265625" customWidth="1"/>
  </cols>
  <sheetData>
    <row r="1" spans="1:7" s="5" customFormat="1" ht="13" customHeight="1" x14ac:dyDescent="0.3">
      <c r="A1" s="5" t="s">
        <v>21</v>
      </c>
      <c r="B1" s="5" t="s">
        <v>9</v>
      </c>
      <c r="C1" s="5" t="s">
        <v>8</v>
      </c>
      <c r="D1" s="5" t="s">
        <v>407</v>
      </c>
      <c r="E1" s="5" t="s">
        <v>16</v>
      </c>
      <c r="F1" s="5" t="s">
        <v>418</v>
      </c>
      <c r="G1" s="5" t="s">
        <v>419</v>
      </c>
    </row>
    <row r="2" spans="1:7" x14ac:dyDescent="0.25">
      <c r="A2" t="s">
        <v>0</v>
      </c>
      <c r="B2">
        <v>2018</v>
      </c>
      <c r="C2" t="s">
        <v>17</v>
      </c>
      <c r="D2">
        <v>4.1361000000000008</v>
      </c>
      <c r="E2" t="s">
        <v>409</v>
      </c>
      <c r="F2">
        <f>D2*1000</f>
        <v>4136.1000000000004</v>
      </c>
      <c r="G2">
        <f>F2*Chartier_Poncelet!$D$12</f>
        <v>1817.1813303379115</v>
      </c>
    </row>
    <row r="3" spans="1:7" x14ac:dyDescent="0.25">
      <c r="A3" t="s">
        <v>0</v>
      </c>
      <c r="B3">
        <v>2019</v>
      </c>
      <c r="C3" t="s">
        <v>17</v>
      </c>
      <c r="D3">
        <v>3.4330000000000003</v>
      </c>
      <c r="E3" t="s">
        <v>409</v>
      </c>
      <c r="F3">
        <f t="shared" ref="F3:F66" si="0">D3*1000</f>
        <v>3433.0000000000005</v>
      </c>
      <c r="G3">
        <f>F3*Chartier_Poncelet!$D$12</f>
        <v>1508.2767600033969</v>
      </c>
    </row>
    <row r="4" spans="1:7" x14ac:dyDescent="0.25">
      <c r="A4" t="s">
        <v>0</v>
      </c>
      <c r="B4">
        <v>2020</v>
      </c>
      <c r="C4" t="s">
        <v>17</v>
      </c>
      <c r="D4">
        <v>3.2363240000000002</v>
      </c>
      <c r="E4" t="s">
        <v>409</v>
      </c>
      <c r="F4">
        <f t="shared" si="0"/>
        <v>3236.3240000000001</v>
      </c>
      <c r="G4">
        <f>F4*Chartier_Poncelet!$D$12</f>
        <v>1421.8678348503447</v>
      </c>
    </row>
    <row r="5" spans="1:7" x14ac:dyDescent="0.25">
      <c r="A5" t="s">
        <v>0</v>
      </c>
      <c r="B5">
        <v>2021</v>
      </c>
      <c r="C5" t="s">
        <v>17</v>
      </c>
      <c r="D5">
        <v>3.8086570000000002</v>
      </c>
      <c r="E5" t="s">
        <v>409</v>
      </c>
      <c r="F5">
        <f t="shared" si="0"/>
        <v>3808.6570000000002</v>
      </c>
      <c r="G5">
        <f>F5*Chartier_Poncelet!$D$12</f>
        <v>1673.3203728296701</v>
      </c>
    </row>
    <row r="6" spans="1:7" x14ac:dyDescent="0.25">
      <c r="A6" t="s">
        <v>0</v>
      </c>
      <c r="B6">
        <v>2022</v>
      </c>
      <c r="C6" t="s">
        <v>17</v>
      </c>
      <c r="D6">
        <v>2.536143</v>
      </c>
      <c r="E6" t="s">
        <v>409</v>
      </c>
      <c r="F6">
        <f t="shared" si="0"/>
        <v>2536.143</v>
      </c>
      <c r="G6">
        <f>F6*Chartier_Poncelet!$D$12</f>
        <v>1114.2457171410704</v>
      </c>
    </row>
    <row r="7" spans="1:7" x14ac:dyDescent="0.25">
      <c r="A7" t="s">
        <v>0</v>
      </c>
      <c r="B7">
        <v>2023</v>
      </c>
      <c r="C7" t="s">
        <v>17</v>
      </c>
      <c r="D7">
        <v>4.7960000000000003</v>
      </c>
      <c r="E7" t="s">
        <v>409</v>
      </c>
      <c r="F7">
        <f t="shared" si="0"/>
        <v>4796</v>
      </c>
      <c r="G7">
        <f>F7*Chartier_Poncelet!$D$12</f>
        <v>2107.1061290347484</v>
      </c>
    </row>
    <row r="8" spans="1:7" x14ac:dyDescent="0.25">
      <c r="A8" t="s">
        <v>0</v>
      </c>
      <c r="B8">
        <v>2024</v>
      </c>
      <c r="C8" t="s">
        <v>17</v>
      </c>
      <c r="D8">
        <v>3.3809999999999998</v>
      </c>
      <c r="E8" t="s">
        <v>409</v>
      </c>
      <c r="F8">
        <f t="shared" si="0"/>
        <v>3381</v>
      </c>
      <c r="G8">
        <f>F8*Chartier_Poncelet!$D$12</f>
        <v>1485.4307385876739</v>
      </c>
    </row>
    <row r="9" spans="1:7" x14ac:dyDescent="0.25">
      <c r="A9" t="s">
        <v>0</v>
      </c>
      <c r="B9">
        <v>2025</v>
      </c>
      <c r="C9" t="s">
        <v>17</v>
      </c>
      <c r="D9">
        <v>3.4940000000000002</v>
      </c>
      <c r="E9" t="s">
        <v>409</v>
      </c>
      <c r="F9">
        <f t="shared" si="0"/>
        <v>3494</v>
      </c>
      <c r="G9">
        <f>F9*Chartier_Poncelet!$D$12</f>
        <v>1535.0769005103025</v>
      </c>
    </row>
    <row r="10" spans="1:7" x14ac:dyDescent="0.25">
      <c r="A10" t="s">
        <v>0</v>
      </c>
      <c r="B10">
        <v>2026</v>
      </c>
      <c r="C10" t="s">
        <v>17</v>
      </c>
      <c r="D10">
        <v>3.4940000000000002</v>
      </c>
      <c r="E10" t="s">
        <v>409</v>
      </c>
      <c r="F10">
        <f t="shared" si="0"/>
        <v>3494</v>
      </c>
      <c r="G10">
        <f>F10*Chartier_Poncelet!$D$12</f>
        <v>1535.0769005103025</v>
      </c>
    </row>
    <row r="11" spans="1:7" x14ac:dyDescent="0.25">
      <c r="A11" t="s">
        <v>0</v>
      </c>
      <c r="B11">
        <v>2027</v>
      </c>
      <c r="C11" t="s">
        <v>17</v>
      </c>
      <c r="D11">
        <v>4.1760000000000002</v>
      </c>
      <c r="E11" t="s">
        <v>409</v>
      </c>
      <c r="F11">
        <f t="shared" si="0"/>
        <v>4176</v>
      </c>
      <c r="G11">
        <f>F11*Chartier_Poncelet!$D$12</f>
        <v>1834.7112583088217</v>
      </c>
    </row>
    <row r="12" spans="1:7" x14ac:dyDescent="0.25">
      <c r="A12" t="s">
        <v>0</v>
      </c>
      <c r="B12">
        <v>2028</v>
      </c>
      <c r="C12" t="s">
        <v>17</v>
      </c>
      <c r="D12">
        <v>4.1760000000000002</v>
      </c>
      <c r="E12" t="s">
        <v>409</v>
      </c>
      <c r="F12">
        <f t="shared" si="0"/>
        <v>4176</v>
      </c>
      <c r="G12">
        <f>F12*Chartier_Poncelet!$D$12</f>
        <v>1834.7112583088217</v>
      </c>
    </row>
    <row r="13" spans="1:7" x14ac:dyDescent="0.25">
      <c r="A13" t="s">
        <v>0</v>
      </c>
      <c r="B13">
        <v>2029</v>
      </c>
      <c r="C13" t="s">
        <v>17</v>
      </c>
      <c r="D13">
        <v>3.8610000000000002</v>
      </c>
      <c r="E13" t="s">
        <v>409</v>
      </c>
      <c r="F13">
        <f t="shared" si="0"/>
        <v>3861</v>
      </c>
      <c r="G13">
        <f>F13*Chartier_Poncelet!$D$12</f>
        <v>1696.3170901174235</v>
      </c>
    </row>
    <row r="14" spans="1:7" x14ac:dyDescent="0.25">
      <c r="A14" t="s">
        <v>0</v>
      </c>
      <c r="B14">
        <v>2030</v>
      </c>
      <c r="C14" t="s">
        <v>17</v>
      </c>
      <c r="D14">
        <v>3.8610000000000002</v>
      </c>
      <c r="E14" t="s">
        <v>409</v>
      </c>
      <c r="F14">
        <f t="shared" si="0"/>
        <v>3861</v>
      </c>
      <c r="G14">
        <f>F14*Chartier_Poncelet!$D$12</f>
        <v>1696.3170901174235</v>
      </c>
    </row>
    <row r="15" spans="1:7" x14ac:dyDescent="0.25">
      <c r="A15" t="s">
        <v>0</v>
      </c>
      <c r="B15">
        <v>2031</v>
      </c>
      <c r="C15" t="s">
        <v>17</v>
      </c>
      <c r="D15">
        <v>3.7069999999999999</v>
      </c>
      <c r="E15" t="s">
        <v>409</v>
      </c>
      <c r="F15">
        <f t="shared" si="0"/>
        <v>3707</v>
      </c>
      <c r="G15">
        <f>F15*Chartier_Poncelet!$D$12</f>
        <v>1628.6577190016289</v>
      </c>
    </row>
    <row r="16" spans="1:7" x14ac:dyDescent="0.25">
      <c r="A16" t="s">
        <v>0</v>
      </c>
      <c r="B16">
        <v>2032</v>
      </c>
      <c r="C16" t="s">
        <v>17</v>
      </c>
      <c r="D16">
        <v>3.3919999999999999</v>
      </c>
      <c r="E16" t="s">
        <v>409</v>
      </c>
      <c r="F16">
        <f t="shared" si="0"/>
        <v>3392</v>
      </c>
      <c r="G16">
        <f>F16*Chartier_Poncelet!$D$12</f>
        <v>1490.2635508102308</v>
      </c>
    </row>
    <row r="17" spans="1:7" x14ac:dyDescent="0.25">
      <c r="A17" t="s">
        <v>0</v>
      </c>
      <c r="B17">
        <v>2033</v>
      </c>
      <c r="C17" t="s">
        <v>17</v>
      </c>
      <c r="D17">
        <v>3.0790000000000002</v>
      </c>
      <c r="E17" t="s">
        <v>409</v>
      </c>
      <c r="F17">
        <f t="shared" si="0"/>
        <v>3079</v>
      </c>
      <c r="G17">
        <f>F17*Chartier_Poncelet!$D$12</f>
        <v>1352.7480757502065</v>
      </c>
    </row>
    <row r="18" spans="1:7" x14ac:dyDescent="0.25">
      <c r="A18" t="s">
        <v>0</v>
      </c>
      <c r="B18">
        <v>2034</v>
      </c>
      <c r="C18" t="s">
        <v>17</v>
      </c>
      <c r="D18">
        <v>3.0790000000000002</v>
      </c>
      <c r="E18" t="s">
        <v>409</v>
      </c>
      <c r="F18">
        <f t="shared" si="0"/>
        <v>3079</v>
      </c>
      <c r="G18">
        <f>F18*Chartier_Poncelet!$D$12</f>
        <v>1352.7480757502065</v>
      </c>
    </row>
    <row r="19" spans="1:7" x14ac:dyDescent="0.25">
      <c r="A19" t="s">
        <v>0</v>
      </c>
      <c r="B19">
        <v>2035</v>
      </c>
      <c r="C19" t="s">
        <v>17</v>
      </c>
      <c r="D19">
        <v>3.0790000000000002</v>
      </c>
      <c r="E19" t="s">
        <v>409</v>
      </c>
      <c r="F19">
        <f t="shared" si="0"/>
        <v>3079</v>
      </c>
      <c r="G19">
        <f>F19*Chartier_Poncelet!$D$12</f>
        <v>1352.7480757502065</v>
      </c>
    </row>
    <row r="20" spans="1:7" x14ac:dyDescent="0.25">
      <c r="A20" t="s">
        <v>0</v>
      </c>
      <c r="B20">
        <v>2036</v>
      </c>
      <c r="C20" t="s">
        <v>17</v>
      </c>
      <c r="D20">
        <v>2.8370000000000002</v>
      </c>
      <c r="E20" t="s">
        <v>409</v>
      </c>
      <c r="F20">
        <f t="shared" si="0"/>
        <v>2837</v>
      </c>
      <c r="G20">
        <f>F20*Chartier_Poncelet!$D$12</f>
        <v>1246.4262068539576</v>
      </c>
    </row>
    <row r="21" spans="1:7" x14ac:dyDescent="0.25">
      <c r="A21" t="s">
        <v>0</v>
      </c>
      <c r="B21">
        <v>2037</v>
      </c>
      <c r="C21" t="s">
        <v>17</v>
      </c>
      <c r="D21">
        <v>0.94699999999999995</v>
      </c>
      <c r="E21" t="s">
        <v>409</v>
      </c>
      <c r="F21">
        <f t="shared" si="0"/>
        <v>947</v>
      </c>
      <c r="G21">
        <f>F21*Chartier_Poncelet!$D$12</f>
        <v>416.06119770556853</v>
      </c>
    </row>
    <row r="22" spans="1:7" x14ac:dyDescent="0.25">
      <c r="A22" t="s">
        <v>0</v>
      </c>
      <c r="B22">
        <v>2038</v>
      </c>
      <c r="C22" t="s">
        <v>17</v>
      </c>
      <c r="D22">
        <v>0.26100000000000001</v>
      </c>
      <c r="E22" t="s">
        <v>409</v>
      </c>
      <c r="F22">
        <f t="shared" si="0"/>
        <v>261</v>
      </c>
      <c r="G22">
        <f>F22*Chartier_Poncelet!$D$12</f>
        <v>114.66945364430136</v>
      </c>
    </row>
    <row r="23" spans="1:7" x14ac:dyDescent="0.25">
      <c r="A23" t="s">
        <v>0</v>
      </c>
      <c r="B23">
        <v>2039</v>
      </c>
      <c r="C23" t="s">
        <v>17</v>
      </c>
      <c r="D23">
        <v>0.26100000000000001</v>
      </c>
      <c r="E23" t="s">
        <v>409</v>
      </c>
      <c r="F23">
        <f t="shared" si="0"/>
        <v>261</v>
      </c>
      <c r="G23">
        <f>F23*Chartier_Poncelet!$D$12</f>
        <v>114.66945364430136</v>
      </c>
    </row>
    <row r="24" spans="1:7" x14ac:dyDescent="0.25">
      <c r="A24" t="s">
        <v>0</v>
      </c>
      <c r="B24">
        <v>2040</v>
      </c>
      <c r="C24" t="s">
        <v>17</v>
      </c>
      <c r="D24">
        <v>0.26100000000000001</v>
      </c>
      <c r="E24" t="s">
        <v>409</v>
      </c>
      <c r="F24">
        <f t="shared" si="0"/>
        <v>261</v>
      </c>
      <c r="G24">
        <f>F24*Chartier_Poncelet!$D$12</f>
        <v>114.66945364430136</v>
      </c>
    </row>
    <row r="25" spans="1:7" x14ac:dyDescent="0.25">
      <c r="A25" t="s">
        <v>0</v>
      </c>
      <c r="B25">
        <v>2018</v>
      </c>
      <c r="C25" t="s">
        <v>18</v>
      </c>
      <c r="D25">
        <v>4.1361000000000008</v>
      </c>
      <c r="E25" t="s">
        <v>409</v>
      </c>
      <c r="F25">
        <f t="shared" si="0"/>
        <v>4136.1000000000004</v>
      </c>
      <c r="G25">
        <f>F25*Chartier_Poncelet!$D$12</f>
        <v>1817.1813303379115</v>
      </c>
    </row>
    <row r="26" spans="1:7" x14ac:dyDescent="0.25">
      <c r="A26" t="s">
        <v>0</v>
      </c>
      <c r="B26">
        <v>2019</v>
      </c>
      <c r="C26" t="s">
        <v>18</v>
      </c>
      <c r="D26">
        <v>3.4330000000000003</v>
      </c>
      <c r="E26" t="s">
        <v>409</v>
      </c>
      <c r="F26">
        <f t="shared" si="0"/>
        <v>3433.0000000000005</v>
      </c>
      <c r="G26">
        <f>F26*Chartier_Poncelet!$D$12</f>
        <v>1508.2767600033969</v>
      </c>
    </row>
    <row r="27" spans="1:7" x14ac:dyDescent="0.25">
      <c r="A27" t="s">
        <v>0</v>
      </c>
      <c r="B27">
        <v>2020</v>
      </c>
      <c r="C27" t="s">
        <v>18</v>
      </c>
      <c r="D27">
        <v>3.2363240000000002</v>
      </c>
      <c r="E27" t="s">
        <v>409</v>
      </c>
      <c r="F27">
        <f t="shared" si="0"/>
        <v>3236.3240000000001</v>
      </c>
      <c r="G27">
        <f>F27*Chartier_Poncelet!$D$12</f>
        <v>1421.8678348503447</v>
      </c>
    </row>
    <row r="28" spans="1:7" x14ac:dyDescent="0.25">
      <c r="A28" t="s">
        <v>0</v>
      </c>
      <c r="B28">
        <v>2021</v>
      </c>
      <c r="C28" t="s">
        <v>18</v>
      </c>
      <c r="D28">
        <v>3.8086570000000002</v>
      </c>
      <c r="E28" t="s">
        <v>409</v>
      </c>
      <c r="F28">
        <f t="shared" si="0"/>
        <v>3808.6570000000002</v>
      </c>
      <c r="G28">
        <f>F28*Chartier_Poncelet!$D$12</f>
        <v>1673.3203728296701</v>
      </c>
    </row>
    <row r="29" spans="1:7" x14ac:dyDescent="0.25">
      <c r="A29" t="s">
        <v>0</v>
      </c>
      <c r="B29">
        <v>2022</v>
      </c>
      <c r="C29" t="s">
        <v>18</v>
      </c>
      <c r="D29">
        <v>2.536143</v>
      </c>
      <c r="E29" t="s">
        <v>409</v>
      </c>
      <c r="F29">
        <f t="shared" si="0"/>
        <v>2536.143</v>
      </c>
      <c r="G29">
        <f>F29*Chartier_Poncelet!$D$12</f>
        <v>1114.2457171410704</v>
      </c>
    </row>
    <row r="30" spans="1:7" x14ac:dyDescent="0.25">
      <c r="A30" t="s">
        <v>0</v>
      </c>
      <c r="B30">
        <v>2023</v>
      </c>
      <c r="C30" t="s">
        <v>18</v>
      </c>
      <c r="D30">
        <v>4.7960000000000003</v>
      </c>
      <c r="E30" t="s">
        <v>409</v>
      </c>
      <c r="F30">
        <f t="shared" si="0"/>
        <v>4796</v>
      </c>
      <c r="G30">
        <f>F30*Chartier_Poncelet!$D$12</f>
        <v>2107.1061290347484</v>
      </c>
    </row>
    <row r="31" spans="1:7" x14ac:dyDescent="0.25">
      <c r="A31" t="s">
        <v>0</v>
      </c>
      <c r="B31">
        <v>2024</v>
      </c>
      <c r="C31" t="s">
        <v>18</v>
      </c>
      <c r="D31">
        <v>3.3809999999999998</v>
      </c>
      <c r="E31" t="s">
        <v>409</v>
      </c>
      <c r="F31">
        <f t="shared" si="0"/>
        <v>3381</v>
      </c>
      <c r="G31">
        <f>F31*Chartier_Poncelet!$D$12</f>
        <v>1485.4307385876739</v>
      </c>
    </row>
    <row r="32" spans="1:7" x14ac:dyDescent="0.25">
      <c r="A32" t="s">
        <v>0</v>
      </c>
      <c r="B32">
        <v>2025</v>
      </c>
      <c r="C32" t="s">
        <v>18</v>
      </c>
      <c r="D32">
        <v>3.8504060559825399</v>
      </c>
      <c r="E32" t="s">
        <v>409</v>
      </c>
      <c r="F32">
        <f t="shared" si="0"/>
        <v>3850.4060559825398</v>
      </c>
      <c r="G32">
        <f>F32*Chartier_Poncelet!$D$12</f>
        <v>1691.6626771962724</v>
      </c>
    </row>
    <row r="33" spans="1:7" x14ac:dyDescent="0.25">
      <c r="A33" t="s">
        <v>0</v>
      </c>
      <c r="B33">
        <v>2026</v>
      </c>
      <c r="C33" t="s">
        <v>18</v>
      </c>
      <c r="D33">
        <v>4.4939999999999998</v>
      </c>
      <c r="E33" t="s">
        <v>409</v>
      </c>
      <c r="F33">
        <f t="shared" si="0"/>
        <v>4494</v>
      </c>
      <c r="G33">
        <f>F33*Chartier_Poncelet!$D$12</f>
        <v>1974.423466197281</v>
      </c>
    </row>
    <row r="34" spans="1:7" x14ac:dyDescent="0.25">
      <c r="A34" t="s">
        <v>0</v>
      </c>
      <c r="B34">
        <v>2027</v>
      </c>
      <c r="C34" t="s">
        <v>18</v>
      </c>
      <c r="D34">
        <v>5.3070000000000004</v>
      </c>
      <c r="E34" t="s">
        <v>409</v>
      </c>
      <c r="F34">
        <f t="shared" si="0"/>
        <v>5307</v>
      </c>
      <c r="G34">
        <f>F34*Chartier_Poncelet!$D$12</f>
        <v>2331.6122241007943</v>
      </c>
    </row>
    <row r="35" spans="1:7" x14ac:dyDescent="0.25">
      <c r="A35" t="s">
        <v>0</v>
      </c>
      <c r="B35">
        <v>2028</v>
      </c>
      <c r="C35" t="s">
        <v>18</v>
      </c>
      <c r="D35">
        <v>7.25</v>
      </c>
      <c r="E35" t="s">
        <v>409</v>
      </c>
      <c r="F35">
        <f t="shared" si="0"/>
        <v>7250</v>
      </c>
      <c r="G35">
        <f>F35*Chartier_Poncelet!$D$12</f>
        <v>3185.2626012305932</v>
      </c>
    </row>
    <row r="36" spans="1:7" x14ac:dyDescent="0.25">
      <c r="A36" t="s">
        <v>0</v>
      </c>
      <c r="B36">
        <v>2029</v>
      </c>
      <c r="C36" t="s">
        <v>18</v>
      </c>
      <c r="D36">
        <v>6.7191794773198641</v>
      </c>
      <c r="E36" t="s">
        <v>409</v>
      </c>
      <c r="F36">
        <f t="shared" si="0"/>
        <v>6719.1794773198644</v>
      </c>
      <c r="G36">
        <f>F36*Chartier_Poncelet!$D$12</f>
        <v>2952.0484275949088</v>
      </c>
    </row>
    <row r="37" spans="1:7" x14ac:dyDescent="0.25">
      <c r="A37" t="s">
        <v>0</v>
      </c>
      <c r="B37">
        <v>2030</v>
      </c>
      <c r="C37" t="s">
        <v>18</v>
      </c>
      <c r="D37">
        <v>7.7226911967684702</v>
      </c>
      <c r="E37" t="s">
        <v>409</v>
      </c>
      <c r="F37">
        <f t="shared" si="0"/>
        <v>7722.69119676847</v>
      </c>
      <c r="G37">
        <f>F37*Chartier_Poncelet!$D$12</f>
        <v>3392.9378551612886</v>
      </c>
    </row>
    <row r="38" spans="1:7" x14ac:dyDescent="0.25">
      <c r="A38" t="s">
        <v>0</v>
      </c>
      <c r="B38">
        <v>2031</v>
      </c>
      <c r="C38" t="s">
        <v>18</v>
      </c>
      <c r="D38">
        <v>8.8760777297221907</v>
      </c>
      <c r="E38" t="s">
        <v>409</v>
      </c>
      <c r="F38">
        <f t="shared" si="0"/>
        <v>8876.0777297221903</v>
      </c>
      <c r="G38">
        <f>F38*Chartier_Poncelet!$D$12</f>
        <v>3899.674267324116</v>
      </c>
    </row>
    <row r="39" spans="1:7" x14ac:dyDescent="0.25">
      <c r="A39" t="s">
        <v>0</v>
      </c>
      <c r="B39">
        <v>2032</v>
      </c>
      <c r="C39" t="s">
        <v>18</v>
      </c>
      <c r="D39">
        <v>10.201722930089112</v>
      </c>
      <c r="E39" t="s">
        <v>409</v>
      </c>
      <c r="F39">
        <f t="shared" si="0"/>
        <v>10201.722930089112</v>
      </c>
      <c r="G39">
        <f>F39*Chartier_Poncelet!$D$12</f>
        <v>4482.0919334247501</v>
      </c>
    </row>
    <row r="40" spans="1:7" x14ac:dyDescent="0.25">
      <c r="A40" t="s">
        <v>0</v>
      </c>
      <c r="B40">
        <v>2033</v>
      </c>
      <c r="C40" t="s">
        <v>18</v>
      </c>
      <c r="D40">
        <v>11.725353687902352</v>
      </c>
      <c r="E40" t="s">
        <v>409</v>
      </c>
      <c r="F40">
        <f t="shared" si="0"/>
        <v>11725.353687902352</v>
      </c>
      <c r="G40">
        <f>F40*Chartier_Poncelet!$D$12</f>
        <v>5151.4938742450449</v>
      </c>
    </row>
    <row r="41" spans="1:7" x14ac:dyDescent="0.25">
      <c r="A41" t="s">
        <v>0</v>
      </c>
      <c r="B41">
        <v>2034</v>
      </c>
      <c r="C41" t="s">
        <v>18</v>
      </c>
      <c r="D41">
        <v>13.476539212891987</v>
      </c>
      <c r="E41" t="s">
        <v>409</v>
      </c>
      <c r="F41">
        <f t="shared" si="0"/>
        <v>13476.539212891987</v>
      </c>
      <c r="G41">
        <f>F41*Chartier_Poncelet!$D$12</f>
        <v>5920.8712205299889</v>
      </c>
    </row>
    <row r="42" spans="1:7" x14ac:dyDescent="0.25">
      <c r="A42" t="s">
        <v>0</v>
      </c>
      <c r="B42">
        <v>2035</v>
      </c>
      <c r="C42" t="s">
        <v>18</v>
      </c>
      <c r="D42">
        <v>15.489264886226762</v>
      </c>
      <c r="E42" t="s">
        <v>409</v>
      </c>
      <c r="F42">
        <f t="shared" si="0"/>
        <v>15489.264886226762</v>
      </c>
      <c r="G42">
        <f>F42*Chartier_Poncelet!$D$12</f>
        <v>6805.1553327796337</v>
      </c>
    </row>
    <row r="43" spans="1:7" x14ac:dyDescent="0.25">
      <c r="A43" t="s">
        <v>0</v>
      </c>
      <c r="B43">
        <v>2036</v>
      </c>
      <c r="C43" t="s">
        <v>18</v>
      </c>
      <c r="D43">
        <v>17.802591817206793</v>
      </c>
      <c r="E43" t="s">
        <v>409</v>
      </c>
      <c r="F43">
        <f t="shared" si="0"/>
        <v>17802.591817206794</v>
      </c>
      <c r="G43">
        <f>F43*Chartier_Poncelet!$D$12</f>
        <v>7821.5075752169087</v>
      </c>
    </row>
    <row r="44" spans="1:7" x14ac:dyDescent="0.25">
      <c r="A44" t="s">
        <v>0</v>
      </c>
      <c r="B44">
        <v>2037</v>
      </c>
      <c r="C44" t="s">
        <v>18</v>
      </c>
      <c r="D44">
        <v>20.461414904970614</v>
      </c>
      <c r="E44" t="s">
        <v>409</v>
      </c>
      <c r="F44">
        <f t="shared" si="0"/>
        <v>20461.414904970614</v>
      </c>
      <c r="G44">
        <f>F44*Chartier_Poncelet!$D$12</f>
        <v>8989.6523675951903</v>
      </c>
    </row>
    <row r="45" spans="1:7" x14ac:dyDescent="0.25">
      <c r="A45" t="s">
        <v>0</v>
      </c>
      <c r="B45">
        <v>2038</v>
      </c>
      <c r="C45" t="s">
        <v>18</v>
      </c>
      <c r="D45">
        <v>23.517334116973664</v>
      </c>
      <c r="E45" t="s">
        <v>409</v>
      </c>
      <c r="F45">
        <f t="shared" si="0"/>
        <v>23517.334116973663</v>
      </c>
      <c r="G45">
        <f>F45*Chartier_Poncelet!$D$12</f>
        <v>10332.259978405587</v>
      </c>
    </row>
    <row r="46" spans="1:7" x14ac:dyDescent="0.25">
      <c r="A46" t="s">
        <v>0</v>
      </c>
      <c r="B46">
        <v>2039</v>
      </c>
      <c r="C46" t="s">
        <v>18</v>
      </c>
      <c r="D46">
        <v>27.029655893201195</v>
      </c>
      <c r="E46" t="s">
        <v>409</v>
      </c>
      <c r="F46">
        <f t="shared" si="0"/>
        <v>27029.655893201194</v>
      </c>
      <c r="G46">
        <f>F46*Chartier_Poncelet!$D$12</f>
        <v>11875.386488378741</v>
      </c>
    </row>
    <row r="47" spans="1:7" x14ac:dyDescent="0.25">
      <c r="A47" t="s">
        <v>0</v>
      </c>
      <c r="B47">
        <v>2040</v>
      </c>
      <c r="C47" t="s">
        <v>18</v>
      </c>
      <c r="D47">
        <v>31.066544110437789</v>
      </c>
      <c r="E47" t="s">
        <v>409</v>
      </c>
      <c r="F47">
        <f t="shared" si="0"/>
        <v>31066.54411043779</v>
      </c>
      <c r="G47">
        <f>F47*Chartier_Poncelet!$D$12</f>
        <v>13648.979462683868</v>
      </c>
    </row>
    <row r="48" spans="1:7" x14ac:dyDescent="0.25">
      <c r="A48" t="s">
        <v>1</v>
      </c>
      <c r="B48">
        <v>2018</v>
      </c>
      <c r="C48" t="s">
        <v>17</v>
      </c>
      <c r="D48">
        <v>535.50900000000001</v>
      </c>
      <c r="E48" t="s">
        <v>409</v>
      </c>
      <c r="F48">
        <f t="shared" si="0"/>
        <v>535509</v>
      </c>
      <c r="G48">
        <f>F48*Chartier_Poncelet!$D$14</f>
        <v>447013.86864406778</v>
      </c>
    </row>
    <row r="49" spans="1:7" x14ac:dyDescent="0.25">
      <c r="A49" t="s">
        <v>1</v>
      </c>
      <c r="B49">
        <v>2019</v>
      </c>
      <c r="C49" t="s">
        <v>17</v>
      </c>
      <c r="D49">
        <v>557.84900000000005</v>
      </c>
      <c r="E49" t="s">
        <v>409</v>
      </c>
      <c r="F49">
        <f t="shared" si="0"/>
        <v>557849</v>
      </c>
      <c r="G49">
        <f>F49*Chartier_Poncelet!$D$14</f>
        <v>465662.08898305084</v>
      </c>
    </row>
    <row r="50" spans="1:7" x14ac:dyDescent="0.25">
      <c r="A50" t="s">
        <v>1</v>
      </c>
      <c r="B50">
        <v>2020</v>
      </c>
      <c r="C50" t="s">
        <v>17</v>
      </c>
      <c r="D50">
        <v>530.92100000000005</v>
      </c>
      <c r="E50" t="s">
        <v>409</v>
      </c>
      <c r="F50">
        <f t="shared" si="0"/>
        <v>530921</v>
      </c>
      <c r="G50">
        <f>F50*Chartier_Poncelet!$D$14</f>
        <v>443184.05508474575</v>
      </c>
    </row>
    <row r="51" spans="1:7" x14ac:dyDescent="0.25">
      <c r="A51" t="s">
        <v>1</v>
      </c>
      <c r="B51">
        <v>2021</v>
      </c>
      <c r="C51" t="s">
        <v>17</v>
      </c>
      <c r="D51">
        <v>488.52199999999999</v>
      </c>
      <c r="E51" t="s">
        <v>409</v>
      </c>
      <c r="F51">
        <f t="shared" si="0"/>
        <v>488522</v>
      </c>
      <c r="G51">
        <f>F51*Chartier_Poncelet!$D$14</f>
        <v>407791.66949152545</v>
      </c>
    </row>
    <row r="52" spans="1:7" x14ac:dyDescent="0.25">
      <c r="A52" t="s">
        <v>1</v>
      </c>
      <c r="B52">
        <v>2022</v>
      </c>
      <c r="C52" t="s">
        <v>17</v>
      </c>
      <c r="D52">
        <v>460.41500000000002</v>
      </c>
      <c r="E52" t="s">
        <v>409</v>
      </c>
      <c r="F52">
        <f t="shared" si="0"/>
        <v>460415</v>
      </c>
      <c r="G52">
        <f>F52*Chartier_Poncelet!$D$14</f>
        <v>384329.47033898305</v>
      </c>
    </row>
    <row r="53" spans="1:7" x14ac:dyDescent="0.25">
      <c r="A53" t="s">
        <v>1</v>
      </c>
      <c r="B53">
        <v>2023</v>
      </c>
      <c r="C53" t="s">
        <v>17</v>
      </c>
      <c r="D53">
        <v>404.04599999999999</v>
      </c>
      <c r="E53" t="s">
        <v>409</v>
      </c>
      <c r="F53">
        <f t="shared" si="0"/>
        <v>404046</v>
      </c>
      <c r="G53">
        <f>F53*Chartier_Poncelet!$D$14</f>
        <v>337275.68644067796</v>
      </c>
    </row>
    <row r="54" spans="1:7" x14ac:dyDescent="0.25">
      <c r="A54" t="s">
        <v>1</v>
      </c>
      <c r="B54">
        <v>2024</v>
      </c>
      <c r="C54" t="s">
        <v>17</v>
      </c>
      <c r="D54">
        <v>478.89299999999997</v>
      </c>
      <c r="E54" t="s">
        <v>409</v>
      </c>
      <c r="F54">
        <f t="shared" si="0"/>
        <v>478893</v>
      </c>
      <c r="G54">
        <f>F54*Chartier_Poncelet!$D$14</f>
        <v>399753.90254237287</v>
      </c>
    </row>
    <row r="55" spans="1:7" x14ac:dyDescent="0.25">
      <c r="A55" t="s">
        <v>1</v>
      </c>
      <c r="B55">
        <v>2025</v>
      </c>
      <c r="C55" t="s">
        <v>17</v>
      </c>
      <c r="D55">
        <v>483.88799999999998</v>
      </c>
      <c r="E55" t="s">
        <v>409</v>
      </c>
      <c r="F55">
        <f t="shared" si="0"/>
        <v>483888</v>
      </c>
      <c r="G55">
        <f>F55*Chartier_Poncelet!$D$14</f>
        <v>403923.45762711862</v>
      </c>
    </row>
    <row r="56" spans="1:7" x14ac:dyDescent="0.25">
      <c r="A56" t="s">
        <v>1</v>
      </c>
      <c r="B56">
        <v>2026</v>
      </c>
      <c r="C56" t="s">
        <v>17</v>
      </c>
      <c r="D56">
        <v>475.56599999999997</v>
      </c>
      <c r="E56" t="s">
        <v>409</v>
      </c>
      <c r="F56">
        <f t="shared" si="0"/>
        <v>475566</v>
      </c>
      <c r="G56">
        <f>F56*Chartier_Poncelet!$D$14</f>
        <v>396976.70338983048</v>
      </c>
    </row>
    <row r="57" spans="1:7" x14ac:dyDescent="0.25">
      <c r="A57" t="s">
        <v>1</v>
      </c>
      <c r="B57">
        <v>2027</v>
      </c>
      <c r="C57" t="s">
        <v>17</v>
      </c>
      <c r="D57">
        <v>494.964</v>
      </c>
      <c r="E57" t="s">
        <v>409</v>
      </c>
      <c r="F57">
        <f t="shared" si="0"/>
        <v>494964</v>
      </c>
      <c r="G57">
        <f>F57*Chartier_Poncelet!$D$14</f>
        <v>413169.10169491527</v>
      </c>
    </row>
    <row r="58" spans="1:7" x14ac:dyDescent="0.25">
      <c r="A58" t="s">
        <v>1</v>
      </c>
      <c r="B58">
        <v>2028</v>
      </c>
      <c r="C58" t="s">
        <v>17</v>
      </c>
      <c r="D58">
        <v>461.12</v>
      </c>
      <c r="E58" t="s">
        <v>409</v>
      </c>
      <c r="F58">
        <f t="shared" si="0"/>
        <v>461120</v>
      </c>
      <c r="G58">
        <f>F58*Chartier_Poncelet!$D$14</f>
        <v>384917.96610169491</v>
      </c>
    </row>
    <row r="59" spans="1:7" x14ac:dyDescent="0.25">
      <c r="A59" t="s">
        <v>1</v>
      </c>
      <c r="B59">
        <v>2029</v>
      </c>
      <c r="C59" t="s">
        <v>17</v>
      </c>
      <c r="D59">
        <v>348.255</v>
      </c>
      <c r="E59" t="s">
        <v>409</v>
      </c>
      <c r="F59">
        <f t="shared" si="0"/>
        <v>348255</v>
      </c>
      <c r="G59">
        <f>F59*Chartier_Poncelet!$D$14</f>
        <v>290704.38559322036</v>
      </c>
    </row>
    <row r="60" spans="1:7" x14ac:dyDescent="0.25">
      <c r="A60" t="s">
        <v>1</v>
      </c>
      <c r="B60">
        <v>2030</v>
      </c>
      <c r="C60" t="s">
        <v>17</v>
      </c>
      <c r="D60">
        <v>331.738</v>
      </c>
      <c r="E60" t="s">
        <v>409</v>
      </c>
      <c r="F60">
        <f t="shared" si="0"/>
        <v>331738</v>
      </c>
      <c r="G60">
        <f>F60*Chartier_Poncelet!$D$14</f>
        <v>276916.8898305085</v>
      </c>
    </row>
    <row r="61" spans="1:7" x14ac:dyDescent="0.25">
      <c r="A61" t="s">
        <v>1</v>
      </c>
      <c r="B61">
        <v>2031</v>
      </c>
      <c r="C61" t="s">
        <v>17</v>
      </c>
      <c r="D61">
        <v>311.14499999999998</v>
      </c>
      <c r="E61" t="s">
        <v>409</v>
      </c>
      <c r="F61">
        <f t="shared" si="0"/>
        <v>311145</v>
      </c>
      <c r="G61">
        <f>F61*Chartier_Poncelet!$D$14</f>
        <v>259726.97033898305</v>
      </c>
    </row>
    <row r="62" spans="1:7" x14ac:dyDescent="0.25">
      <c r="A62" t="s">
        <v>1</v>
      </c>
      <c r="B62">
        <v>2032</v>
      </c>
      <c r="C62" t="s">
        <v>17</v>
      </c>
      <c r="D62">
        <v>309.45299999999997</v>
      </c>
      <c r="E62" t="s">
        <v>409</v>
      </c>
      <c r="F62">
        <f t="shared" si="0"/>
        <v>309453</v>
      </c>
      <c r="G62">
        <f>F62*Chartier_Poncelet!$D$14</f>
        <v>258314.58050847458</v>
      </c>
    </row>
    <row r="63" spans="1:7" x14ac:dyDescent="0.25">
      <c r="A63" t="s">
        <v>1</v>
      </c>
      <c r="B63">
        <v>2033</v>
      </c>
      <c r="C63" t="s">
        <v>17</v>
      </c>
      <c r="D63">
        <v>276.87799999999999</v>
      </c>
      <c r="E63" t="s">
        <v>409</v>
      </c>
      <c r="F63">
        <f t="shared" si="0"/>
        <v>276878</v>
      </c>
      <c r="G63">
        <f>F63*Chartier_Poncelet!$D$14</f>
        <v>231122.7372881356</v>
      </c>
    </row>
    <row r="64" spans="1:7" x14ac:dyDescent="0.25">
      <c r="A64" t="s">
        <v>1</v>
      </c>
      <c r="B64">
        <v>2034</v>
      </c>
      <c r="C64" t="s">
        <v>17</v>
      </c>
      <c r="D64">
        <v>265.77800000000002</v>
      </c>
      <c r="E64" t="s">
        <v>409</v>
      </c>
      <c r="F64">
        <f t="shared" si="0"/>
        <v>265778</v>
      </c>
      <c r="G64">
        <f>F64*Chartier_Poncelet!$D$14</f>
        <v>221857.05932203389</v>
      </c>
    </row>
    <row r="65" spans="1:7" x14ac:dyDescent="0.25">
      <c r="A65" t="s">
        <v>1</v>
      </c>
      <c r="B65">
        <v>2035</v>
      </c>
      <c r="C65" t="s">
        <v>17</v>
      </c>
      <c r="D65">
        <v>268.899</v>
      </c>
      <c r="E65" t="s">
        <v>409</v>
      </c>
      <c r="F65">
        <f t="shared" si="0"/>
        <v>268899</v>
      </c>
      <c r="G65">
        <f>F65*Chartier_Poncelet!$D$14</f>
        <v>224462.30084745763</v>
      </c>
    </row>
    <row r="66" spans="1:7" x14ac:dyDescent="0.25">
      <c r="A66" t="s">
        <v>1</v>
      </c>
      <c r="B66">
        <v>2036</v>
      </c>
      <c r="C66" t="s">
        <v>17</v>
      </c>
      <c r="D66">
        <v>260.85899999999998</v>
      </c>
      <c r="E66" t="s">
        <v>409</v>
      </c>
      <c r="F66">
        <f t="shared" si="0"/>
        <v>260858.99999999997</v>
      </c>
      <c r="G66">
        <f>F66*Chartier_Poncelet!$D$14</f>
        <v>217750.94491525422</v>
      </c>
    </row>
    <row r="67" spans="1:7" x14ac:dyDescent="0.25">
      <c r="A67" t="s">
        <v>1</v>
      </c>
      <c r="B67">
        <v>2037</v>
      </c>
      <c r="C67" t="s">
        <v>17</v>
      </c>
      <c r="D67">
        <v>216.67500000000001</v>
      </c>
      <c r="E67" t="s">
        <v>409</v>
      </c>
      <c r="F67">
        <f t="shared" ref="F67:F130" si="1">D67*1000</f>
        <v>216675</v>
      </c>
      <c r="G67">
        <f>F67*Chartier_Poncelet!$D$14</f>
        <v>180868.53813559323</v>
      </c>
    </row>
    <row r="68" spans="1:7" x14ac:dyDescent="0.25">
      <c r="A68" t="s">
        <v>1</v>
      </c>
      <c r="B68">
        <v>2038</v>
      </c>
      <c r="C68" t="s">
        <v>17</v>
      </c>
      <c r="D68">
        <v>149.63300000000001</v>
      </c>
      <c r="E68" t="s">
        <v>409</v>
      </c>
      <c r="F68">
        <f t="shared" si="1"/>
        <v>149633</v>
      </c>
      <c r="G68">
        <f>F68*Chartier_Poncelet!$D$14</f>
        <v>124905.5127118644</v>
      </c>
    </row>
    <row r="69" spans="1:7" x14ac:dyDescent="0.25">
      <c r="A69" t="s">
        <v>1</v>
      </c>
      <c r="B69">
        <v>2039</v>
      </c>
      <c r="C69" t="s">
        <v>17</v>
      </c>
      <c r="D69">
        <v>174.13</v>
      </c>
      <c r="E69" t="s">
        <v>409</v>
      </c>
      <c r="F69">
        <f t="shared" si="1"/>
        <v>174130</v>
      </c>
      <c r="G69">
        <f>F69*Chartier_Poncelet!$D$14</f>
        <v>145354.27966101695</v>
      </c>
    </row>
    <row r="70" spans="1:7" x14ac:dyDescent="0.25">
      <c r="A70" t="s">
        <v>1</v>
      </c>
      <c r="B70">
        <v>2040</v>
      </c>
      <c r="C70" t="s">
        <v>17</v>
      </c>
      <c r="D70">
        <v>183.01900000000001</v>
      </c>
      <c r="E70" t="s">
        <v>409</v>
      </c>
      <c r="F70">
        <f t="shared" si="1"/>
        <v>183019</v>
      </c>
      <c r="G70">
        <f>F70*Chartier_Poncelet!$D$14</f>
        <v>152774.33474576272</v>
      </c>
    </row>
    <row r="71" spans="1:7" x14ac:dyDescent="0.25">
      <c r="A71" t="s">
        <v>1</v>
      </c>
      <c r="B71">
        <v>2018</v>
      </c>
      <c r="C71" t="s">
        <v>18</v>
      </c>
      <c r="D71">
        <v>535.50900000000001</v>
      </c>
      <c r="E71" t="s">
        <v>409</v>
      </c>
      <c r="F71">
        <f t="shared" si="1"/>
        <v>535509</v>
      </c>
      <c r="G71">
        <f>F71*Chartier_Poncelet!$D$14</f>
        <v>447013.86864406778</v>
      </c>
    </row>
    <row r="72" spans="1:7" x14ac:dyDescent="0.25">
      <c r="A72" t="s">
        <v>1</v>
      </c>
      <c r="B72">
        <v>2019</v>
      </c>
      <c r="C72" t="s">
        <v>18</v>
      </c>
      <c r="D72">
        <v>557.84900000000005</v>
      </c>
      <c r="E72" t="s">
        <v>409</v>
      </c>
      <c r="F72">
        <f t="shared" si="1"/>
        <v>557849</v>
      </c>
      <c r="G72">
        <f>F72*Chartier_Poncelet!$D$14</f>
        <v>465662.08898305084</v>
      </c>
    </row>
    <row r="73" spans="1:7" x14ac:dyDescent="0.25">
      <c r="A73" t="s">
        <v>1</v>
      </c>
      <c r="B73">
        <v>2020</v>
      </c>
      <c r="C73" t="s">
        <v>18</v>
      </c>
      <c r="D73">
        <v>530.92100000000005</v>
      </c>
      <c r="E73" t="s">
        <v>409</v>
      </c>
      <c r="F73">
        <f t="shared" si="1"/>
        <v>530921</v>
      </c>
      <c r="G73">
        <f>F73*Chartier_Poncelet!$D$14</f>
        <v>443184.05508474575</v>
      </c>
    </row>
    <row r="74" spans="1:7" x14ac:dyDescent="0.25">
      <c r="A74" t="s">
        <v>1</v>
      </c>
      <c r="B74">
        <v>2021</v>
      </c>
      <c r="C74" t="s">
        <v>18</v>
      </c>
      <c r="D74">
        <v>488.52199999999999</v>
      </c>
      <c r="E74" t="s">
        <v>409</v>
      </c>
      <c r="F74">
        <f t="shared" si="1"/>
        <v>488522</v>
      </c>
      <c r="G74">
        <f>F74*Chartier_Poncelet!$D$14</f>
        <v>407791.66949152545</v>
      </c>
    </row>
    <row r="75" spans="1:7" x14ac:dyDescent="0.25">
      <c r="A75" t="s">
        <v>1</v>
      </c>
      <c r="B75">
        <v>2022</v>
      </c>
      <c r="C75" t="s">
        <v>18</v>
      </c>
      <c r="D75">
        <v>460.41500000000002</v>
      </c>
      <c r="E75" t="s">
        <v>409</v>
      </c>
      <c r="F75">
        <f t="shared" si="1"/>
        <v>460415</v>
      </c>
      <c r="G75">
        <f>F75*Chartier_Poncelet!$D$14</f>
        <v>384329.47033898305</v>
      </c>
    </row>
    <row r="76" spans="1:7" x14ac:dyDescent="0.25">
      <c r="A76" t="s">
        <v>1</v>
      </c>
      <c r="B76">
        <v>2023</v>
      </c>
      <c r="C76" t="s">
        <v>18</v>
      </c>
      <c r="D76">
        <v>483.96799647683338</v>
      </c>
      <c r="E76" t="s">
        <v>409</v>
      </c>
      <c r="F76">
        <f t="shared" si="1"/>
        <v>483967.99647683336</v>
      </c>
      <c r="G76">
        <f>F76*Chartier_Poncelet!$D$14</f>
        <v>403990.23434718716</v>
      </c>
    </row>
    <row r="77" spans="1:7" x14ac:dyDescent="0.25">
      <c r="A77" t="s">
        <v>1</v>
      </c>
      <c r="B77">
        <v>2024</v>
      </c>
      <c r="C77" t="s">
        <v>18</v>
      </c>
      <c r="D77">
        <v>508.7258703860652</v>
      </c>
      <c r="E77" t="s">
        <v>409</v>
      </c>
      <c r="F77">
        <f t="shared" si="1"/>
        <v>508725.87038606522</v>
      </c>
      <c r="G77">
        <f>F77*Chartier_Poncelet!$D$14</f>
        <v>424656.76468667306</v>
      </c>
    </row>
    <row r="78" spans="1:7" x14ac:dyDescent="0.25">
      <c r="A78" t="s">
        <v>1</v>
      </c>
      <c r="B78">
        <v>2025</v>
      </c>
      <c r="C78" t="s">
        <v>18</v>
      </c>
      <c r="D78">
        <v>534.75025845525715</v>
      </c>
      <c r="E78" t="s">
        <v>409</v>
      </c>
      <c r="F78">
        <f t="shared" si="1"/>
        <v>534750.25845525716</v>
      </c>
      <c r="G78">
        <f>F78*Chartier_Poncelet!$D$14</f>
        <v>446380.51235460024</v>
      </c>
    </row>
    <row r="79" spans="1:7" x14ac:dyDescent="0.25">
      <c r="A79" t="s">
        <v>1</v>
      </c>
      <c r="B79">
        <v>2026</v>
      </c>
      <c r="C79" t="s">
        <v>18</v>
      </c>
      <c r="D79">
        <v>562.10595050130769</v>
      </c>
      <c r="E79" t="s">
        <v>409</v>
      </c>
      <c r="F79">
        <f t="shared" si="1"/>
        <v>562105.95050130773</v>
      </c>
      <c r="G79">
        <f>F79*Chartier_Poncelet!$D$14</f>
        <v>469215.56037609163</v>
      </c>
    </row>
    <row r="80" spans="1:7" x14ac:dyDescent="0.25">
      <c r="A80" t="s">
        <v>1</v>
      </c>
      <c r="B80">
        <v>2027</v>
      </c>
      <c r="C80" t="s">
        <v>18</v>
      </c>
      <c r="D80">
        <v>590.86105072993712</v>
      </c>
      <c r="E80" t="s">
        <v>409</v>
      </c>
      <c r="F80">
        <f t="shared" si="1"/>
        <v>590861.05072993715</v>
      </c>
      <c r="G80">
        <f>F80*Chartier_Poncelet!$D$14</f>
        <v>493218.758448295</v>
      </c>
    </row>
    <row r="81" spans="1:7" x14ac:dyDescent="0.25">
      <c r="A81" t="s">
        <v>1</v>
      </c>
      <c r="B81">
        <v>2028</v>
      </c>
      <c r="C81" t="s">
        <v>18</v>
      </c>
      <c r="D81">
        <v>621.08714728660948</v>
      </c>
      <c r="E81" t="s">
        <v>409</v>
      </c>
      <c r="F81">
        <f t="shared" si="1"/>
        <v>621087.14728660951</v>
      </c>
      <c r="G81">
        <f>F81*Chartier_Poncelet!$D$14</f>
        <v>518449.8644722969</v>
      </c>
    </row>
    <row r="82" spans="1:7" x14ac:dyDescent="0.25">
      <c r="A82" t="s">
        <v>1</v>
      </c>
      <c r="B82">
        <v>2029</v>
      </c>
      <c r="C82" t="s">
        <v>18</v>
      </c>
      <c r="D82">
        <v>652.85949048100599</v>
      </c>
      <c r="E82" t="s">
        <v>409</v>
      </c>
      <c r="F82">
        <f t="shared" si="1"/>
        <v>652859.49048100598</v>
      </c>
      <c r="G82">
        <f>F82*Chartier_Poncelet!$D$14</f>
        <v>544971.69332524657</v>
      </c>
    </row>
    <row r="83" spans="1:7" x14ac:dyDescent="0.25">
      <c r="A83" t="s">
        <v>1</v>
      </c>
      <c r="B83">
        <v>2030</v>
      </c>
      <c r="C83" t="s">
        <v>18</v>
      </c>
      <c r="D83">
        <v>686.25718012875052</v>
      </c>
      <c r="E83" t="s">
        <v>409</v>
      </c>
      <c r="F83">
        <f t="shared" si="1"/>
        <v>686257.18012875051</v>
      </c>
      <c r="G83">
        <f>F83*Chartier_Poncelet!$D$14</f>
        <v>572850.2732430672</v>
      </c>
    </row>
    <row r="84" spans="1:7" x14ac:dyDescent="0.25">
      <c r="A84" t="s">
        <v>1</v>
      </c>
      <c r="B84">
        <v>2031</v>
      </c>
      <c r="C84" t="s">
        <v>18</v>
      </c>
      <c r="D84">
        <v>721.3633624767931</v>
      </c>
      <c r="E84" t="s">
        <v>409</v>
      </c>
      <c r="F84">
        <f t="shared" si="1"/>
        <v>721363.36247679312</v>
      </c>
      <c r="G84">
        <f>F84*Chartier_Poncelet!$D$14</f>
        <v>602155.01020308572</v>
      </c>
    </row>
    <row r="85" spans="1:7" x14ac:dyDescent="0.25">
      <c r="A85" t="s">
        <v>1</v>
      </c>
      <c r="B85">
        <v>2032</v>
      </c>
      <c r="C85" t="s">
        <v>18</v>
      </c>
      <c r="D85">
        <v>758.26543720270911</v>
      </c>
      <c r="E85" t="s">
        <v>409</v>
      </c>
      <c r="F85">
        <f t="shared" si="1"/>
        <v>758265.43720270914</v>
      </c>
      <c r="G85">
        <f>F85*Chartier_Poncelet!$D$14</f>
        <v>632958.8607158208</v>
      </c>
    </row>
    <row r="86" spans="1:7" x14ac:dyDescent="0.25">
      <c r="A86" t="s">
        <v>1</v>
      </c>
      <c r="B86">
        <v>2033</v>
      </c>
      <c r="C86" t="s">
        <v>18</v>
      </c>
      <c r="D86">
        <v>797.05527500325866</v>
      </c>
      <c r="E86" t="s">
        <v>409</v>
      </c>
      <c r="F86">
        <f t="shared" si="1"/>
        <v>797055.2750032586</v>
      </c>
      <c r="G86">
        <f>F86*Chartier_Poncelet!$D$14</f>
        <v>665338.51345610991</v>
      </c>
    </row>
    <row r="87" spans="1:7" x14ac:dyDescent="0.25">
      <c r="A87" t="s">
        <v>1</v>
      </c>
      <c r="B87">
        <v>2034</v>
      </c>
      <c r="C87" t="s">
        <v>18</v>
      </c>
      <c r="D87">
        <v>837.8294463139091</v>
      </c>
      <c r="E87" t="s">
        <v>409</v>
      </c>
      <c r="F87">
        <f t="shared" si="1"/>
        <v>837829.44631390914</v>
      </c>
      <c r="G87">
        <f>F87*Chartier_Poncelet!$D$14</f>
        <v>699374.58018576319</v>
      </c>
    </row>
    <row r="88" spans="1:7" x14ac:dyDescent="0.25">
      <c r="A88" t="s">
        <v>1</v>
      </c>
      <c r="B88">
        <v>2035</v>
      </c>
      <c r="C88" t="s">
        <v>18</v>
      </c>
      <c r="D88">
        <v>880.68946172873859</v>
      </c>
      <c r="E88" t="s">
        <v>409</v>
      </c>
      <c r="F88">
        <f t="shared" si="1"/>
        <v>880689.46172873862</v>
      </c>
      <c r="G88">
        <f>F88*Chartier_Poncelet!$D$14</f>
        <v>735151.79644305725</v>
      </c>
    </row>
    <row r="89" spans="1:7" x14ac:dyDescent="0.25">
      <c r="A89" t="s">
        <v>1</v>
      </c>
      <c r="B89">
        <v>2036</v>
      </c>
      <c r="C89" t="s">
        <v>18</v>
      </c>
      <c r="D89">
        <v>925.74202471926105</v>
      </c>
      <c r="E89" t="s">
        <v>409</v>
      </c>
      <c r="F89">
        <f t="shared" si="1"/>
        <v>925742.0247192611</v>
      </c>
      <c r="G89">
        <f>F89*Chartier_Poncelet!$D$14</f>
        <v>772759.23249870527</v>
      </c>
    </row>
    <row r="90" spans="1:7" x14ac:dyDescent="0.25">
      <c r="A90" t="s">
        <v>1</v>
      </c>
      <c r="B90">
        <v>2037</v>
      </c>
      <c r="C90" t="s">
        <v>18</v>
      </c>
      <c r="D90">
        <v>973.09929728133943</v>
      </c>
      <c r="E90" t="s">
        <v>409</v>
      </c>
      <c r="F90">
        <f t="shared" si="1"/>
        <v>973099.29728133942</v>
      </c>
      <c r="G90">
        <f>F90*Chartier_Poncelet!$D$14</f>
        <v>812290.51510349091</v>
      </c>
    </row>
    <row r="91" spans="1:7" x14ac:dyDescent="0.25">
      <c r="A91" t="s">
        <v>1</v>
      </c>
      <c r="B91">
        <v>2038</v>
      </c>
      <c r="C91" t="s">
        <v>18</v>
      </c>
      <c r="D91">
        <v>1022.8791791715392</v>
      </c>
      <c r="E91" t="s">
        <v>409</v>
      </c>
      <c r="F91">
        <f t="shared" si="1"/>
        <v>1022879.1791715393</v>
      </c>
      <c r="G91">
        <f>F91*Chartier_Poncelet!$D$14</f>
        <v>853844.06057963229</v>
      </c>
    </row>
    <row r="92" spans="1:7" x14ac:dyDescent="0.25">
      <c r="A92" t="s">
        <v>1</v>
      </c>
      <c r="B92">
        <v>2039</v>
      </c>
      <c r="C92" t="s">
        <v>18</v>
      </c>
      <c r="D92">
        <v>1075.2056014280979</v>
      </c>
      <c r="E92" t="s">
        <v>409</v>
      </c>
      <c r="F92">
        <f t="shared" si="1"/>
        <v>1075205.6014280978</v>
      </c>
      <c r="G92">
        <f>F92*Chartier_Poncelet!$D$14</f>
        <v>897523.31983616634</v>
      </c>
    </row>
    <row r="93" spans="1:7" x14ac:dyDescent="0.25">
      <c r="A93" t="s">
        <v>1</v>
      </c>
      <c r="B93">
        <v>2040</v>
      </c>
      <c r="C93" t="s">
        <v>18</v>
      </c>
      <c r="D93">
        <v>1130.2088349072583</v>
      </c>
      <c r="E93" t="s">
        <v>409</v>
      </c>
      <c r="F93">
        <f t="shared" si="1"/>
        <v>1130208.8349072584</v>
      </c>
      <c r="G93">
        <f>F93*Chartier_Poncelet!$D$14</f>
        <v>943437.03591834707</v>
      </c>
    </row>
    <row r="94" spans="1:7" x14ac:dyDescent="0.25">
      <c r="A94" t="s">
        <v>3</v>
      </c>
      <c r="B94">
        <v>2018</v>
      </c>
      <c r="C94" t="s">
        <v>17</v>
      </c>
      <c r="D94">
        <v>0</v>
      </c>
      <c r="E94" t="s">
        <v>409</v>
      </c>
      <c r="F94">
        <f t="shared" si="1"/>
        <v>0</v>
      </c>
      <c r="G94">
        <f>CCI_prod_data!F94*Chartier_Poncelet!$D$28</f>
        <v>0</v>
      </c>
    </row>
    <row r="95" spans="1:7" x14ac:dyDescent="0.25">
      <c r="A95" t="s">
        <v>3</v>
      </c>
      <c r="B95">
        <v>2019</v>
      </c>
      <c r="C95" t="s">
        <v>17</v>
      </c>
      <c r="D95">
        <v>0</v>
      </c>
      <c r="E95" t="s">
        <v>409</v>
      </c>
      <c r="F95">
        <f t="shared" si="1"/>
        <v>0</v>
      </c>
      <c r="G95">
        <f>CCI_prod_data!F95*Chartier_Poncelet!$D$28</f>
        <v>0</v>
      </c>
    </row>
    <row r="96" spans="1:7" x14ac:dyDescent="0.25">
      <c r="A96" t="s">
        <v>3</v>
      </c>
      <c r="B96">
        <v>2020</v>
      </c>
      <c r="C96" t="s">
        <v>17</v>
      </c>
      <c r="D96">
        <v>0</v>
      </c>
      <c r="E96" t="s">
        <v>409</v>
      </c>
      <c r="F96">
        <f t="shared" si="1"/>
        <v>0</v>
      </c>
      <c r="G96">
        <f>CCI_prod_data!F96*Chartier_Poncelet!$D$28</f>
        <v>0</v>
      </c>
    </row>
    <row r="97" spans="1:7" x14ac:dyDescent="0.25">
      <c r="A97" t="s">
        <v>3</v>
      </c>
      <c r="B97">
        <v>2021</v>
      </c>
      <c r="C97" t="s">
        <v>17</v>
      </c>
      <c r="D97">
        <v>0.188</v>
      </c>
      <c r="E97" t="s">
        <v>409</v>
      </c>
      <c r="F97">
        <f t="shared" si="1"/>
        <v>188</v>
      </c>
      <c r="G97">
        <f>CCI_prod_data!F97*Chartier_Poncelet!$D$28</f>
        <v>131.44404853212131</v>
      </c>
    </row>
    <row r="98" spans="1:7" x14ac:dyDescent="0.25">
      <c r="A98" t="s">
        <v>3</v>
      </c>
      <c r="B98">
        <v>2022</v>
      </c>
      <c r="C98" t="s">
        <v>17</v>
      </c>
      <c r="D98">
        <v>3.4750000000000001</v>
      </c>
      <c r="E98" t="s">
        <v>409</v>
      </c>
      <c r="F98">
        <f t="shared" si="1"/>
        <v>3475</v>
      </c>
      <c r="G98">
        <f>CCI_prod_data!F98*Chartier_Poncelet!$D$28</f>
        <v>2429.6173864314978</v>
      </c>
    </row>
    <row r="99" spans="1:7" x14ac:dyDescent="0.25">
      <c r="A99" t="s">
        <v>3</v>
      </c>
      <c r="B99">
        <v>2023</v>
      </c>
      <c r="C99" t="s">
        <v>17</v>
      </c>
      <c r="D99">
        <v>16.725999999999999</v>
      </c>
      <c r="E99" t="s">
        <v>409</v>
      </c>
      <c r="F99">
        <f t="shared" si="1"/>
        <v>16726</v>
      </c>
      <c r="G99">
        <f>CCI_prod_data!F99*Chartier_Poncelet!$D$28</f>
        <v>11694.325296533305</v>
      </c>
    </row>
    <row r="100" spans="1:7" x14ac:dyDescent="0.25">
      <c r="A100" t="s">
        <v>3</v>
      </c>
      <c r="B100">
        <v>2024</v>
      </c>
      <c r="C100" t="s">
        <v>17</v>
      </c>
      <c r="D100">
        <v>39.863999999999997</v>
      </c>
      <c r="E100" t="s">
        <v>409</v>
      </c>
      <c r="F100">
        <f t="shared" si="1"/>
        <v>39864</v>
      </c>
      <c r="G100">
        <f>CCI_prod_data!F100*Chartier_Poncelet!$D$28</f>
        <v>27871.731652577044</v>
      </c>
    </row>
    <row r="101" spans="1:7" x14ac:dyDescent="0.25">
      <c r="A101" t="s">
        <v>3</v>
      </c>
      <c r="B101">
        <v>2025</v>
      </c>
      <c r="C101" t="s">
        <v>17</v>
      </c>
      <c r="D101">
        <v>37.578000000000003</v>
      </c>
      <c r="E101" t="s">
        <v>409</v>
      </c>
      <c r="F101">
        <f t="shared" si="1"/>
        <v>37578</v>
      </c>
      <c r="G101">
        <f>CCI_prod_data!F101*Chartier_Poncelet!$D$28</f>
        <v>26273.427956064123</v>
      </c>
    </row>
    <row r="102" spans="1:7" x14ac:dyDescent="0.25">
      <c r="A102" t="s">
        <v>3</v>
      </c>
      <c r="B102">
        <v>2026</v>
      </c>
      <c r="C102" t="s">
        <v>17</v>
      </c>
      <c r="D102">
        <v>39.969000000000001</v>
      </c>
      <c r="E102" t="s">
        <v>409</v>
      </c>
      <c r="F102">
        <f t="shared" si="1"/>
        <v>39969</v>
      </c>
      <c r="G102">
        <f>CCI_prod_data!F102*Chartier_Poncelet!$D$28</f>
        <v>27945.144552023175</v>
      </c>
    </row>
    <row r="103" spans="1:7" x14ac:dyDescent="0.25">
      <c r="A103" t="s">
        <v>3</v>
      </c>
      <c r="B103">
        <v>2027</v>
      </c>
      <c r="C103" t="s">
        <v>17</v>
      </c>
      <c r="D103">
        <v>41.682000000000002</v>
      </c>
      <c r="E103" t="s">
        <v>409</v>
      </c>
      <c r="F103">
        <f t="shared" si="1"/>
        <v>41682</v>
      </c>
      <c r="G103">
        <f>CCI_prod_data!F103*Chartier_Poncelet!$D$28</f>
        <v>29142.823568701497</v>
      </c>
    </row>
    <row r="104" spans="1:7" x14ac:dyDescent="0.25">
      <c r="A104" t="s">
        <v>3</v>
      </c>
      <c r="B104">
        <v>2028</v>
      </c>
      <c r="C104" t="s">
        <v>17</v>
      </c>
      <c r="D104">
        <v>40.292000000000002</v>
      </c>
      <c r="E104" t="s">
        <v>409</v>
      </c>
      <c r="F104">
        <f t="shared" si="1"/>
        <v>40292</v>
      </c>
      <c r="G104">
        <f>CCI_prod_data!F104*Chartier_Poncelet!$D$28</f>
        <v>28170.976614128896</v>
      </c>
    </row>
    <row r="105" spans="1:7" x14ac:dyDescent="0.25">
      <c r="A105" t="s">
        <v>3</v>
      </c>
      <c r="B105">
        <v>2029</v>
      </c>
      <c r="C105" t="s">
        <v>17</v>
      </c>
      <c r="D105">
        <v>37.906999999999996</v>
      </c>
      <c r="E105" t="s">
        <v>409</v>
      </c>
      <c r="F105">
        <f t="shared" si="1"/>
        <v>37907</v>
      </c>
      <c r="G105">
        <f>CCI_prod_data!F105*Chartier_Poncelet!$D$28</f>
        <v>26503.455040995337</v>
      </c>
    </row>
    <row r="106" spans="1:7" x14ac:dyDescent="0.25">
      <c r="A106" t="s">
        <v>3</v>
      </c>
      <c r="B106">
        <v>2030</v>
      </c>
      <c r="C106" t="s">
        <v>17</v>
      </c>
      <c r="D106">
        <v>38.978999999999999</v>
      </c>
      <c r="E106" t="s">
        <v>409</v>
      </c>
      <c r="F106">
        <f t="shared" si="1"/>
        <v>38979</v>
      </c>
      <c r="G106">
        <f>CCI_prod_data!F106*Chartier_Poncelet!$D$28</f>
        <v>27252.965785816792</v>
      </c>
    </row>
    <row r="107" spans="1:7" x14ac:dyDescent="0.25">
      <c r="A107" t="s">
        <v>3</v>
      </c>
      <c r="B107">
        <v>2031</v>
      </c>
      <c r="C107" t="s">
        <v>17</v>
      </c>
      <c r="D107">
        <v>38.165999999999997</v>
      </c>
      <c r="E107" t="s">
        <v>409</v>
      </c>
      <c r="F107">
        <f t="shared" si="1"/>
        <v>38166</v>
      </c>
      <c r="G107">
        <f>CCI_prod_data!F107*Chartier_Poncelet!$D$28</f>
        <v>26684.54019296246</v>
      </c>
    </row>
    <row r="108" spans="1:7" x14ac:dyDescent="0.25">
      <c r="A108" t="s">
        <v>3</v>
      </c>
      <c r="B108">
        <v>2032</v>
      </c>
      <c r="C108" t="s">
        <v>17</v>
      </c>
      <c r="D108">
        <v>40.61</v>
      </c>
      <c r="E108" t="s">
        <v>409</v>
      </c>
      <c r="F108">
        <f t="shared" si="1"/>
        <v>40610</v>
      </c>
      <c r="G108">
        <f>CCI_prod_data!F108*Chartier_Poncelet!$D$28</f>
        <v>28393.312823880038</v>
      </c>
    </row>
    <row r="109" spans="1:7" x14ac:dyDescent="0.25">
      <c r="A109" t="s">
        <v>3</v>
      </c>
      <c r="B109">
        <v>2033</v>
      </c>
      <c r="C109" t="s">
        <v>17</v>
      </c>
      <c r="D109">
        <v>37.831000000000003</v>
      </c>
      <c r="E109" t="s">
        <v>409</v>
      </c>
      <c r="F109">
        <f t="shared" si="1"/>
        <v>37831</v>
      </c>
      <c r="G109">
        <f>CCI_prod_data!F109*Chartier_Poncelet!$D$28</f>
        <v>26450.318085205756</v>
      </c>
    </row>
    <row r="110" spans="1:7" x14ac:dyDescent="0.25">
      <c r="A110" t="s">
        <v>3</v>
      </c>
      <c r="B110">
        <v>2034</v>
      </c>
      <c r="C110" t="s">
        <v>17</v>
      </c>
      <c r="D110">
        <v>39.773000000000003</v>
      </c>
      <c r="E110" t="s">
        <v>409</v>
      </c>
      <c r="F110">
        <f t="shared" si="1"/>
        <v>39773</v>
      </c>
      <c r="G110">
        <f>CCI_prod_data!F110*Chartier_Poncelet!$D$28</f>
        <v>27808.107139723732</v>
      </c>
    </row>
    <row r="111" spans="1:7" x14ac:dyDescent="0.25">
      <c r="A111" t="s">
        <v>3</v>
      </c>
      <c r="B111">
        <v>2035</v>
      </c>
      <c r="C111" t="s">
        <v>17</v>
      </c>
      <c r="D111">
        <v>40.453000000000003</v>
      </c>
      <c r="E111" t="s">
        <v>409</v>
      </c>
      <c r="F111">
        <f t="shared" si="1"/>
        <v>40453</v>
      </c>
      <c r="G111">
        <f>CCI_prod_data!F111*Chartier_Poncelet!$D$28</f>
        <v>28283.543059946296</v>
      </c>
    </row>
    <row r="112" spans="1:7" x14ac:dyDescent="0.25">
      <c r="A112" t="s">
        <v>3</v>
      </c>
      <c r="B112">
        <v>2036</v>
      </c>
      <c r="C112" t="s">
        <v>17</v>
      </c>
      <c r="D112">
        <v>37.189</v>
      </c>
      <c r="E112" t="s">
        <v>409</v>
      </c>
      <c r="F112">
        <f t="shared" si="1"/>
        <v>37189</v>
      </c>
      <c r="G112">
        <f>CCI_prod_data!F112*Chartier_Poncelet!$D$28</f>
        <v>26001.450642877979</v>
      </c>
    </row>
    <row r="113" spans="1:7" x14ac:dyDescent="0.25">
      <c r="A113" t="s">
        <v>3</v>
      </c>
      <c r="B113">
        <v>2037</v>
      </c>
      <c r="C113" t="s">
        <v>17</v>
      </c>
      <c r="D113">
        <v>39.270000000000003</v>
      </c>
      <c r="E113" t="s">
        <v>409</v>
      </c>
      <c r="F113">
        <f t="shared" si="1"/>
        <v>39270</v>
      </c>
      <c r="G113">
        <f>CCI_prod_data!F113*Chartier_Poncelet!$D$28</f>
        <v>27456.424392853216</v>
      </c>
    </row>
    <row r="114" spans="1:7" x14ac:dyDescent="0.25">
      <c r="A114" t="s">
        <v>3</v>
      </c>
      <c r="B114">
        <v>2038</v>
      </c>
      <c r="C114" t="s">
        <v>17</v>
      </c>
      <c r="D114">
        <v>42.575000000000003</v>
      </c>
      <c r="E114" t="s">
        <v>409</v>
      </c>
      <c r="F114">
        <f t="shared" si="1"/>
        <v>42575</v>
      </c>
      <c r="G114">
        <f>CCI_prod_data!F114*Chartier_Poncelet!$D$28</f>
        <v>29767.182799229071</v>
      </c>
    </row>
    <row r="115" spans="1:7" x14ac:dyDescent="0.25">
      <c r="A115" t="s">
        <v>3</v>
      </c>
      <c r="B115">
        <v>2039</v>
      </c>
      <c r="C115" t="s">
        <v>17</v>
      </c>
      <c r="D115">
        <v>40.970999999999997</v>
      </c>
      <c r="E115" t="s">
        <v>409</v>
      </c>
      <c r="F115">
        <f t="shared" si="1"/>
        <v>40971</v>
      </c>
      <c r="G115">
        <f>CCI_prod_data!F115*Chartier_Poncelet!$D$28</f>
        <v>28645.713363880546</v>
      </c>
    </row>
    <row r="116" spans="1:7" x14ac:dyDescent="0.25">
      <c r="A116" t="s">
        <v>3</v>
      </c>
      <c r="B116">
        <v>2040</v>
      </c>
      <c r="C116" t="s">
        <v>17</v>
      </c>
      <c r="D116">
        <v>42.826999999999998</v>
      </c>
      <c r="E116" t="s">
        <v>409</v>
      </c>
      <c r="F116">
        <f t="shared" si="1"/>
        <v>42827</v>
      </c>
      <c r="G116">
        <f>CCI_prod_data!F116*Chartier_Poncelet!$D$28</f>
        <v>29943.373757899786</v>
      </c>
    </row>
    <row r="117" spans="1:7" x14ac:dyDescent="0.25">
      <c r="A117" t="s">
        <v>3</v>
      </c>
      <c r="B117">
        <v>2018</v>
      </c>
      <c r="C117" t="s">
        <v>18</v>
      </c>
      <c r="D117">
        <v>0</v>
      </c>
      <c r="E117" t="s">
        <v>409</v>
      </c>
      <c r="F117">
        <f t="shared" si="1"/>
        <v>0</v>
      </c>
      <c r="G117">
        <f>CCI_prod_data!F117*Chartier_Poncelet!$D$28</f>
        <v>0</v>
      </c>
    </row>
    <row r="118" spans="1:7" x14ac:dyDescent="0.25">
      <c r="A118" t="s">
        <v>3</v>
      </c>
      <c r="B118">
        <v>2019</v>
      </c>
      <c r="C118" t="s">
        <v>18</v>
      </c>
      <c r="D118">
        <v>0</v>
      </c>
      <c r="E118" t="s">
        <v>409</v>
      </c>
      <c r="F118">
        <f t="shared" si="1"/>
        <v>0</v>
      </c>
      <c r="G118">
        <f>CCI_prod_data!F118*Chartier_Poncelet!$D$28</f>
        <v>0</v>
      </c>
    </row>
    <row r="119" spans="1:7" x14ac:dyDescent="0.25">
      <c r="A119" t="s">
        <v>3</v>
      </c>
      <c r="B119">
        <v>2020</v>
      </c>
      <c r="C119" t="s">
        <v>18</v>
      </c>
      <c r="D119">
        <v>0</v>
      </c>
      <c r="E119" t="s">
        <v>409</v>
      </c>
      <c r="F119">
        <f t="shared" si="1"/>
        <v>0</v>
      </c>
      <c r="G119">
        <f>CCI_prod_data!F119*Chartier_Poncelet!$D$28</f>
        <v>0</v>
      </c>
    </row>
    <row r="120" spans="1:7" x14ac:dyDescent="0.25">
      <c r="A120" t="s">
        <v>3</v>
      </c>
      <c r="B120">
        <v>2021</v>
      </c>
      <c r="C120" t="s">
        <v>18</v>
      </c>
      <c r="D120">
        <v>0.188</v>
      </c>
      <c r="E120" t="s">
        <v>409</v>
      </c>
      <c r="F120">
        <f t="shared" si="1"/>
        <v>188</v>
      </c>
      <c r="G120">
        <f>CCI_prod_data!F120*Chartier_Poncelet!$D$28</f>
        <v>131.44404853212131</v>
      </c>
    </row>
    <row r="121" spans="1:7" x14ac:dyDescent="0.25">
      <c r="A121" t="s">
        <v>3</v>
      </c>
      <c r="B121">
        <v>2022</v>
      </c>
      <c r="C121" t="s">
        <v>18</v>
      </c>
      <c r="D121">
        <v>3.4750000000000001</v>
      </c>
      <c r="E121" t="s">
        <v>409</v>
      </c>
      <c r="F121">
        <f t="shared" si="1"/>
        <v>3475</v>
      </c>
      <c r="G121">
        <f>CCI_prod_data!F121*Chartier_Poncelet!$D$28</f>
        <v>2429.6173864314978</v>
      </c>
    </row>
    <row r="122" spans="1:7" x14ac:dyDescent="0.25">
      <c r="A122" t="s">
        <v>3</v>
      </c>
      <c r="B122">
        <v>2023</v>
      </c>
      <c r="C122" t="s">
        <v>18</v>
      </c>
      <c r="D122">
        <v>16.725999999999999</v>
      </c>
      <c r="E122" t="s">
        <v>409</v>
      </c>
      <c r="F122">
        <f t="shared" si="1"/>
        <v>16726</v>
      </c>
      <c r="G122">
        <f>CCI_prod_data!F122*Chartier_Poncelet!$D$28</f>
        <v>11694.325296533305</v>
      </c>
    </row>
    <row r="123" spans="1:7" x14ac:dyDescent="0.25">
      <c r="A123" t="s">
        <v>3</v>
      </c>
      <c r="B123">
        <v>2024</v>
      </c>
      <c r="C123" t="s">
        <v>18</v>
      </c>
      <c r="D123">
        <v>40.863999999999997</v>
      </c>
      <c r="E123" t="s">
        <v>409</v>
      </c>
      <c r="F123">
        <f t="shared" si="1"/>
        <v>40864</v>
      </c>
      <c r="G123">
        <f>CCI_prod_data!F123*Chartier_Poncelet!$D$28</f>
        <v>28570.902123492586</v>
      </c>
    </row>
    <row r="124" spans="1:7" x14ac:dyDescent="0.25">
      <c r="A124" t="s">
        <v>3</v>
      </c>
      <c r="B124">
        <v>2025</v>
      </c>
      <c r="C124" t="s">
        <v>18</v>
      </c>
      <c r="D124">
        <v>84.85</v>
      </c>
      <c r="E124" t="s">
        <v>409</v>
      </c>
      <c r="F124">
        <f t="shared" si="1"/>
        <v>84850</v>
      </c>
      <c r="G124">
        <f>CCI_prod_data!F124*Chartier_Poncelet!$D$28</f>
        <v>59324.614457183481</v>
      </c>
    </row>
    <row r="125" spans="1:7" x14ac:dyDescent="0.25">
      <c r="A125" t="s">
        <v>3</v>
      </c>
      <c r="B125">
        <v>2026</v>
      </c>
      <c r="C125" t="s">
        <v>18</v>
      </c>
      <c r="D125">
        <v>144.32900000000001</v>
      </c>
      <c r="E125" t="s">
        <v>409</v>
      </c>
      <c r="F125">
        <f t="shared" si="1"/>
        <v>144329</v>
      </c>
      <c r="G125">
        <f>CCI_prod_data!F125*Chartier_Poncelet!$D$28</f>
        <v>100910.57489676883</v>
      </c>
    </row>
    <row r="126" spans="1:7" x14ac:dyDescent="0.25">
      <c r="A126" t="s">
        <v>3</v>
      </c>
      <c r="B126">
        <v>2027</v>
      </c>
      <c r="C126" t="s">
        <v>18</v>
      </c>
      <c r="D126">
        <v>154.74599999999998</v>
      </c>
      <c r="E126" t="s">
        <v>409</v>
      </c>
      <c r="F126">
        <f t="shared" si="1"/>
        <v>154745.99999999997</v>
      </c>
      <c r="G126">
        <f>CCI_prod_data!F126*Chartier_Poncelet!$D$28</f>
        <v>108193.83369229597</v>
      </c>
    </row>
    <row r="127" spans="1:7" x14ac:dyDescent="0.25">
      <c r="A127" t="s">
        <v>3</v>
      </c>
      <c r="B127">
        <v>2028</v>
      </c>
      <c r="C127" t="s">
        <v>18</v>
      </c>
      <c r="D127">
        <v>162.58100000000002</v>
      </c>
      <c r="E127" t="s">
        <v>409</v>
      </c>
      <c r="F127">
        <f t="shared" si="1"/>
        <v>162581.00000000003</v>
      </c>
      <c r="G127">
        <f>CCI_prod_data!F127*Chartier_Poncelet!$D$28</f>
        <v>113671.83433191926</v>
      </c>
    </row>
    <row r="128" spans="1:7" x14ac:dyDescent="0.25">
      <c r="A128" t="s">
        <v>3</v>
      </c>
      <c r="B128">
        <v>2029</v>
      </c>
      <c r="C128" t="s">
        <v>18</v>
      </c>
      <c r="D128">
        <v>152.81399999999999</v>
      </c>
      <c r="E128" t="s">
        <v>409</v>
      </c>
      <c r="F128">
        <f t="shared" si="1"/>
        <v>152814</v>
      </c>
      <c r="G128">
        <f>CCI_prod_data!F128*Chartier_Poncelet!$D$28</f>
        <v>106843.03634248718</v>
      </c>
    </row>
    <row r="129" spans="1:7" x14ac:dyDescent="0.25">
      <c r="A129" t="s">
        <v>3</v>
      </c>
      <c r="B129">
        <v>2030</v>
      </c>
      <c r="C129" t="s">
        <v>18</v>
      </c>
      <c r="D129">
        <v>146.529</v>
      </c>
      <c r="E129" t="s">
        <v>409</v>
      </c>
      <c r="F129">
        <f t="shared" si="1"/>
        <v>146529</v>
      </c>
      <c r="G129">
        <f>CCI_prod_data!F129*Chartier_Poncelet!$D$28</f>
        <v>102448.74993278302</v>
      </c>
    </row>
    <row r="130" spans="1:7" x14ac:dyDescent="0.25">
      <c r="A130" t="s">
        <v>3</v>
      </c>
      <c r="B130">
        <v>2031</v>
      </c>
      <c r="C130" t="s">
        <v>18</v>
      </c>
      <c r="D130">
        <v>144.92399999999998</v>
      </c>
      <c r="E130" t="s">
        <v>409</v>
      </c>
      <c r="F130">
        <f t="shared" si="1"/>
        <v>144923.99999999997</v>
      </c>
      <c r="G130">
        <f>CCI_prod_data!F130*Chartier_Poncelet!$D$28</f>
        <v>101326.58132696355</v>
      </c>
    </row>
    <row r="131" spans="1:7" x14ac:dyDescent="0.25">
      <c r="A131" t="s">
        <v>3</v>
      </c>
      <c r="B131">
        <v>2032</v>
      </c>
      <c r="C131" t="s">
        <v>18</v>
      </c>
      <c r="D131">
        <v>147.25700000000001</v>
      </c>
      <c r="E131" t="s">
        <v>409</v>
      </c>
      <c r="F131">
        <f t="shared" ref="F131:F194" si="2">D131*1000</f>
        <v>147257</v>
      </c>
      <c r="G131">
        <f>CCI_prod_data!F131*Chartier_Poncelet!$D$28</f>
        <v>102957.74603560953</v>
      </c>
    </row>
    <row r="132" spans="1:7" x14ac:dyDescent="0.25">
      <c r="A132" t="s">
        <v>3</v>
      </c>
      <c r="B132">
        <v>2033</v>
      </c>
      <c r="C132" t="s">
        <v>18</v>
      </c>
      <c r="D132">
        <v>137.096</v>
      </c>
      <c r="E132" t="s">
        <v>409</v>
      </c>
      <c r="F132">
        <f t="shared" si="2"/>
        <v>137096</v>
      </c>
      <c r="G132">
        <f>CCI_prod_data!F132*Chartier_Poncelet!$D$28</f>
        <v>95853.474880636728</v>
      </c>
    </row>
    <row r="133" spans="1:7" x14ac:dyDescent="0.25">
      <c r="A133" t="s">
        <v>3</v>
      </c>
      <c r="B133">
        <v>2034</v>
      </c>
      <c r="C133" t="s">
        <v>18</v>
      </c>
      <c r="D133">
        <v>142.85900000000001</v>
      </c>
      <c r="E133" t="s">
        <v>409</v>
      </c>
      <c r="F133">
        <f t="shared" si="2"/>
        <v>142859</v>
      </c>
      <c r="G133">
        <f>CCI_prod_data!F133*Chartier_Poncelet!$D$28</f>
        <v>99882.794304522977</v>
      </c>
    </row>
    <row r="134" spans="1:7" x14ac:dyDescent="0.25">
      <c r="A134" t="s">
        <v>3</v>
      </c>
      <c r="B134">
        <v>2035</v>
      </c>
      <c r="C134" t="s">
        <v>18</v>
      </c>
      <c r="D134">
        <v>146.1213507094937</v>
      </c>
      <c r="E134" t="s">
        <v>409</v>
      </c>
      <c r="F134">
        <f t="shared" si="2"/>
        <v>146121.35070949371</v>
      </c>
      <c r="G134">
        <f>CCI_prod_data!F134*Chartier_Poncelet!$D$28</f>
        <v>102163.73358637134</v>
      </c>
    </row>
    <row r="135" spans="1:7" x14ac:dyDescent="0.25">
      <c r="A135" t="s">
        <v>3</v>
      </c>
      <c r="B135">
        <v>2036</v>
      </c>
      <c r="C135" t="s">
        <v>18</v>
      </c>
      <c r="D135">
        <v>194.81312210065016</v>
      </c>
      <c r="E135" t="s">
        <v>409</v>
      </c>
      <c r="F135">
        <f t="shared" si="2"/>
        <v>194813.12210065016</v>
      </c>
      <c r="G135">
        <f>CCI_prod_data!F135*Chartier_Poncelet!$D$28</f>
        <v>136207.58231963796</v>
      </c>
    </row>
    <row r="136" spans="1:7" x14ac:dyDescent="0.25">
      <c r="A136" t="s">
        <v>3</v>
      </c>
      <c r="B136">
        <v>2037</v>
      </c>
      <c r="C136" t="s">
        <v>18</v>
      </c>
      <c r="D136">
        <v>259.73037039642571</v>
      </c>
      <c r="E136" t="s">
        <v>409</v>
      </c>
      <c r="F136">
        <f t="shared" si="2"/>
        <v>259730.37039642571</v>
      </c>
      <c r="G136">
        <f>CCI_prod_data!F136*Chartier_Poncelet!$D$28</f>
        <v>181595.80538113634</v>
      </c>
    </row>
    <row r="137" spans="1:7" x14ac:dyDescent="0.25">
      <c r="A137" t="s">
        <v>3</v>
      </c>
      <c r="B137">
        <v>2038</v>
      </c>
      <c r="C137" t="s">
        <v>18</v>
      </c>
      <c r="D137">
        <v>346.27988391568084</v>
      </c>
      <c r="E137" t="s">
        <v>409</v>
      </c>
      <c r="F137">
        <f t="shared" si="2"/>
        <v>346279.88391568087</v>
      </c>
      <c r="G137">
        <f>CCI_prod_data!F137*Chartier_Poncelet!$D$28</f>
        <v>242108.66950590475</v>
      </c>
    </row>
    <row r="138" spans="1:7" x14ac:dyDescent="0.25">
      <c r="A138" t="s">
        <v>3</v>
      </c>
      <c r="B138">
        <v>2039</v>
      </c>
      <c r="C138" t="s">
        <v>18</v>
      </c>
      <c r="D138">
        <v>461.67014593495367</v>
      </c>
      <c r="E138" t="s">
        <v>409</v>
      </c>
      <c r="F138">
        <f t="shared" si="2"/>
        <v>461670.14593495365</v>
      </c>
      <c r="G138">
        <f>CCI_prod_data!F138*Chartier_Poncelet!$D$28</f>
        <v>322786.13334098714</v>
      </c>
    </row>
    <row r="139" spans="1:7" x14ac:dyDescent="0.25">
      <c r="A139" t="s">
        <v>3</v>
      </c>
      <c r="B139">
        <v>2040</v>
      </c>
      <c r="C139" t="s">
        <v>18</v>
      </c>
      <c r="D139">
        <v>615.51171046222476</v>
      </c>
      <c r="E139" t="s">
        <v>409</v>
      </c>
      <c r="F139">
        <f t="shared" si="2"/>
        <v>615511.71046222479</v>
      </c>
      <c r="G139">
        <f>CCI_prod_data!F139*Chartier_Poncelet!$D$28</f>
        <v>430347.61245790258</v>
      </c>
    </row>
    <row r="140" spans="1:7" x14ac:dyDescent="0.25">
      <c r="A140" t="s">
        <v>5</v>
      </c>
      <c r="B140">
        <v>2018</v>
      </c>
      <c r="C140" t="s">
        <v>17</v>
      </c>
      <c r="D140">
        <v>179.99</v>
      </c>
      <c r="E140" t="s">
        <v>409</v>
      </c>
      <c r="F140">
        <f t="shared" si="2"/>
        <v>179990</v>
      </c>
      <c r="G140">
        <f>F140*Chartier_Poncelet!$D$35</f>
        <v>141752.02388434947</v>
      </c>
    </row>
    <row r="141" spans="1:7" x14ac:dyDescent="0.25">
      <c r="A141" t="s">
        <v>5</v>
      </c>
      <c r="B141">
        <v>2019</v>
      </c>
      <c r="C141" t="s">
        <v>17</v>
      </c>
      <c r="D141">
        <v>187.73</v>
      </c>
      <c r="E141" t="s">
        <v>409</v>
      </c>
      <c r="F141">
        <f t="shared" si="2"/>
        <v>187730</v>
      </c>
      <c r="G141">
        <f>F141*Chartier_Poncelet!$D$35</f>
        <v>147847.69956002515</v>
      </c>
    </row>
    <row r="142" spans="1:7" x14ac:dyDescent="0.25">
      <c r="A142" t="s">
        <v>5</v>
      </c>
      <c r="B142">
        <v>2020</v>
      </c>
      <c r="C142" t="s">
        <v>17</v>
      </c>
      <c r="D142">
        <v>154.41399999999999</v>
      </c>
      <c r="E142" t="s">
        <v>409</v>
      </c>
      <c r="F142">
        <f t="shared" si="2"/>
        <v>154414</v>
      </c>
      <c r="G142">
        <f>F142*Chartier_Poncelet!$D$35</f>
        <v>121609.51728472659</v>
      </c>
    </row>
    <row r="143" spans="1:7" x14ac:dyDescent="0.25">
      <c r="A143" t="s">
        <v>5</v>
      </c>
      <c r="B143">
        <v>2021</v>
      </c>
      <c r="C143" t="s">
        <v>17</v>
      </c>
      <c r="D143">
        <v>138.86600000000001</v>
      </c>
      <c r="E143" t="s">
        <v>409</v>
      </c>
      <c r="F143">
        <f t="shared" si="2"/>
        <v>138866</v>
      </c>
      <c r="G143">
        <f>F143*Chartier_Poncelet!$D$35</f>
        <v>109364.61219358894</v>
      </c>
    </row>
    <row r="144" spans="1:7" x14ac:dyDescent="0.25">
      <c r="A144" t="s">
        <v>5</v>
      </c>
      <c r="B144">
        <v>2022</v>
      </c>
      <c r="C144" t="s">
        <v>17</v>
      </c>
      <c r="D144">
        <v>126.58199999999999</v>
      </c>
      <c r="E144" t="s">
        <v>409</v>
      </c>
      <c r="F144">
        <f t="shared" si="2"/>
        <v>126582</v>
      </c>
      <c r="G144">
        <f>F144*Chartier_Poncelet!$D$35</f>
        <v>99690.286612193595</v>
      </c>
    </row>
    <row r="145" spans="1:7" x14ac:dyDescent="0.25">
      <c r="A145" t="s">
        <v>5</v>
      </c>
      <c r="B145">
        <v>2023</v>
      </c>
      <c r="C145" t="s">
        <v>17</v>
      </c>
      <c r="D145">
        <v>186.81299999999999</v>
      </c>
      <c r="E145" t="s">
        <v>409</v>
      </c>
      <c r="F145">
        <f t="shared" si="2"/>
        <v>186813</v>
      </c>
      <c r="G145">
        <f>F145*Chartier_Poncelet!$D$35</f>
        <v>147125.51162790699</v>
      </c>
    </row>
    <row r="146" spans="1:7" x14ac:dyDescent="0.25">
      <c r="A146" t="s">
        <v>5</v>
      </c>
      <c r="B146">
        <v>2024</v>
      </c>
      <c r="C146" t="s">
        <v>17</v>
      </c>
      <c r="D146">
        <v>134.57900000000001</v>
      </c>
      <c r="E146" t="s">
        <v>409</v>
      </c>
      <c r="F146">
        <f t="shared" si="2"/>
        <v>134579</v>
      </c>
      <c r="G146">
        <f>F146*Chartier_Poncelet!$D$35</f>
        <v>105988.3639220616</v>
      </c>
    </row>
    <row r="147" spans="1:7" x14ac:dyDescent="0.25">
      <c r="A147" t="s">
        <v>5</v>
      </c>
      <c r="B147">
        <v>2025</v>
      </c>
      <c r="C147" t="s">
        <v>17</v>
      </c>
      <c r="D147">
        <v>154.58600000000001</v>
      </c>
      <c r="E147" t="s">
        <v>409</v>
      </c>
      <c r="F147">
        <f t="shared" si="2"/>
        <v>154586</v>
      </c>
      <c r="G147">
        <f>F147*Chartier_Poncelet!$D$35</f>
        <v>121744.97674418605</v>
      </c>
    </row>
    <row r="148" spans="1:7" x14ac:dyDescent="0.25">
      <c r="A148" t="s">
        <v>5</v>
      </c>
      <c r="B148">
        <v>2026</v>
      </c>
      <c r="C148" t="s">
        <v>17</v>
      </c>
      <c r="D148">
        <v>158.54400000000001</v>
      </c>
      <c r="E148" t="s">
        <v>409</v>
      </c>
      <c r="F148">
        <f t="shared" si="2"/>
        <v>158544</v>
      </c>
      <c r="G148">
        <f>F148*Chartier_Poncelet!$D$35</f>
        <v>124862.11942174732</v>
      </c>
    </row>
    <row r="149" spans="1:7" x14ac:dyDescent="0.25">
      <c r="A149" t="s">
        <v>5</v>
      </c>
      <c r="B149">
        <v>2027</v>
      </c>
      <c r="C149" t="s">
        <v>17</v>
      </c>
      <c r="D149">
        <v>158.54400000000001</v>
      </c>
      <c r="E149" t="s">
        <v>409</v>
      </c>
      <c r="F149">
        <f t="shared" si="2"/>
        <v>158544</v>
      </c>
      <c r="G149">
        <f>F149*Chartier_Poncelet!$D$35</f>
        <v>124862.11942174732</v>
      </c>
    </row>
    <row r="150" spans="1:7" x14ac:dyDescent="0.25">
      <c r="A150" t="s">
        <v>5</v>
      </c>
      <c r="B150">
        <v>2028</v>
      </c>
      <c r="C150" t="s">
        <v>17</v>
      </c>
      <c r="D150">
        <v>154.76400000000001</v>
      </c>
      <c r="E150" t="s">
        <v>409</v>
      </c>
      <c r="F150">
        <f t="shared" si="2"/>
        <v>154764</v>
      </c>
      <c r="G150">
        <f>F150*Chartier_Poncelet!$D$35</f>
        <v>121885.16153362666</v>
      </c>
    </row>
    <row r="151" spans="1:7" x14ac:dyDescent="0.25">
      <c r="A151" t="s">
        <v>5</v>
      </c>
      <c r="B151">
        <v>2029</v>
      </c>
      <c r="C151" t="s">
        <v>17</v>
      </c>
      <c r="D151">
        <v>152.07400000000001</v>
      </c>
      <c r="E151" t="s">
        <v>409</v>
      </c>
      <c r="F151">
        <f t="shared" si="2"/>
        <v>152074</v>
      </c>
      <c r="G151">
        <f>F151*Chartier_Poncelet!$D$35</f>
        <v>119766.63859208045</v>
      </c>
    </row>
    <row r="152" spans="1:7" x14ac:dyDescent="0.25">
      <c r="A152" t="s">
        <v>5</v>
      </c>
      <c r="B152">
        <v>2030</v>
      </c>
      <c r="C152" t="s">
        <v>17</v>
      </c>
      <c r="D152">
        <v>150.184</v>
      </c>
      <c r="E152" t="s">
        <v>409</v>
      </c>
      <c r="F152">
        <f t="shared" si="2"/>
        <v>150184</v>
      </c>
      <c r="G152">
        <f>F152*Chartier_Poncelet!$D$35</f>
        <v>118278.15964802011</v>
      </c>
    </row>
    <row r="153" spans="1:7" x14ac:dyDescent="0.25">
      <c r="A153" t="s">
        <v>5</v>
      </c>
      <c r="B153">
        <v>2031</v>
      </c>
      <c r="C153" t="s">
        <v>17</v>
      </c>
      <c r="D153">
        <v>139.27799999999999</v>
      </c>
      <c r="E153" t="s">
        <v>409</v>
      </c>
      <c r="F153">
        <f t="shared" si="2"/>
        <v>139278</v>
      </c>
      <c r="G153">
        <f>F153*Chartier_Poncelet!$D$35</f>
        <v>109689.08485229415</v>
      </c>
    </row>
    <row r="154" spans="1:7" x14ac:dyDescent="0.25">
      <c r="A154" t="s">
        <v>5</v>
      </c>
      <c r="B154">
        <v>2032</v>
      </c>
      <c r="C154" t="s">
        <v>17</v>
      </c>
      <c r="D154">
        <v>139.27799999999999</v>
      </c>
      <c r="E154" t="s">
        <v>409</v>
      </c>
      <c r="F154">
        <f t="shared" si="2"/>
        <v>139278</v>
      </c>
      <c r="G154">
        <f>F154*Chartier_Poncelet!$D$35</f>
        <v>109689.08485229415</v>
      </c>
    </row>
    <row r="155" spans="1:7" x14ac:dyDescent="0.25">
      <c r="A155" t="s">
        <v>5</v>
      </c>
      <c r="B155">
        <v>2033</v>
      </c>
      <c r="C155" t="s">
        <v>17</v>
      </c>
      <c r="D155">
        <v>120.288</v>
      </c>
      <c r="E155" t="s">
        <v>409</v>
      </c>
      <c r="F155">
        <f t="shared" si="2"/>
        <v>120288</v>
      </c>
      <c r="G155">
        <f>F155*Chartier_Poncelet!$D$35</f>
        <v>94733.415461973607</v>
      </c>
    </row>
    <row r="156" spans="1:7" x14ac:dyDescent="0.25">
      <c r="A156" t="s">
        <v>5</v>
      </c>
      <c r="B156">
        <v>2034</v>
      </c>
      <c r="C156" t="s">
        <v>17</v>
      </c>
      <c r="D156">
        <v>118</v>
      </c>
      <c r="E156" t="s">
        <v>409</v>
      </c>
      <c r="F156">
        <f t="shared" si="2"/>
        <v>118000</v>
      </c>
      <c r="G156">
        <f>F156*Chartier_Poncelet!$D$35</f>
        <v>92931.489629164047</v>
      </c>
    </row>
    <row r="157" spans="1:7" x14ac:dyDescent="0.25">
      <c r="A157" t="s">
        <v>5</v>
      </c>
      <c r="B157">
        <v>2035</v>
      </c>
      <c r="C157" t="s">
        <v>17</v>
      </c>
      <c r="D157">
        <v>118</v>
      </c>
      <c r="E157" t="s">
        <v>409</v>
      </c>
      <c r="F157">
        <f t="shared" si="2"/>
        <v>118000</v>
      </c>
      <c r="G157">
        <f>F157*Chartier_Poncelet!$D$35</f>
        <v>92931.489629164047</v>
      </c>
    </row>
    <row r="158" spans="1:7" x14ac:dyDescent="0.25">
      <c r="A158" t="s">
        <v>5</v>
      </c>
      <c r="B158">
        <v>2036</v>
      </c>
      <c r="C158" t="s">
        <v>17</v>
      </c>
      <c r="D158">
        <v>116.68</v>
      </c>
      <c r="E158" t="s">
        <v>409</v>
      </c>
      <c r="F158">
        <f t="shared" si="2"/>
        <v>116680</v>
      </c>
      <c r="G158">
        <f>F158*Chartier_Poncelet!$D$35</f>
        <v>91891.917033312377</v>
      </c>
    </row>
    <row r="159" spans="1:7" x14ac:dyDescent="0.25">
      <c r="A159" t="s">
        <v>5</v>
      </c>
      <c r="B159">
        <v>2037</v>
      </c>
      <c r="C159" t="s">
        <v>17</v>
      </c>
      <c r="D159">
        <v>82.66</v>
      </c>
      <c r="E159" t="s">
        <v>409</v>
      </c>
      <c r="F159">
        <f t="shared" si="2"/>
        <v>82660</v>
      </c>
      <c r="G159">
        <f>F159*Chartier_Poncelet!$D$35</f>
        <v>65099.296040226276</v>
      </c>
    </row>
    <row r="160" spans="1:7" x14ac:dyDescent="0.25">
      <c r="A160" t="s">
        <v>5</v>
      </c>
      <c r="B160">
        <v>2038</v>
      </c>
      <c r="C160" t="s">
        <v>17</v>
      </c>
      <c r="D160">
        <v>40.840000000000003</v>
      </c>
      <c r="E160" t="s">
        <v>409</v>
      </c>
      <c r="F160">
        <f t="shared" si="2"/>
        <v>40840</v>
      </c>
      <c r="G160">
        <f>F160*Chartier_Poncelet!$D$35</f>
        <v>32163.746071653048</v>
      </c>
    </row>
    <row r="161" spans="1:7" x14ac:dyDescent="0.25">
      <c r="A161" t="s">
        <v>5</v>
      </c>
      <c r="B161">
        <v>2039</v>
      </c>
      <c r="C161" t="s">
        <v>17</v>
      </c>
      <c r="D161">
        <v>37</v>
      </c>
      <c r="E161" t="s">
        <v>409</v>
      </c>
      <c r="F161">
        <f t="shared" si="2"/>
        <v>37000</v>
      </c>
      <c r="G161">
        <f>F161*Chartier_Poncelet!$D$35</f>
        <v>29139.534883720931</v>
      </c>
    </row>
    <row r="162" spans="1:7" x14ac:dyDescent="0.25">
      <c r="A162" t="s">
        <v>5</v>
      </c>
      <c r="B162">
        <v>2040</v>
      </c>
      <c r="C162" t="s">
        <v>17</v>
      </c>
      <c r="D162">
        <v>37</v>
      </c>
      <c r="E162" t="s">
        <v>409</v>
      </c>
      <c r="F162">
        <f t="shared" si="2"/>
        <v>37000</v>
      </c>
      <c r="G162">
        <f>F162*Chartier_Poncelet!$D$35</f>
        <v>29139.534883720931</v>
      </c>
    </row>
    <row r="163" spans="1:7" x14ac:dyDescent="0.25">
      <c r="A163" t="s">
        <v>5</v>
      </c>
      <c r="B163">
        <v>2018</v>
      </c>
      <c r="C163" t="s">
        <v>18</v>
      </c>
      <c r="D163">
        <v>179.99</v>
      </c>
      <c r="E163" t="s">
        <v>409</v>
      </c>
      <c r="F163">
        <f t="shared" si="2"/>
        <v>179990</v>
      </c>
      <c r="G163">
        <f>F163*Chartier_Poncelet!$D$35</f>
        <v>141752.02388434947</v>
      </c>
    </row>
    <row r="164" spans="1:7" x14ac:dyDescent="0.25">
      <c r="A164" t="s">
        <v>5</v>
      </c>
      <c r="B164">
        <v>2019</v>
      </c>
      <c r="C164" t="s">
        <v>18</v>
      </c>
      <c r="D164">
        <v>187.73</v>
      </c>
      <c r="E164" t="s">
        <v>409</v>
      </c>
      <c r="F164">
        <f t="shared" si="2"/>
        <v>187730</v>
      </c>
      <c r="G164">
        <f>F164*Chartier_Poncelet!$D$35</f>
        <v>147847.69956002515</v>
      </c>
    </row>
    <row r="165" spans="1:7" x14ac:dyDescent="0.25">
      <c r="A165" t="s">
        <v>5</v>
      </c>
      <c r="B165">
        <v>2020</v>
      </c>
      <c r="C165" t="s">
        <v>18</v>
      </c>
      <c r="D165">
        <v>154.41399999999999</v>
      </c>
      <c r="E165" t="s">
        <v>409</v>
      </c>
      <c r="F165">
        <f t="shared" si="2"/>
        <v>154414</v>
      </c>
      <c r="G165">
        <f>F165*Chartier_Poncelet!$D$35</f>
        <v>121609.51728472659</v>
      </c>
    </row>
    <row r="166" spans="1:7" x14ac:dyDescent="0.25">
      <c r="A166" t="s">
        <v>5</v>
      </c>
      <c r="B166">
        <v>2021</v>
      </c>
      <c r="C166" t="s">
        <v>18</v>
      </c>
      <c r="D166">
        <v>138.86600000000001</v>
      </c>
      <c r="E166" t="s">
        <v>409</v>
      </c>
      <c r="F166">
        <f t="shared" si="2"/>
        <v>138866</v>
      </c>
      <c r="G166">
        <f>F166*Chartier_Poncelet!$D$35</f>
        <v>109364.61219358894</v>
      </c>
    </row>
    <row r="167" spans="1:7" x14ac:dyDescent="0.25">
      <c r="A167" t="s">
        <v>5</v>
      </c>
      <c r="B167">
        <v>2022</v>
      </c>
      <c r="C167" t="s">
        <v>18</v>
      </c>
      <c r="D167">
        <v>126.58199999999999</v>
      </c>
      <c r="E167" t="s">
        <v>409</v>
      </c>
      <c r="F167">
        <f t="shared" si="2"/>
        <v>126582</v>
      </c>
      <c r="G167">
        <f>F167*Chartier_Poncelet!$D$35</f>
        <v>99690.286612193595</v>
      </c>
    </row>
    <row r="168" spans="1:7" x14ac:dyDescent="0.25">
      <c r="A168" t="s">
        <v>5</v>
      </c>
      <c r="B168">
        <v>2023</v>
      </c>
      <c r="C168" t="s">
        <v>18</v>
      </c>
      <c r="D168">
        <v>186.81299999999999</v>
      </c>
      <c r="E168" t="s">
        <v>409</v>
      </c>
      <c r="F168">
        <f t="shared" si="2"/>
        <v>186813</v>
      </c>
      <c r="G168">
        <f>F168*Chartier_Poncelet!$D$35</f>
        <v>147125.51162790699</v>
      </c>
    </row>
    <row r="169" spans="1:7" x14ac:dyDescent="0.25">
      <c r="A169" t="s">
        <v>5</v>
      </c>
      <c r="B169">
        <v>2024</v>
      </c>
      <c r="C169" t="s">
        <v>18</v>
      </c>
      <c r="D169">
        <v>138.37165055414135</v>
      </c>
      <c r="E169" t="s">
        <v>409</v>
      </c>
      <c r="F169">
        <f t="shared" si="2"/>
        <v>138371.65055414135</v>
      </c>
      <c r="G169">
        <f>F169*Chartier_Poncelet!$D$35</f>
        <v>108975.28481730931</v>
      </c>
    </row>
    <row r="170" spans="1:7" x14ac:dyDescent="0.25">
      <c r="A170" t="s">
        <v>5</v>
      </c>
      <c r="B170">
        <v>2025</v>
      </c>
      <c r="C170" t="s">
        <v>18</v>
      </c>
      <c r="D170">
        <v>154.58600000000001</v>
      </c>
      <c r="E170" t="s">
        <v>409</v>
      </c>
      <c r="F170">
        <f t="shared" si="2"/>
        <v>154586</v>
      </c>
      <c r="G170">
        <f>F170*Chartier_Poncelet!$D$35</f>
        <v>121744.97674418605</v>
      </c>
    </row>
    <row r="171" spans="1:7" x14ac:dyDescent="0.25">
      <c r="A171" t="s">
        <v>5</v>
      </c>
      <c r="B171">
        <v>2026</v>
      </c>
      <c r="C171" t="s">
        <v>18</v>
      </c>
      <c r="D171">
        <v>208.96100000000001</v>
      </c>
      <c r="E171" t="s">
        <v>409</v>
      </c>
      <c r="F171">
        <f t="shared" si="2"/>
        <v>208961</v>
      </c>
      <c r="G171">
        <f>F171*Chartier_Poncelet!$D$35</f>
        <v>164568.27969830297</v>
      </c>
    </row>
    <row r="172" spans="1:7" x14ac:dyDescent="0.25">
      <c r="A172" t="s">
        <v>5</v>
      </c>
      <c r="B172">
        <v>2027</v>
      </c>
      <c r="C172" t="s">
        <v>18</v>
      </c>
      <c r="D172">
        <v>215.85400000000001</v>
      </c>
      <c r="E172" t="s">
        <v>409</v>
      </c>
      <c r="F172">
        <f t="shared" si="2"/>
        <v>215854</v>
      </c>
      <c r="G172">
        <f>F172*Chartier_Poncelet!$D$35</f>
        <v>169996.89629164047</v>
      </c>
    </row>
    <row r="173" spans="1:7" x14ac:dyDescent="0.25">
      <c r="A173" t="s">
        <v>5</v>
      </c>
      <c r="B173">
        <v>2028</v>
      </c>
      <c r="C173" t="s">
        <v>18</v>
      </c>
      <c r="D173">
        <v>210.04700000000003</v>
      </c>
      <c r="E173" t="s">
        <v>409</v>
      </c>
      <c r="F173">
        <f t="shared" si="2"/>
        <v>210047.00000000003</v>
      </c>
      <c r="G173">
        <f>F173*Chartier_Poncelet!$D$35</f>
        <v>165423.56442489004</v>
      </c>
    </row>
    <row r="174" spans="1:7" x14ac:dyDescent="0.25">
      <c r="A174" t="s">
        <v>5</v>
      </c>
      <c r="B174">
        <v>2029</v>
      </c>
      <c r="C174" t="s">
        <v>18</v>
      </c>
      <c r="D174">
        <v>190.72400000000002</v>
      </c>
      <c r="E174" t="s">
        <v>409</v>
      </c>
      <c r="F174">
        <f t="shared" si="2"/>
        <v>190724.00000000003</v>
      </c>
      <c r="G174">
        <f>F174*Chartier_Poncelet!$D$35</f>
        <v>150205.63922061599</v>
      </c>
    </row>
    <row r="175" spans="1:7" x14ac:dyDescent="0.25">
      <c r="A175" t="s">
        <v>5</v>
      </c>
      <c r="B175">
        <v>2030</v>
      </c>
      <c r="C175" t="s">
        <v>18</v>
      </c>
      <c r="D175">
        <v>193.08099999999999</v>
      </c>
      <c r="E175" t="s">
        <v>409</v>
      </c>
      <c r="F175">
        <f t="shared" si="2"/>
        <v>193081</v>
      </c>
      <c r="G175">
        <f>F175*Chartier_Poncelet!$D$35</f>
        <v>152061.90634820866</v>
      </c>
    </row>
    <row r="176" spans="1:7" x14ac:dyDescent="0.25">
      <c r="A176" t="s">
        <v>5</v>
      </c>
      <c r="B176">
        <v>2031</v>
      </c>
      <c r="C176" t="s">
        <v>18</v>
      </c>
      <c r="D176">
        <v>192.804</v>
      </c>
      <c r="E176" t="s">
        <v>409</v>
      </c>
      <c r="F176">
        <f t="shared" si="2"/>
        <v>192804</v>
      </c>
      <c r="G176">
        <f>F176*Chartier_Poncelet!$D$35</f>
        <v>151843.75361407921</v>
      </c>
    </row>
    <row r="177" spans="1:7" x14ac:dyDescent="0.25">
      <c r="A177" t="s">
        <v>5</v>
      </c>
      <c r="B177">
        <v>2032</v>
      </c>
      <c r="C177" t="s">
        <v>18</v>
      </c>
      <c r="D177">
        <v>197.58218962964116</v>
      </c>
      <c r="E177" t="s">
        <v>409</v>
      </c>
      <c r="F177">
        <f t="shared" si="2"/>
        <v>197582.18962964116</v>
      </c>
      <c r="G177">
        <f>F177*Chartier_Poncelet!$D$35</f>
        <v>155606.84073283494</v>
      </c>
    </row>
    <row r="178" spans="1:7" x14ac:dyDescent="0.25">
      <c r="A178" t="s">
        <v>5</v>
      </c>
      <c r="B178">
        <v>2033</v>
      </c>
      <c r="C178" t="s">
        <v>18</v>
      </c>
      <c r="D178">
        <v>206.5786229524189</v>
      </c>
      <c r="E178" t="s">
        <v>409</v>
      </c>
      <c r="F178">
        <f t="shared" si="2"/>
        <v>206578.6229524189</v>
      </c>
      <c r="G178">
        <f>F178*Chartier_Poncelet!$D$35</f>
        <v>162692.02675008227</v>
      </c>
    </row>
    <row r="179" spans="1:7" x14ac:dyDescent="0.25">
      <c r="A179" t="s">
        <v>5</v>
      </c>
      <c r="B179">
        <v>2034</v>
      </c>
      <c r="C179" t="s">
        <v>18</v>
      </c>
      <c r="D179">
        <v>215.98468738963513</v>
      </c>
      <c r="E179" t="s">
        <v>409</v>
      </c>
      <c r="F179">
        <f t="shared" si="2"/>
        <v>215984.68738963513</v>
      </c>
      <c r="G179">
        <f>F179*Chartier_Poncelet!$D$35</f>
        <v>170099.81979837388</v>
      </c>
    </row>
    <row r="180" spans="1:7" x14ac:dyDescent="0.25">
      <c r="A180" t="s">
        <v>5</v>
      </c>
      <c r="B180">
        <v>2035</v>
      </c>
      <c r="C180" t="s">
        <v>18</v>
      </c>
      <c r="D180">
        <v>225.81903451618578</v>
      </c>
      <c r="E180" t="s">
        <v>409</v>
      </c>
      <c r="F180">
        <f t="shared" si="2"/>
        <v>225819.03451618578</v>
      </c>
      <c r="G180">
        <f>F180*Chartier_Poncelet!$D$35</f>
        <v>177844.90901871829</v>
      </c>
    </row>
    <row r="181" spans="1:7" x14ac:dyDescent="0.25">
      <c r="A181" t="s">
        <v>5</v>
      </c>
      <c r="B181">
        <v>2036</v>
      </c>
      <c r="C181" t="s">
        <v>18</v>
      </c>
      <c r="D181">
        <v>236.1011651619034</v>
      </c>
      <c r="E181" t="s">
        <v>409</v>
      </c>
      <c r="F181">
        <f t="shared" si="2"/>
        <v>236101.16516190339</v>
      </c>
      <c r="G181">
        <f>F181*Chartier_Poncelet!$D$35</f>
        <v>185942.652387093</v>
      </c>
    </row>
    <row r="182" spans="1:7" x14ac:dyDescent="0.25">
      <c r="A182" t="s">
        <v>5</v>
      </c>
      <c r="B182">
        <v>2037</v>
      </c>
      <c r="C182" t="s">
        <v>18</v>
      </c>
      <c r="D182">
        <v>246.85146808035299</v>
      </c>
      <c r="E182" t="s">
        <v>409</v>
      </c>
      <c r="F182">
        <f t="shared" si="2"/>
        <v>246851.46808035299</v>
      </c>
      <c r="G182">
        <f>F182*Chartier_Poncelet!$D$35</f>
        <v>194409.10716824784</v>
      </c>
    </row>
    <row r="183" spans="1:7" x14ac:dyDescent="0.25">
      <c r="A183" t="s">
        <v>5</v>
      </c>
      <c r="B183">
        <v>2038</v>
      </c>
      <c r="C183" t="s">
        <v>18</v>
      </c>
      <c r="D183">
        <v>258.09126037831999</v>
      </c>
      <c r="E183" t="s">
        <v>409</v>
      </c>
      <c r="F183">
        <f t="shared" si="2"/>
        <v>258091.26037831997</v>
      </c>
      <c r="G183">
        <f>F183*Chartier_Poncelet!$D$35</f>
        <v>203261.06175615019</v>
      </c>
    </row>
    <row r="184" spans="1:7" x14ac:dyDescent="0.25">
      <c r="A184" t="s">
        <v>5</v>
      </c>
      <c r="B184">
        <v>2039</v>
      </c>
      <c r="C184" t="s">
        <v>18</v>
      </c>
      <c r="D184">
        <v>269.84282978615749</v>
      </c>
      <c r="E184" t="s">
        <v>409</v>
      </c>
      <c r="F184">
        <f t="shared" si="2"/>
        <v>269842.82978615747</v>
      </c>
      <c r="G184">
        <f>F184*Chartier_Poncelet!$D$35</f>
        <v>212516.06896420824</v>
      </c>
    </row>
    <row r="185" spans="1:7" x14ac:dyDescent="0.25">
      <c r="A185" t="s">
        <v>5</v>
      </c>
      <c r="B185">
        <v>2040</v>
      </c>
      <c r="C185" t="s">
        <v>18</v>
      </c>
      <c r="D185">
        <v>282.12947885281312</v>
      </c>
      <c r="E185" t="s">
        <v>409</v>
      </c>
      <c r="F185">
        <f t="shared" si="2"/>
        <v>282129.47885281313</v>
      </c>
      <c r="G185">
        <f>F185*Chartier_Poncelet!$D$35</f>
        <v>222192.48083128527</v>
      </c>
    </row>
    <row r="186" spans="1:7" x14ac:dyDescent="0.25">
      <c r="A186" t="s">
        <v>2</v>
      </c>
      <c r="B186">
        <v>2018</v>
      </c>
      <c r="C186" t="s">
        <v>17</v>
      </c>
      <c r="D186">
        <v>13.493</v>
      </c>
      <c r="E186" t="s">
        <v>409</v>
      </c>
      <c r="F186">
        <f t="shared" si="2"/>
        <v>13493</v>
      </c>
      <c r="G186">
        <f>F186*0.33</f>
        <v>4452.6900000000005</v>
      </c>
    </row>
    <row r="187" spans="1:7" x14ac:dyDescent="0.25">
      <c r="A187" t="s">
        <v>2</v>
      </c>
      <c r="B187">
        <v>2019</v>
      </c>
      <c r="C187" t="s">
        <v>17</v>
      </c>
      <c r="D187">
        <v>13.91</v>
      </c>
      <c r="E187" t="s">
        <v>409</v>
      </c>
      <c r="F187">
        <f t="shared" si="2"/>
        <v>13910</v>
      </c>
      <c r="G187">
        <f t="shared" ref="G187:G231" si="3">F187*0.33</f>
        <v>4590.3</v>
      </c>
    </row>
    <row r="188" spans="1:7" x14ac:dyDescent="0.25">
      <c r="A188" t="s">
        <v>2</v>
      </c>
      <c r="B188">
        <v>2020</v>
      </c>
      <c r="C188" t="s">
        <v>17</v>
      </c>
      <c r="D188">
        <v>8.1709999999999994</v>
      </c>
      <c r="E188" t="s">
        <v>409</v>
      </c>
      <c r="F188">
        <f t="shared" si="2"/>
        <v>8170.9999999999991</v>
      </c>
      <c r="G188">
        <f t="shared" si="3"/>
        <v>2696.43</v>
      </c>
    </row>
    <row r="189" spans="1:7" x14ac:dyDescent="0.25">
      <c r="A189" t="s">
        <v>2</v>
      </c>
      <c r="B189">
        <v>2021</v>
      </c>
      <c r="C189" t="s">
        <v>17</v>
      </c>
      <c r="D189">
        <v>4.18</v>
      </c>
      <c r="E189" t="s">
        <v>409</v>
      </c>
      <c r="F189">
        <f t="shared" si="2"/>
        <v>4180</v>
      </c>
      <c r="G189">
        <f t="shared" si="3"/>
        <v>1379.4</v>
      </c>
    </row>
    <row r="190" spans="1:7" x14ac:dyDescent="0.25">
      <c r="A190" t="s">
        <v>2</v>
      </c>
      <c r="B190">
        <v>2022</v>
      </c>
      <c r="C190" t="s">
        <v>17</v>
      </c>
      <c r="D190">
        <v>13.563000000000001</v>
      </c>
      <c r="E190" t="s">
        <v>409</v>
      </c>
      <c r="F190">
        <f t="shared" si="2"/>
        <v>13563</v>
      </c>
      <c r="G190">
        <f t="shared" si="3"/>
        <v>4475.79</v>
      </c>
    </row>
    <row r="191" spans="1:7" x14ac:dyDescent="0.25">
      <c r="A191" t="s">
        <v>2</v>
      </c>
      <c r="B191">
        <v>2023</v>
      </c>
      <c r="C191" t="s">
        <v>17</v>
      </c>
      <c r="D191">
        <v>4.194</v>
      </c>
      <c r="E191" t="s">
        <v>409</v>
      </c>
      <c r="F191">
        <f t="shared" si="2"/>
        <v>4194</v>
      </c>
      <c r="G191">
        <f t="shared" si="3"/>
        <v>1384.02</v>
      </c>
    </row>
    <row r="192" spans="1:7" x14ac:dyDescent="0.25">
      <c r="A192" t="s">
        <v>2</v>
      </c>
      <c r="B192">
        <v>2024</v>
      </c>
      <c r="C192" t="s">
        <v>17</v>
      </c>
      <c r="D192">
        <v>6.3</v>
      </c>
      <c r="E192" t="s">
        <v>409</v>
      </c>
      <c r="F192">
        <f t="shared" si="2"/>
        <v>6300</v>
      </c>
      <c r="G192">
        <f t="shared" si="3"/>
        <v>2079</v>
      </c>
    </row>
    <row r="193" spans="1:7" x14ac:dyDescent="0.25">
      <c r="A193" t="s">
        <v>2</v>
      </c>
      <c r="B193">
        <v>2025</v>
      </c>
      <c r="C193" t="s">
        <v>17</v>
      </c>
      <c r="D193">
        <v>0</v>
      </c>
      <c r="E193" t="s">
        <v>409</v>
      </c>
      <c r="F193">
        <f t="shared" si="2"/>
        <v>0</v>
      </c>
      <c r="G193">
        <f t="shared" si="3"/>
        <v>0</v>
      </c>
    </row>
    <row r="194" spans="1:7" x14ac:dyDescent="0.25">
      <c r="A194" t="s">
        <v>2</v>
      </c>
      <c r="B194">
        <v>2026</v>
      </c>
      <c r="C194" t="s">
        <v>17</v>
      </c>
      <c r="D194">
        <v>0</v>
      </c>
      <c r="E194" t="s">
        <v>409</v>
      </c>
      <c r="F194">
        <f t="shared" si="2"/>
        <v>0</v>
      </c>
      <c r="G194">
        <f t="shared" si="3"/>
        <v>0</v>
      </c>
    </row>
    <row r="195" spans="1:7" x14ac:dyDescent="0.25">
      <c r="A195" t="s">
        <v>2</v>
      </c>
      <c r="B195">
        <v>2027</v>
      </c>
      <c r="C195" t="s">
        <v>17</v>
      </c>
      <c r="D195">
        <v>0</v>
      </c>
      <c r="E195" t="s">
        <v>409</v>
      </c>
      <c r="F195">
        <f t="shared" ref="F195:F258" si="4">D195*1000</f>
        <v>0</v>
      </c>
      <c r="G195">
        <f t="shared" si="3"/>
        <v>0</v>
      </c>
    </row>
    <row r="196" spans="1:7" x14ac:dyDescent="0.25">
      <c r="A196" t="s">
        <v>2</v>
      </c>
      <c r="B196">
        <v>2028</v>
      </c>
      <c r="C196" t="s">
        <v>17</v>
      </c>
      <c r="D196">
        <v>0</v>
      </c>
      <c r="E196" t="s">
        <v>409</v>
      </c>
      <c r="F196">
        <f t="shared" si="4"/>
        <v>0</v>
      </c>
      <c r="G196">
        <f t="shared" si="3"/>
        <v>0</v>
      </c>
    </row>
    <row r="197" spans="1:7" x14ac:dyDescent="0.25">
      <c r="A197" t="s">
        <v>2</v>
      </c>
      <c r="B197">
        <v>2029</v>
      </c>
      <c r="C197" t="s">
        <v>17</v>
      </c>
      <c r="D197">
        <v>0</v>
      </c>
      <c r="E197" t="s">
        <v>409</v>
      </c>
      <c r="F197">
        <f t="shared" si="4"/>
        <v>0</v>
      </c>
      <c r="G197">
        <f t="shared" si="3"/>
        <v>0</v>
      </c>
    </row>
    <row r="198" spans="1:7" x14ac:dyDescent="0.25">
      <c r="A198" t="s">
        <v>2</v>
      </c>
      <c r="B198">
        <v>2030</v>
      </c>
      <c r="C198" t="s">
        <v>17</v>
      </c>
      <c r="D198">
        <v>0</v>
      </c>
      <c r="E198" t="s">
        <v>409</v>
      </c>
      <c r="F198">
        <f t="shared" si="4"/>
        <v>0</v>
      </c>
      <c r="G198">
        <f t="shared" si="3"/>
        <v>0</v>
      </c>
    </row>
    <row r="199" spans="1:7" x14ac:dyDescent="0.25">
      <c r="A199" t="s">
        <v>2</v>
      </c>
      <c r="B199">
        <v>2031</v>
      </c>
      <c r="C199" t="s">
        <v>17</v>
      </c>
      <c r="D199">
        <v>0</v>
      </c>
      <c r="E199" t="s">
        <v>409</v>
      </c>
      <c r="F199">
        <f t="shared" si="4"/>
        <v>0</v>
      </c>
      <c r="G199">
        <f t="shared" si="3"/>
        <v>0</v>
      </c>
    </row>
    <row r="200" spans="1:7" x14ac:dyDescent="0.25">
      <c r="A200" t="s">
        <v>2</v>
      </c>
      <c r="B200">
        <v>2032</v>
      </c>
      <c r="C200" t="s">
        <v>17</v>
      </c>
      <c r="D200">
        <v>0</v>
      </c>
      <c r="E200" t="s">
        <v>409</v>
      </c>
      <c r="F200">
        <f t="shared" si="4"/>
        <v>0</v>
      </c>
      <c r="G200">
        <f t="shared" si="3"/>
        <v>0</v>
      </c>
    </row>
    <row r="201" spans="1:7" x14ac:dyDescent="0.25">
      <c r="A201" t="s">
        <v>2</v>
      </c>
      <c r="B201">
        <v>2033</v>
      </c>
      <c r="C201" t="s">
        <v>17</v>
      </c>
      <c r="D201">
        <v>0</v>
      </c>
      <c r="E201" t="s">
        <v>409</v>
      </c>
      <c r="F201">
        <f t="shared" si="4"/>
        <v>0</v>
      </c>
      <c r="G201">
        <f t="shared" si="3"/>
        <v>0</v>
      </c>
    </row>
    <row r="202" spans="1:7" x14ac:dyDescent="0.25">
      <c r="A202" t="s">
        <v>2</v>
      </c>
      <c r="B202">
        <v>2034</v>
      </c>
      <c r="C202" t="s">
        <v>17</v>
      </c>
      <c r="D202">
        <v>0</v>
      </c>
      <c r="E202" t="s">
        <v>409</v>
      </c>
      <c r="F202">
        <f t="shared" si="4"/>
        <v>0</v>
      </c>
      <c r="G202">
        <f t="shared" si="3"/>
        <v>0</v>
      </c>
    </row>
    <row r="203" spans="1:7" x14ac:dyDescent="0.25">
      <c r="A203" t="s">
        <v>2</v>
      </c>
      <c r="B203">
        <v>2035</v>
      </c>
      <c r="C203" t="s">
        <v>17</v>
      </c>
      <c r="D203">
        <v>0</v>
      </c>
      <c r="E203" t="s">
        <v>409</v>
      </c>
      <c r="F203">
        <f t="shared" si="4"/>
        <v>0</v>
      </c>
      <c r="G203">
        <f t="shared" si="3"/>
        <v>0</v>
      </c>
    </row>
    <row r="204" spans="1:7" x14ac:dyDescent="0.25">
      <c r="A204" t="s">
        <v>2</v>
      </c>
      <c r="B204">
        <v>2036</v>
      </c>
      <c r="C204" t="s">
        <v>17</v>
      </c>
      <c r="D204">
        <v>0</v>
      </c>
      <c r="E204" t="s">
        <v>409</v>
      </c>
      <c r="F204">
        <f t="shared" si="4"/>
        <v>0</v>
      </c>
      <c r="G204">
        <f t="shared" si="3"/>
        <v>0</v>
      </c>
    </row>
    <row r="205" spans="1:7" x14ac:dyDescent="0.25">
      <c r="A205" t="s">
        <v>2</v>
      </c>
      <c r="B205">
        <v>2037</v>
      </c>
      <c r="C205" t="s">
        <v>17</v>
      </c>
      <c r="D205">
        <v>0</v>
      </c>
      <c r="E205" t="s">
        <v>409</v>
      </c>
      <c r="F205">
        <f t="shared" si="4"/>
        <v>0</v>
      </c>
      <c r="G205">
        <f t="shared" si="3"/>
        <v>0</v>
      </c>
    </row>
    <row r="206" spans="1:7" x14ac:dyDescent="0.25">
      <c r="A206" t="s">
        <v>2</v>
      </c>
      <c r="B206">
        <v>2038</v>
      </c>
      <c r="C206" t="s">
        <v>17</v>
      </c>
      <c r="D206">
        <v>0</v>
      </c>
      <c r="E206" t="s">
        <v>409</v>
      </c>
      <c r="F206">
        <f t="shared" si="4"/>
        <v>0</v>
      </c>
      <c r="G206">
        <f t="shared" si="3"/>
        <v>0</v>
      </c>
    </row>
    <row r="207" spans="1:7" x14ac:dyDescent="0.25">
      <c r="A207" t="s">
        <v>2</v>
      </c>
      <c r="B207">
        <v>2039</v>
      </c>
      <c r="C207" t="s">
        <v>17</v>
      </c>
      <c r="D207">
        <v>0</v>
      </c>
      <c r="E207" t="s">
        <v>409</v>
      </c>
      <c r="F207">
        <f t="shared" si="4"/>
        <v>0</v>
      </c>
      <c r="G207">
        <f t="shared" si="3"/>
        <v>0</v>
      </c>
    </row>
    <row r="208" spans="1:7" x14ac:dyDescent="0.25">
      <c r="A208" t="s">
        <v>2</v>
      </c>
      <c r="B208">
        <v>2040</v>
      </c>
      <c r="C208" t="s">
        <v>17</v>
      </c>
      <c r="D208">
        <v>0</v>
      </c>
      <c r="E208" t="s">
        <v>409</v>
      </c>
      <c r="F208">
        <f t="shared" si="4"/>
        <v>0</v>
      </c>
      <c r="G208">
        <f t="shared" si="3"/>
        <v>0</v>
      </c>
    </row>
    <row r="209" spans="1:7" x14ac:dyDescent="0.25">
      <c r="A209" t="s">
        <v>2</v>
      </c>
      <c r="B209">
        <v>2018</v>
      </c>
      <c r="C209" t="s">
        <v>18</v>
      </c>
      <c r="D209">
        <v>13.493</v>
      </c>
      <c r="E209" t="s">
        <v>409</v>
      </c>
      <c r="F209">
        <f t="shared" si="4"/>
        <v>13493</v>
      </c>
      <c r="G209">
        <f t="shared" si="3"/>
        <v>4452.6900000000005</v>
      </c>
    </row>
    <row r="210" spans="1:7" x14ac:dyDescent="0.25">
      <c r="A210" t="s">
        <v>2</v>
      </c>
      <c r="B210">
        <v>2019</v>
      </c>
      <c r="C210" t="s">
        <v>18</v>
      </c>
      <c r="D210">
        <v>13.91</v>
      </c>
      <c r="E210" t="s">
        <v>409</v>
      </c>
      <c r="F210">
        <f t="shared" si="4"/>
        <v>13910</v>
      </c>
      <c r="G210">
        <f t="shared" si="3"/>
        <v>4590.3</v>
      </c>
    </row>
    <row r="211" spans="1:7" x14ac:dyDescent="0.25">
      <c r="A211" t="s">
        <v>2</v>
      </c>
      <c r="B211">
        <v>2020</v>
      </c>
      <c r="C211" t="s">
        <v>18</v>
      </c>
      <c r="D211">
        <v>8.1709999999999994</v>
      </c>
      <c r="E211" t="s">
        <v>409</v>
      </c>
      <c r="F211">
        <f t="shared" si="4"/>
        <v>8170.9999999999991</v>
      </c>
      <c r="G211">
        <f t="shared" si="3"/>
        <v>2696.43</v>
      </c>
    </row>
    <row r="212" spans="1:7" x14ac:dyDescent="0.25">
      <c r="A212" t="s">
        <v>2</v>
      </c>
      <c r="B212">
        <v>2021</v>
      </c>
      <c r="C212" t="s">
        <v>18</v>
      </c>
      <c r="D212">
        <v>4.18</v>
      </c>
      <c r="E212" t="s">
        <v>409</v>
      </c>
      <c r="F212">
        <f t="shared" si="4"/>
        <v>4180</v>
      </c>
      <c r="G212">
        <f t="shared" si="3"/>
        <v>1379.4</v>
      </c>
    </row>
    <row r="213" spans="1:7" x14ac:dyDescent="0.25">
      <c r="A213" t="s">
        <v>2</v>
      </c>
      <c r="B213">
        <v>2022</v>
      </c>
      <c r="C213" t="s">
        <v>18</v>
      </c>
      <c r="D213">
        <v>13.563000000000001</v>
      </c>
      <c r="E213" t="s">
        <v>409</v>
      </c>
      <c r="F213">
        <f t="shared" si="4"/>
        <v>13563</v>
      </c>
      <c r="G213">
        <f t="shared" si="3"/>
        <v>4475.79</v>
      </c>
    </row>
    <row r="214" spans="1:7" x14ac:dyDescent="0.25">
      <c r="A214" t="s">
        <v>2</v>
      </c>
      <c r="B214">
        <v>2023</v>
      </c>
      <c r="C214" t="s">
        <v>18</v>
      </c>
      <c r="D214">
        <v>103.93600000000001</v>
      </c>
      <c r="E214" t="s">
        <v>409</v>
      </c>
      <c r="F214">
        <f t="shared" si="4"/>
        <v>103936</v>
      </c>
      <c r="G214">
        <f t="shared" si="3"/>
        <v>34298.880000000005</v>
      </c>
    </row>
    <row r="215" spans="1:7" x14ac:dyDescent="0.25">
      <c r="A215" t="s">
        <v>2</v>
      </c>
      <c r="B215">
        <v>2024</v>
      </c>
      <c r="C215" t="s">
        <v>18</v>
      </c>
      <c r="D215">
        <v>106.03099999999999</v>
      </c>
      <c r="E215" t="s">
        <v>409</v>
      </c>
      <c r="F215">
        <f t="shared" si="4"/>
        <v>106030.99999999999</v>
      </c>
      <c r="G215">
        <f t="shared" si="3"/>
        <v>34990.229999999996</v>
      </c>
    </row>
    <row r="216" spans="1:7" x14ac:dyDescent="0.25">
      <c r="A216" t="s">
        <v>2</v>
      </c>
      <c r="B216">
        <v>2025</v>
      </c>
      <c r="C216" t="s">
        <v>18</v>
      </c>
      <c r="D216">
        <v>99.546999999999997</v>
      </c>
      <c r="E216" t="s">
        <v>409</v>
      </c>
      <c r="F216">
        <f t="shared" si="4"/>
        <v>99547</v>
      </c>
      <c r="G216">
        <f t="shared" si="3"/>
        <v>32850.51</v>
      </c>
    </row>
    <row r="217" spans="1:7" x14ac:dyDescent="0.25">
      <c r="A217" t="s">
        <v>2</v>
      </c>
      <c r="B217">
        <v>2026</v>
      </c>
      <c r="C217" t="s">
        <v>18</v>
      </c>
      <c r="D217">
        <v>99.67</v>
      </c>
      <c r="E217" t="s">
        <v>409</v>
      </c>
      <c r="F217">
        <f t="shared" si="4"/>
        <v>99670</v>
      </c>
      <c r="G217">
        <f t="shared" si="3"/>
        <v>32891.1</v>
      </c>
    </row>
    <row r="218" spans="1:7" x14ac:dyDescent="0.25">
      <c r="A218" t="s">
        <v>2</v>
      </c>
      <c r="B218">
        <v>2027</v>
      </c>
      <c r="C218" t="s">
        <v>18</v>
      </c>
      <c r="D218">
        <v>99.778000000000006</v>
      </c>
      <c r="E218" t="s">
        <v>409</v>
      </c>
      <c r="F218">
        <f t="shared" si="4"/>
        <v>99778</v>
      </c>
      <c r="G218">
        <f t="shared" si="3"/>
        <v>32926.74</v>
      </c>
    </row>
    <row r="219" spans="1:7" x14ac:dyDescent="0.25">
      <c r="A219" t="s">
        <v>2</v>
      </c>
      <c r="B219">
        <v>2028</v>
      </c>
      <c r="C219" t="s">
        <v>18</v>
      </c>
      <c r="D219">
        <v>99.734999999999999</v>
      </c>
      <c r="E219" t="s">
        <v>409</v>
      </c>
      <c r="F219">
        <f t="shared" si="4"/>
        <v>99735</v>
      </c>
      <c r="G219">
        <f t="shared" si="3"/>
        <v>32912.550000000003</v>
      </c>
    </row>
    <row r="220" spans="1:7" x14ac:dyDescent="0.25">
      <c r="A220" t="s">
        <v>2</v>
      </c>
      <c r="B220">
        <v>2029</v>
      </c>
      <c r="C220" t="s">
        <v>18</v>
      </c>
      <c r="D220">
        <v>99.513999999999996</v>
      </c>
      <c r="E220" t="s">
        <v>409</v>
      </c>
      <c r="F220">
        <f t="shared" si="4"/>
        <v>99514</v>
      </c>
      <c r="G220">
        <f t="shared" si="3"/>
        <v>32839.620000000003</v>
      </c>
    </row>
    <row r="221" spans="1:7" x14ac:dyDescent="0.25">
      <c r="A221" t="s">
        <v>2</v>
      </c>
      <c r="B221">
        <v>2030</v>
      </c>
      <c r="C221" t="s">
        <v>18</v>
      </c>
      <c r="D221">
        <v>99.712000000000003</v>
      </c>
      <c r="E221" t="s">
        <v>409</v>
      </c>
      <c r="F221">
        <f t="shared" si="4"/>
        <v>99712</v>
      </c>
      <c r="G221">
        <f t="shared" si="3"/>
        <v>32904.959999999999</v>
      </c>
    </row>
    <row r="222" spans="1:7" x14ac:dyDescent="0.25">
      <c r="A222" t="s">
        <v>2</v>
      </c>
      <c r="B222">
        <v>2031</v>
      </c>
      <c r="C222" t="s">
        <v>18</v>
      </c>
      <c r="D222">
        <v>99.847999999999999</v>
      </c>
      <c r="E222" t="s">
        <v>409</v>
      </c>
      <c r="F222">
        <f t="shared" si="4"/>
        <v>99848</v>
      </c>
      <c r="G222">
        <f t="shared" si="3"/>
        <v>32949.840000000004</v>
      </c>
    </row>
    <row r="223" spans="1:7" x14ac:dyDescent="0.25">
      <c r="A223" t="s">
        <v>2</v>
      </c>
      <c r="B223">
        <v>2032</v>
      </c>
      <c r="C223" t="s">
        <v>18</v>
      </c>
      <c r="D223">
        <v>88.9360447423349</v>
      </c>
      <c r="E223" t="s">
        <v>409</v>
      </c>
      <c r="F223">
        <f t="shared" si="4"/>
        <v>88936.044742334896</v>
      </c>
      <c r="G223">
        <f t="shared" si="3"/>
        <v>29348.894764970519</v>
      </c>
    </row>
    <row r="224" spans="1:7" x14ac:dyDescent="0.25">
      <c r="A224" t="s">
        <v>2</v>
      </c>
      <c r="B224">
        <v>2033</v>
      </c>
      <c r="C224" t="s">
        <v>18</v>
      </c>
      <c r="D224">
        <v>107.33713919856019</v>
      </c>
      <c r="E224" t="s">
        <v>409</v>
      </c>
      <c r="F224">
        <f t="shared" si="4"/>
        <v>107337.13919856019</v>
      </c>
      <c r="G224">
        <f t="shared" si="3"/>
        <v>35421.255935524867</v>
      </c>
    </row>
    <row r="225" spans="1:7" x14ac:dyDescent="0.25">
      <c r="A225" t="s">
        <v>2</v>
      </c>
      <c r="B225">
        <v>2034</v>
      </c>
      <c r="C225" t="s">
        <v>18</v>
      </c>
      <c r="D225">
        <v>129.54546702307746</v>
      </c>
      <c r="E225" t="s">
        <v>409</v>
      </c>
      <c r="F225">
        <f t="shared" si="4"/>
        <v>129545.46702307746</v>
      </c>
      <c r="G225">
        <f t="shared" si="3"/>
        <v>42750.004117615565</v>
      </c>
    </row>
    <row r="226" spans="1:7" x14ac:dyDescent="0.25">
      <c r="A226" t="s">
        <v>2</v>
      </c>
      <c r="B226">
        <v>2035</v>
      </c>
      <c r="C226" t="s">
        <v>18</v>
      </c>
      <c r="D226">
        <v>156.34875450875035</v>
      </c>
      <c r="E226" t="s">
        <v>409</v>
      </c>
      <c r="F226">
        <f t="shared" si="4"/>
        <v>156348.75450875034</v>
      </c>
      <c r="G226">
        <f t="shared" si="3"/>
        <v>51595.088987887611</v>
      </c>
    </row>
    <row r="227" spans="1:7" x14ac:dyDescent="0.25">
      <c r="A227" t="s">
        <v>2</v>
      </c>
      <c r="B227">
        <v>2036</v>
      </c>
      <c r="C227" t="s">
        <v>18</v>
      </c>
      <c r="D227">
        <v>188.69771052724536</v>
      </c>
      <c r="E227" t="s">
        <v>409</v>
      </c>
      <c r="F227">
        <f t="shared" si="4"/>
        <v>188697.71052724536</v>
      </c>
      <c r="G227">
        <f t="shared" si="3"/>
        <v>62270.24447399097</v>
      </c>
    </row>
    <row r="228" spans="1:7" x14ac:dyDescent="0.25">
      <c r="A228" t="s">
        <v>2</v>
      </c>
      <c r="B228">
        <v>2037</v>
      </c>
      <c r="C228" t="s">
        <v>18</v>
      </c>
      <c r="D228">
        <v>227.73974804021404</v>
      </c>
      <c r="E228" t="s">
        <v>409</v>
      </c>
      <c r="F228">
        <f t="shared" si="4"/>
        <v>227739.74804021404</v>
      </c>
      <c r="G228">
        <f t="shared" si="3"/>
        <v>75154.116853270636</v>
      </c>
    </row>
    <row r="229" spans="1:7" x14ac:dyDescent="0.25">
      <c r="A229" t="s">
        <v>2</v>
      </c>
      <c r="B229">
        <v>2038</v>
      </c>
      <c r="C229" t="s">
        <v>18</v>
      </c>
      <c r="D229">
        <v>274.85968267713315</v>
      </c>
      <c r="E229" t="s">
        <v>409</v>
      </c>
      <c r="F229">
        <f t="shared" si="4"/>
        <v>274859.68267713313</v>
      </c>
      <c r="G229">
        <f t="shared" si="3"/>
        <v>90703.695283453941</v>
      </c>
    </row>
    <row r="230" spans="1:7" x14ac:dyDescent="0.25">
      <c r="A230" t="s">
        <v>2</v>
      </c>
      <c r="B230">
        <v>2039</v>
      </c>
      <c r="C230" t="s">
        <v>18</v>
      </c>
      <c r="D230">
        <v>331.72885195268657</v>
      </c>
      <c r="E230" t="s">
        <v>409</v>
      </c>
      <c r="F230">
        <f t="shared" si="4"/>
        <v>331728.85195268656</v>
      </c>
      <c r="G230">
        <f t="shared" si="3"/>
        <v>109470.52114438657</v>
      </c>
    </row>
    <row r="231" spans="1:7" x14ac:dyDescent="0.25">
      <c r="A231" t="s">
        <v>2</v>
      </c>
      <c r="B231">
        <v>2040</v>
      </c>
      <c r="C231" t="s">
        <v>18</v>
      </c>
      <c r="D231">
        <v>400.36439737548505</v>
      </c>
      <c r="E231" t="s">
        <v>409</v>
      </c>
      <c r="F231">
        <f t="shared" si="4"/>
        <v>400364.39737548504</v>
      </c>
      <c r="G231">
        <f t="shared" si="3"/>
        <v>132120.25113391006</v>
      </c>
    </row>
    <row r="232" spans="1:7" x14ac:dyDescent="0.25">
      <c r="A232" t="s">
        <v>4</v>
      </c>
      <c r="B232">
        <v>2018</v>
      </c>
      <c r="C232" t="s">
        <v>17</v>
      </c>
      <c r="D232">
        <v>0</v>
      </c>
      <c r="E232" t="s">
        <v>409</v>
      </c>
      <c r="F232">
        <f t="shared" si="4"/>
        <v>0</v>
      </c>
      <c r="G232">
        <f>F232*Chartier_Poncelet!$D$34</f>
        <v>0</v>
      </c>
    </row>
    <row r="233" spans="1:7" x14ac:dyDescent="0.25">
      <c r="A233" t="s">
        <v>4</v>
      </c>
      <c r="B233">
        <v>2019</v>
      </c>
      <c r="C233" t="s">
        <v>17</v>
      </c>
      <c r="D233">
        <v>0</v>
      </c>
      <c r="E233" t="s">
        <v>409</v>
      </c>
      <c r="F233">
        <f t="shared" si="4"/>
        <v>0</v>
      </c>
      <c r="G233">
        <f>F233*Chartier_Poncelet!$D$34</f>
        <v>0</v>
      </c>
    </row>
    <row r="234" spans="1:7" x14ac:dyDescent="0.25">
      <c r="A234" t="s">
        <v>4</v>
      </c>
      <c r="B234">
        <v>2020</v>
      </c>
      <c r="C234" t="s">
        <v>17</v>
      </c>
      <c r="D234">
        <v>0</v>
      </c>
      <c r="E234" t="s">
        <v>409</v>
      </c>
      <c r="F234">
        <f t="shared" si="4"/>
        <v>0</v>
      </c>
      <c r="G234">
        <f>F234*Chartier_Poncelet!$D$34</f>
        <v>0</v>
      </c>
    </row>
    <row r="235" spans="1:7" x14ac:dyDescent="0.25">
      <c r="A235" t="s">
        <v>4</v>
      </c>
      <c r="B235">
        <v>2021</v>
      </c>
      <c r="C235" t="s">
        <v>17</v>
      </c>
      <c r="D235">
        <v>0</v>
      </c>
      <c r="E235" t="s">
        <v>409</v>
      </c>
      <c r="F235">
        <f t="shared" si="4"/>
        <v>0</v>
      </c>
      <c r="G235">
        <f>F235*Chartier_Poncelet!$D$34</f>
        <v>0</v>
      </c>
    </row>
    <row r="236" spans="1:7" x14ac:dyDescent="0.25">
      <c r="A236" t="s">
        <v>4</v>
      </c>
      <c r="B236">
        <v>2022</v>
      </c>
      <c r="C236" t="s">
        <v>17</v>
      </c>
      <c r="D236">
        <v>0</v>
      </c>
      <c r="E236" t="s">
        <v>409</v>
      </c>
      <c r="F236">
        <f t="shared" si="4"/>
        <v>0</v>
      </c>
      <c r="G236">
        <f>F236*Chartier_Poncelet!$D$34</f>
        <v>0</v>
      </c>
    </row>
    <row r="237" spans="1:7" x14ac:dyDescent="0.25">
      <c r="A237" t="s">
        <v>4</v>
      </c>
      <c r="B237">
        <v>2023</v>
      </c>
      <c r="C237" t="s">
        <v>17</v>
      </c>
      <c r="D237">
        <v>0</v>
      </c>
      <c r="E237" t="s">
        <v>409</v>
      </c>
      <c r="F237">
        <f t="shared" si="4"/>
        <v>0</v>
      </c>
      <c r="G237">
        <f>F237*Chartier_Poncelet!$D$34</f>
        <v>0</v>
      </c>
    </row>
    <row r="238" spans="1:7" x14ac:dyDescent="0.25">
      <c r="A238" t="s">
        <v>4</v>
      </c>
      <c r="B238">
        <v>2024</v>
      </c>
      <c r="C238" t="s">
        <v>17</v>
      </c>
      <c r="D238">
        <v>0</v>
      </c>
      <c r="E238" t="s">
        <v>409</v>
      </c>
      <c r="F238">
        <f t="shared" si="4"/>
        <v>0</v>
      </c>
      <c r="G238">
        <f>F238*Chartier_Poncelet!$D$34</f>
        <v>0</v>
      </c>
    </row>
    <row r="239" spans="1:7" x14ac:dyDescent="0.25">
      <c r="A239" t="s">
        <v>4</v>
      </c>
      <c r="B239">
        <v>2025</v>
      </c>
      <c r="C239" t="s">
        <v>17</v>
      </c>
      <c r="D239">
        <v>0</v>
      </c>
      <c r="E239" t="s">
        <v>409</v>
      </c>
      <c r="F239">
        <f t="shared" si="4"/>
        <v>0</v>
      </c>
      <c r="G239">
        <f>F239*Chartier_Poncelet!$D$34</f>
        <v>0</v>
      </c>
    </row>
    <row r="240" spans="1:7" x14ac:dyDescent="0.25">
      <c r="A240" t="s">
        <v>4</v>
      </c>
      <c r="B240">
        <v>2026</v>
      </c>
      <c r="C240" t="s">
        <v>17</v>
      </c>
      <c r="D240">
        <v>0</v>
      </c>
      <c r="E240" t="s">
        <v>409</v>
      </c>
      <c r="F240">
        <f t="shared" si="4"/>
        <v>0</v>
      </c>
      <c r="G240">
        <f>F240*Chartier_Poncelet!$D$34</f>
        <v>0</v>
      </c>
    </row>
    <row r="241" spans="1:7" x14ac:dyDescent="0.25">
      <c r="A241" t="s">
        <v>4</v>
      </c>
      <c r="B241">
        <v>2027</v>
      </c>
      <c r="C241" t="s">
        <v>17</v>
      </c>
      <c r="D241">
        <v>0</v>
      </c>
      <c r="E241" t="s">
        <v>409</v>
      </c>
      <c r="F241">
        <f t="shared" si="4"/>
        <v>0</v>
      </c>
      <c r="G241">
        <f>F241*Chartier_Poncelet!$D$34</f>
        <v>0</v>
      </c>
    </row>
    <row r="242" spans="1:7" x14ac:dyDescent="0.25">
      <c r="A242" t="s">
        <v>4</v>
      </c>
      <c r="B242">
        <v>2028</v>
      </c>
      <c r="C242" t="s">
        <v>17</v>
      </c>
      <c r="D242">
        <v>0</v>
      </c>
      <c r="E242" t="s">
        <v>409</v>
      </c>
      <c r="F242">
        <f t="shared" si="4"/>
        <v>0</v>
      </c>
      <c r="G242">
        <f>F242*Chartier_Poncelet!$D$34</f>
        <v>0</v>
      </c>
    </row>
    <row r="243" spans="1:7" x14ac:dyDescent="0.25">
      <c r="A243" t="s">
        <v>4</v>
      </c>
      <c r="B243">
        <v>2029</v>
      </c>
      <c r="C243" t="s">
        <v>17</v>
      </c>
      <c r="D243">
        <v>0</v>
      </c>
      <c r="E243" t="s">
        <v>409</v>
      </c>
      <c r="F243">
        <f t="shared" si="4"/>
        <v>0</v>
      </c>
      <c r="G243">
        <f>F243*Chartier_Poncelet!$D$34</f>
        <v>0</v>
      </c>
    </row>
    <row r="244" spans="1:7" x14ac:dyDescent="0.25">
      <c r="A244" t="s">
        <v>4</v>
      </c>
      <c r="B244">
        <v>2030</v>
      </c>
      <c r="C244" t="s">
        <v>17</v>
      </c>
      <c r="D244">
        <v>0</v>
      </c>
      <c r="E244" t="s">
        <v>409</v>
      </c>
      <c r="F244">
        <f t="shared" si="4"/>
        <v>0</v>
      </c>
      <c r="G244">
        <f>F244*Chartier_Poncelet!$D$34</f>
        <v>0</v>
      </c>
    </row>
    <row r="245" spans="1:7" x14ac:dyDescent="0.25">
      <c r="A245" t="s">
        <v>4</v>
      </c>
      <c r="B245">
        <v>2031</v>
      </c>
      <c r="C245" t="s">
        <v>17</v>
      </c>
      <c r="D245">
        <v>0</v>
      </c>
      <c r="E245" t="s">
        <v>409</v>
      </c>
      <c r="F245">
        <f t="shared" si="4"/>
        <v>0</v>
      </c>
      <c r="G245">
        <f>F245*Chartier_Poncelet!$D$34</f>
        <v>0</v>
      </c>
    </row>
    <row r="246" spans="1:7" x14ac:dyDescent="0.25">
      <c r="A246" t="s">
        <v>4</v>
      </c>
      <c r="B246">
        <v>2032</v>
      </c>
      <c r="C246" t="s">
        <v>17</v>
      </c>
      <c r="D246">
        <v>0</v>
      </c>
      <c r="E246" t="s">
        <v>409</v>
      </c>
      <c r="F246">
        <f t="shared" si="4"/>
        <v>0</v>
      </c>
      <c r="G246">
        <f>F246*Chartier_Poncelet!$D$34</f>
        <v>0</v>
      </c>
    </row>
    <row r="247" spans="1:7" x14ac:dyDescent="0.25">
      <c r="A247" t="s">
        <v>4</v>
      </c>
      <c r="B247">
        <v>2033</v>
      </c>
      <c r="C247" t="s">
        <v>17</v>
      </c>
      <c r="D247">
        <v>0</v>
      </c>
      <c r="E247" t="s">
        <v>409</v>
      </c>
      <c r="F247">
        <f t="shared" si="4"/>
        <v>0</v>
      </c>
      <c r="G247">
        <f>F247*Chartier_Poncelet!$D$34</f>
        <v>0</v>
      </c>
    </row>
    <row r="248" spans="1:7" x14ac:dyDescent="0.25">
      <c r="A248" t="s">
        <v>4</v>
      </c>
      <c r="B248">
        <v>2034</v>
      </c>
      <c r="C248" t="s">
        <v>17</v>
      </c>
      <c r="D248">
        <v>0</v>
      </c>
      <c r="E248" t="s">
        <v>409</v>
      </c>
      <c r="F248">
        <f t="shared" si="4"/>
        <v>0</v>
      </c>
      <c r="G248">
        <f>F248*Chartier_Poncelet!$D$34</f>
        <v>0</v>
      </c>
    </row>
    <row r="249" spans="1:7" x14ac:dyDescent="0.25">
      <c r="A249" t="s">
        <v>4</v>
      </c>
      <c r="B249">
        <v>2035</v>
      </c>
      <c r="C249" t="s">
        <v>17</v>
      </c>
      <c r="D249">
        <v>0</v>
      </c>
      <c r="E249" t="s">
        <v>409</v>
      </c>
      <c r="F249">
        <f t="shared" si="4"/>
        <v>0</v>
      </c>
      <c r="G249">
        <f>F249*Chartier_Poncelet!$D$34</f>
        <v>0</v>
      </c>
    </row>
    <row r="250" spans="1:7" x14ac:dyDescent="0.25">
      <c r="A250" t="s">
        <v>4</v>
      </c>
      <c r="B250">
        <v>2036</v>
      </c>
      <c r="C250" t="s">
        <v>17</v>
      </c>
      <c r="D250">
        <v>0</v>
      </c>
      <c r="E250" t="s">
        <v>409</v>
      </c>
      <c r="F250">
        <f t="shared" si="4"/>
        <v>0</v>
      </c>
      <c r="G250">
        <f>F250*Chartier_Poncelet!$D$34</f>
        <v>0</v>
      </c>
    </row>
    <row r="251" spans="1:7" x14ac:dyDescent="0.25">
      <c r="A251" t="s">
        <v>4</v>
      </c>
      <c r="B251">
        <v>2037</v>
      </c>
      <c r="C251" t="s">
        <v>17</v>
      </c>
      <c r="D251">
        <v>0</v>
      </c>
      <c r="E251" t="s">
        <v>409</v>
      </c>
      <c r="F251">
        <f t="shared" si="4"/>
        <v>0</v>
      </c>
      <c r="G251">
        <f>F251*Chartier_Poncelet!$D$34</f>
        <v>0</v>
      </c>
    </row>
    <row r="252" spans="1:7" x14ac:dyDescent="0.25">
      <c r="A252" t="s">
        <v>4</v>
      </c>
      <c r="B252">
        <v>2038</v>
      </c>
      <c r="C252" t="s">
        <v>17</v>
      </c>
      <c r="D252">
        <v>0</v>
      </c>
      <c r="E252" t="s">
        <v>409</v>
      </c>
      <c r="F252">
        <f t="shared" si="4"/>
        <v>0</v>
      </c>
      <c r="G252">
        <f>F252*Chartier_Poncelet!$D$34</f>
        <v>0</v>
      </c>
    </row>
    <row r="253" spans="1:7" x14ac:dyDescent="0.25">
      <c r="A253" t="s">
        <v>4</v>
      </c>
      <c r="B253">
        <v>2039</v>
      </c>
      <c r="C253" t="s">
        <v>17</v>
      </c>
      <c r="D253">
        <v>0</v>
      </c>
      <c r="E253" t="s">
        <v>409</v>
      </c>
      <c r="F253">
        <f t="shared" si="4"/>
        <v>0</v>
      </c>
      <c r="G253">
        <f>F253*Chartier_Poncelet!$D$34</f>
        <v>0</v>
      </c>
    </row>
    <row r="254" spans="1:7" x14ac:dyDescent="0.25">
      <c r="A254" t="s">
        <v>4</v>
      </c>
      <c r="B254">
        <v>2040</v>
      </c>
      <c r="C254" t="s">
        <v>17</v>
      </c>
      <c r="D254">
        <v>0</v>
      </c>
      <c r="E254" t="s">
        <v>409</v>
      </c>
      <c r="F254">
        <f t="shared" si="4"/>
        <v>0</v>
      </c>
      <c r="G254">
        <f>F254*Chartier_Poncelet!$D$34</f>
        <v>0</v>
      </c>
    </row>
    <row r="255" spans="1:7" x14ac:dyDescent="0.25">
      <c r="A255" t="s">
        <v>4</v>
      </c>
      <c r="B255">
        <v>2018</v>
      </c>
      <c r="C255" t="s">
        <v>18</v>
      </c>
      <c r="D255">
        <v>0</v>
      </c>
      <c r="E255" t="s">
        <v>409</v>
      </c>
      <c r="F255">
        <f t="shared" si="4"/>
        <v>0</v>
      </c>
      <c r="G255">
        <f>F255*Chartier_Poncelet!$D$34</f>
        <v>0</v>
      </c>
    </row>
    <row r="256" spans="1:7" x14ac:dyDescent="0.25">
      <c r="A256" t="s">
        <v>4</v>
      </c>
      <c r="B256">
        <v>2019</v>
      </c>
      <c r="C256" t="s">
        <v>18</v>
      </c>
      <c r="D256">
        <v>0</v>
      </c>
      <c r="E256" t="s">
        <v>409</v>
      </c>
      <c r="F256">
        <f t="shared" si="4"/>
        <v>0</v>
      </c>
      <c r="G256">
        <f>F256*Chartier_Poncelet!$D$34</f>
        <v>0</v>
      </c>
    </row>
    <row r="257" spans="1:7" x14ac:dyDescent="0.25">
      <c r="A257" t="s">
        <v>4</v>
      </c>
      <c r="B257">
        <v>2020</v>
      </c>
      <c r="C257" t="s">
        <v>18</v>
      </c>
      <c r="D257">
        <v>0</v>
      </c>
      <c r="E257" t="s">
        <v>409</v>
      </c>
      <c r="F257">
        <f t="shared" si="4"/>
        <v>0</v>
      </c>
      <c r="G257">
        <f>F257*Chartier_Poncelet!$D$34</f>
        <v>0</v>
      </c>
    </row>
    <row r="258" spans="1:7" x14ac:dyDescent="0.25">
      <c r="A258" t="s">
        <v>4</v>
      </c>
      <c r="B258">
        <v>2021</v>
      </c>
      <c r="C258" t="s">
        <v>18</v>
      </c>
      <c r="D258">
        <v>0</v>
      </c>
      <c r="E258" t="s">
        <v>409</v>
      </c>
      <c r="F258">
        <f t="shared" si="4"/>
        <v>0</v>
      </c>
      <c r="G258">
        <f>F258*Chartier_Poncelet!$D$34</f>
        <v>0</v>
      </c>
    </row>
    <row r="259" spans="1:7" x14ac:dyDescent="0.25">
      <c r="A259" t="s">
        <v>4</v>
      </c>
      <c r="B259">
        <v>2022</v>
      </c>
      <c r="C259" t="s">
        <v>18</v>
      </c>
      <c r="D259">
        <v>0</v>
      </c>
      <c r="E259" t="s">
        <v>409</v>
      </c>
      <c r="F259">
        <f t="shared" ref="F259:F277" si="5">D259*1000</f>
        <v>0</v>
      </c>
      <c r="G259">
        <f>F259*Chartier_Poncelet!$D$34</f>
        <v>0</v>
      </c>
    </row>
    <row r="260" spans="1:7" x14ac:dyDescent="0.25">
      <c r="A260" t="s">
        <v>4</v>
      </c>
      <c r="B260">
        <v>2023</v>
      </c>
      <c r="C260" t="s">
        <v>18</v>
      </c>
      <c r="D260">
        <v>1.4008889791940259E-3</v>
      </c>
      <c r="E260" t="s">
        <v>409</v>
      </c>
      <c r="F260">
        <f t="shared" si="5"/>
        <v>1.4008889791940258</v>
      </c>
      <c r="G260">
        <f>F260*Chartier_Poncelet!$D$34</f>
        <v>0.8384935726722027</v>
      </c>
    </row>
    <row r="261" spans="1:7" x14ac:dyDescent="0.25">
      <c r="A261" t="s">
        <v>4</v>
      </c>
      <c r="B261">
        <v>2024</v>
      </c>
      <c r="C261" t="s">
        <v>18</v>
      </c>
      <c r="D261">
        <v>1.9624899320272796E-3</v>
      </c>
      <c r="E261" t="s">
        <v>409</v>
      </c>
      <c r="F261">
        <f t="shared" si="5"/>
        <v>1.9624899320272795</v>
      </c>
      <c r="G261">
        <f>F261*Chartier_Poncelet!$D$34</f>
        <v>1.1746364050815137</v>
      </c>
    </row>
    <row r="262" spans="1:7" x14ac:dyDescent="0.25">
      <c r="A262" t="s">
        <v>4</v>
      </c>
      <c r="B262">
        <v>2025</v>
      </c>
      <c r="C262" t="s">
        <v>18</v>
      </c>
      <c r="D262">
        <v>2.7492305175562488E-3</v>
      </c>
      <c r="E262" t="s">
        <v>409</v>
      </c>
      <c r="F262">
        <f t="shared" si="5"/>
        <v>2.7492305175562488</v>
      </c>
      <c r="G262">
        <f>F262*Chartier_Poncelet!$D$34</f>
        <v>1.6455351944387819</v>
      </c>
    </row>
    <row r="263" spans="1:7" x14ac:dyDescent="0.25">
      <c r="A263" t="s">
        <v>4</v>
      </c>
      <c r="B263">
        <v>2026</v>
      </c>
      <c r="C263" t="s">
        <v>18</v>
      </c>
      <c r="D263">
        <v>3.8513667333084363E-3</v>
      </c>
      <c r="E263" t="s">
        <v>409</v>
      </c>
      <c r="F263">
        <f t="shared" si="5"/>
        <v>3.8513667333084363</v>
      </c>
      <c r="G263">
        <f>F263*Chartier_Poncelet!$D$34</f>
        <v>2.3052121187651879</v>
      </c>
    </row>
    <row r="264" spans="1:7" x14ac:dyDescent="0.25">
      <c r="A264" t="s">
        <v>4</v>
      </c>
      <c r="B264">
        <v>2027</v>
      </c>
      <c r="C264" t="s">
        <v>18</v>
      </c>
      <c r="D264">
        <v>5.3953372115262853E-3</v>
      </c>
      <c r="E264" t="s">
        <v>409</v>
      </c>
      <c r="F264">
        <f t="shared" si="5"/>
        <v>5.395337211526285</v>
      </c>
      <c r="G264">
        <f>F264*Chartier_Poncelet!$D$34</f>
        <v>3.229346251882661</v>
      </c>
    </row>
    <row r="265" spans="1:7" x14ac:dyDescent="0.25">
      <c r="A265" t="s">
        <v>4</v>
      </c>
      <c r="B265">
        <v>2028</v>
      </c>
      <c r="C265" t="s">
        <v>18</v>
      </c>
      <c r="D265">
        <v>7.5582684386625984E-3</v>
      </c>
      <c r="E265" t="s">
        <v>409</v>
      </c>
      <c r="F265">
        <f t="shared" si="5"/>
        <v>7.5582684386625987</v>
      </c>
      <c r="G265">
        <f>F265*Chartier_Poncelet!$D$34</f>
        <v>4.5239555742639546</v>
      </c>
    </row>
    <row r="266" spans="1:7" x14ac:dyDescent="0.25">
      <c r="A266" t="s">
        <v>4</v>
      </c>
      <c r="B266">
        <v>2029</v>
      </c>
      <c r="C266" t="s">
        <v>18</v>
      </c>
      <c r="D266">
        <v>1.0588294957512472E-2</v>
      </c>
      <c r="E266" t="s">
        <v>409</v>
      </c>
      <c r="F266">
        <f t="shared" si="5"/>
        <v>10.588294957512472</v>
      </c>
      <c r="G266">
        <f>F266*Chartier_Poncelet!$D$34</f>
        <v>6.3375595063497547</v>
      </c>
    </row>
    <row r="267" spans="1:7" x14ac:dyDescent="0.25">
      <c r="A267" t="s">
        <v>4</v>
      </c>
      <c r="B267">
        <v>2030</v>
      </c>
      <c r="C267" t="s">
        <v>18</v>
      </c>
      <c r="D267">
        <v>1.4833025714434896E-2</v>
      </c>
      <c r="E267" t="s">
        <v>409</v>
      </c>
      <c r="F267">
        <f t="shared" si="5"/>
        <v>14.833025714434896</v>
      </c>
      <c r="G267">
        <f>F267*Chartier_Poncelet!$D$34</f>
        <v>8.878217267431701</v>
      </c>
    </row>
    <row r="268" spans="1:7" x14ac:dyDescent="0.25">
      <c r="A268" t="s">
        <v>4</v>
      </c>
      <c r="B268">
        <v>2031</v>
      </c>
      <c r="C268" t="s">
        <v>18</v>
      </c>
      <c r="D268">
        <v>2.0779422251453437E-2</v>
      </c>
      <c r="E268" t="s">
        <v>409</v>
      </c>
      <c r="F268">
        <f t="shared" si="5"/>
        <v>20.779422251453436</v>
      </c>
      <c r="G268">
        <f>F268*Chartier_Poncelet!$D$34</f>
        <v>12.437396724835168</v>
      </c>
    </row>
    <row r="269" spans="1:7" x14ac:dyDescent="0.25">
      <c r="A269" t="s">
        <v>4</v>
      </c>
      <c r="B269">
        <v>2032</v>
      </c>
      <c r="C269" t="s">
        <v>18</v>
      </c>
      <c r="D269">
        <v>2.9109663626080227E-2</v>
      </c>
      <c r="E269" t="s">
        <v>409</v>
      </c>
      <c r="F269">
        <f t="shared" si="5"/>
        <v>29.109663626080227</v>
      </c>
      <c r="G269">
        <f>F269*Chartier_Poncelet!$D$34</f>
        <v>17.423412001685456</v>
      </c>
    </row>
    <row r="270" spans="1:7" x14ac:dyDescent="0.25">
      <c r="A270" t="s">
        <v>4</v>
      </c>
      <c r="B270">
        <v>2033</v>
      </c>
      <c r="C270" t="s">
        <v>18</v>
      </c>
      <c r="D270">
        <v>4.0779406961820995E-2</v>
      </c>
      <c r="E270" t="s">
        <v>409</v>
      </c>
      <c r="F270">
        <f t="shared" si="5"/>
        <v>40.779406961820996</v>
      </c>
      <c r="G270">
        <f>F270*Chartier_Poncelet!$D$34</f>
        <v>24.408265853118078</v>
      </c>
    </row>
    <row r="271" spans="1:7" x14ac:dyDescent="0.25">
      <c r="A271" t="s">
        <v>4</v>
      </c>
      <c r="B271">
        <v>2034</v>
      </c>
      <c r="C271" t="s">
        <v>18</v>
      </c>
      <c r="D271">
        <v>5.7127421790883162E-2</v>
      </c>
      <c r="E271" t="s">
        <v>409</v>
      </c>
      <c r="F271">
        <f t="shared" si="5"/>
        <v>57.127421790883162</v>
      </c>
      <c r="G271">
        <f>F271*Chartier_Poncelet!$D$34</f>
        <v>34.193270634870984</v>
      </c>
    </row>
    <row r="272" spans="1:7" x14ac:dyDescent="0.25">
      <c r="A272" t="s">
        <v>4</v>
      </c>
      <c r="B272">
        <v>2035</v>
      </c>
      <c r="C272" t="s">
        <v>18</v>
      </c>
      <c r="D272">
        <v>8.0029175596616847E-2</v>
      </c>
      <c r="E272" t="s">
        <v>409</v>
      </c>
      <c r="F272">
        <f t="shared" si="5"/>
        <v>80.029175596616852</v>
      </c>
      <c r="G272">
        <f>F272*Chartier_Poncelet!$D$34</f>
        <v>47.900975994989466</v>
      </c>
    </row>
    <row r="273" spans="1:7" x14ac:dyDescent="0.25">
      <c r="A273" t="s">
        <v>4</v>
      </c>
      <c r="B273">
        <v>2036</v>
      </c>
      <c r="C273" t="s">
        <v>18</v>
      </c>
      <c r="D273">
        <v>0.11211199010728401</v>
      </c>
      <c r="E273" t="s">
        <v>409</v>
      </c>
      <c r="F273">
        <f t="shared" si="5"/>
        <v>112.11199010728402</v>
      </c>
      <c r="G273">
        <f>F273*Chartier_Poncelet!$D$34</f>
        <v>67.10394936401832</v>
      </c>
    </row>
    <row r="274" spans="1:7" x14ac:dyDescent="0.25">
      <c r="A274" t="s">
        <v>4</v>
      </c>
      <c r="B274">
        <v>2037</v>
      </c>
      <c r="C274" t="s">
        <v>18</v>
      </c>
      <c r="D274">
        <v>0.15705645137680382</v>
      </c>
      <c r="E274" t="s">
        <v>409</v>
      </c>
      <c r="F274">
        <f t="shared" si="5"/>
        <v>157.05645137680384</v>
      </c>
      <c r="G274">
        <f>F274*Chartier_Poncelet!$D$34</f>
        <v>94.005183124447228</v>
      </c>
    </row>
    <row r="275" spans="1:7" x14ac:dyDescent="0.25">
      <c r="A275" t="s">
        <v>4</v>
      </c>
      <c r="B275">
        <v>2038</v>
      </c>
      <c r="C275" t="s">
        <v>18</v>
      </c>
      <c r="D275">
        <v>0.22001865184508684</v>
      </c>
      <c r="E275" t="s">
        <v>409</v>
      </c>
      <c r="F275">
        <f t="shared" si="5"/>
        <v>220.01865184508685</v>
      </c>
      <c r="G275">
        <f>F275*Chartier_Poncelet!$D$34</f>
        <v>131.69082502615433</v>
      </c>
    </row>
    <row r="276" spans="1:7" x14ac:dyDescent="0.25">
      <c r="A276" t="s">
        <v>4</v>
      </c>
      <c r="B276">
        <v>2039</v>
      </c>
      <c r="C276" t="s">
        <v>18</v>
      </c>
      <c r="D276">
        <v>0.30822170458690951</v>
      </c>
      <c r="E276" t="s">
        <v>409</v>
      </c>
      <c r="F276">
        <f t="shared" si="5"/>
        <v>308.22170458690948</v>
      </c>
      <c r="G276">
        <f>F276*Chartier_Poncelet!$D$34</f>
        <v>184.48422544010839</v>
      </c>
    </row>
    <row r="277" spans="1:7" x14ac:dyDescent="0.25">
      <c r="A277" t="s">
        <v>4</v>
      </c>
      <c r="B277">
        <v>2040</v>
      </c>
      <c r="C277" t="s">
        <v>18</v>
      </c>
      <c r="D277">
        <v>0.4317843891041982</v>
      </c>
      <c r="E277" t="s">
        <v>409</v>
      </c>
      <c r="F277">
        <f t="shared" si="5"/>
        <v>431.78438910419817</v>
      </c>
      <c r="G277">
        <f>F277*Chartier_Poncelet!$D$34</f>
        <v>258.44191825419398</v>
      </c>
    </row>
  </sheetData>
  <autoFilter ref="A1:E277" xr:uid="{E79801C6-946F-44A5-852A-EC387EAF87B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51101-5928-4164-B94F-51C2A84E0CB7}">
  <sheetPr filterMode="1"/>
  <dimension ref="A1:F1030"/>
  <sheetViews>
    <sheetView tabSelected="1" workbookViewId="0">
      <selection activeCell="E471" sqref="E471"/>
    </sheetView>
  </sheetViews>
  <sheetFormatPr baseColWidth="10" defaultColWidth="8.7265625" defaultRowHeight="12.5" x14ac:dyDescent="0.25"/>
  <cols>
    <col min="1" max="1" width="10.453125" bestFit="1" customWidth="1"/>
    <col min="2" max="2" width="40.6328125" bestFit="1" customWidth="1"/>
    <col min="3" max="3" width="19.26953125" bestFit="1" customWidth="1"/>
    <col min="4" max="4" width="18.6328125" customWidth="1"/>
    <col min="5" max="5" width="11.81640625" customWidth="1"/>
    <col min="6" max="6" width="13.1796875" bestFit="1" customWidth="1"/>
  </cols>
  <sheetData>
    <row r="1" spans="1:6" s="5" customFormat="1" ht="14" x14ac:dyDescent="0.3">
      <c r="A1" s="5" t="s">
        <v>21</v>
      </c>
      <c r="B1" s="5" t="s">
        <v>8</v>
      </c>
      <c r="C1" s="5" t="s">
        <v>9</v>
      </c>
      <c r="D1" s="5" t="s">
        <v>406</v>
      </c>
      <c r="E1" s="5" t="s">
        <v>407</v>
      </c>
      <c r="F1" s="5" t="s">
        <v>16</v>
      </c>
    </row>
    <row r="2" spans="1:6" hidden="1" x14ac:dyDescent="0.25">
      <c r="A2" t="s">
        <v>0</v>
      </c>
      <c r="B2" t="s">
        <v>408</v>
      </c>
      <c r="C2">
        <v>2018</v>
      </c>
      <c r="D2" t="s">
        <v>17</v>
      </c>
      <c r="E2">
        <v>4.1361000000000008</v>
      </c>
      <c r="F2" t="s">
        <v>409</v>
      </c>
    </row>
    <row r="3" spans="1:6" hidden="1" x14ac:dyDescent="0.25">
      <c r="A3" t="s">
        <v>0</v>
      </c>
      <c r="B3" t="s">
        <v>408</v>
      </c>
      <c r="C3">
        <v>2019</v>
      </c>
      <c r="D3" t="s">
        <v>17</v>
      </c>
      <c r="E3">
        <v>3.4330000000000003</v>
      </c>
      <c r="F3" t="s">
        <v>409</v>
      </c>
    </row>
    <row r="4" spans="1:6" hidden="1" x14ac:dyDescent="0.25">
      <c r="A4" t="s">
        <v>0</v>
      </c>
      <c r="B4" t="s">
        <v>408</v>
      </c>
      <c r="C4">
        <v>2020</v>
      </c>
      <c r="D4" t="s">
        <v>17</v>
      </c>
      <c r="E4">
        <v>3.2363240000000002</v>
      </c>
      <c r="F4" t="s">
        <v>409</v>
      </c>
    </row>
    <row r="5" spans="1:6" hidden="1" x14ac:dyDescent="0.25">
      <c r="A5" t="s">
        <v>0</v>
      </c>
      <c r="B5" t="s">
        <v>408</v>
      </c>
      <c r="C5">
        <v>2021</v>
      </c>
      <c r="D5" t="s">
        <v>17</v>
      </c>
      <c r="E5">
        <v>3.8086570000000002</v>
      </c>
      <c r="F5" t="s">
        <v>409</v>
      </c>
    </row>
    <row r="6" spans="1:6" hidden="1" x14ac:dyDescent="0.25">
      <c r="A6" t="s">
        <v>0</v>
      </c>
      <c r="B6" t="s">
        <v>408</v>
      </c>
      <c r="C6">
        <v>2022</v>
      </c>
      <c r="D6" t="s">
        <v>17</v>
      </c>
      <c r="E6">
        <v>2.536143</v>
      </c>
      <c r="F6" t="s">
        <v>409</v>
      </c>
    </row>
    <row r="7" spans="1:6" x14ac:dyDescent="0.25">
      <c r="A7" t="s">
        <v>0</v>
      </c>
      <c r="B7" t="s">
        <v>408</v>
      </c>
      <c r="C7">
        <v>2023</v>
      </c>
      <c r="D7" t="s">
        <v>17</v>
      </c>
      <c r="E7">
        <v>4.7960000000000003</v>
      </c>
      <c r="F7" t="s">
        <v>409</v>
      </c>
    </row>
    <row r="8" spans="1:6" hidden="1" x14ac:dyDescent="0.25">
      <c r="A8" t="s">
        <v>0</v>
      </c>
      <c r="B8" t="s">
        <v>408</v>
      </c>
      <c r="C8">
        <v>2024</v>
      </c>
      <c r="D8" t="s">
        <v>17</v>
      </c>
      <c r="E8">
        <v>3.3809999999999998</v>
      </c>
      <c r="F8" t="s">
        <v>409</v>
      </c>
    </row>
    <row r="9" spans="1:6" hidden="1" x14ac:dyDescent="0.25">
      <c r="A9" t="s">
        <v>0</v>
      </c>
      <c r="B9" t="s">
        <v>408</v>
      </c>
      <c r="C9">
        <v>2025</v>
      </c>
      <c r="D9" t="s">
        <v>17</v>
      </c>
      <c r="E9">
        <v>3.4940000000000002</v>
      </c>
      <c r="F9" t="s">
        <v>409</v>
      </c>
    </row>
    <row r="10" spans="1:6" hidden="1" x14ac:dyDescent="0.25">
      <c r="A10" t="s">
        <v>0</v>
      </c>
      <c r="B10" t="s">
        <v>408</v>
      </c>
      <c r="C10">
        <v>2026</v>
      </c>
      <c r="D10" t="s">
        <v>17</v>
      </c>
      <c r="E10">
        <v>3.4940000000000002</v>
      </c>
      <c r="F10" t="s">
        <v>409</v>
      </c>
    </row>
    <row r="11" spans="1:6" hidden="1" x14ac:dyDescent="0.25">
      <c r="A11" t="s">
        <v>0</v>
      </c>
      <c r="B11" t="s">
        <v>408</v>
      </c>
      <c r="C11">
        <v>2027</v>
      </c>
      <c r="D11" t="s">
        <v>17</v>
      </c>
      <c r="E11">
        <v>4.1760000000000002</v>
      </c>
      <c r="F11" t="s">
        <v>409</v>
      </c>
    </row>
    <row r="12" spans="1:6" hidden="1" x14ac:dyDescent="0.25">
      <c r="A12" t="s">
        <v>0</v>
      </c>
      <c r="B12" t="s">
        <v>408</v>
      </c>
      <c r="C12">
        <v>2028</v>
      </c>
      <c r="D12" t="s">
        <v>17</v>
      </c>
      <c r="E12">
        <v>4.1760000000000002</v>
      </c>
      <c r="F12" t="s">
        <v>409</v>
      </c>
    </row>
    <row r="13" spans="1:6" hidden="1" x14ac:dyDescent="0.25">
      <c r="A13" t="s">
        <v>0</v>
      </c>
      <c r="B13" t="s">
        <v>408</v>
      </c>
      <c r="C13">
        <v>2029</v>
      </c>
      <c r="D13" t="s">
        <v>17</v>
      </c>
      <c r="E13">
        <v>3.8610000000000002</v>
      </c>
      <c r="F13" t="s">
        <v>409</v>
      </c>
    </row>
    <row r="14" spans="1:6" hidden="1" x14ac:dyDescent="0.25">
      <c r="A14" t="s">
        <v>0</v>
      </c>
      <c r="B14" t="s">
        <v>408</v>
      </c>
      <c r="C14">
        <v>2030</v>
      </c>
      <c r="D14" t="s">
        <v>17</v>
      </c>
      <c r="E14">
        <v>3.8610000000000002</v>
      </c>
      <c r="F14" t="s">
        <v>409</v>
      </c>
    </row>
    <row r="15" spans="1:6" hidden="1" x14ac:dyDescent="0.25">
      <c r="A15" t="s">
        <v>0</v>
      </c>
      <c r="B15" t="s">
        <v>408</v>
      </c>
      <c r="C15">
        <v>2031</v>
      </c>
      <c r="D15" t="s">
        <v>17</v>
      </c>
      <c r="E15">
        <v>3.7069999999999999</v>
      </c>
      <c r="F15" t="s">
        <v>409</v>
      </c>
    </row>
    <row r="16" spans="1:6" hidden="1" x14ac:dyDescent="0.25">
      <c r="A16" t="s">
        <v>0</v>
      </c>
      <c r="B16" t="s">
        <v>408</v>
      </c>
      <c r="C16">
        <v>2032</v>
      </c>
      <c r="D16" t="s">
        <v>17</v>
      </c>
      <c r="E16">
        <v>3.3919999999999999</v>
      </c>
      <c r="F16" t="s">
        <v>409</v>
      </c>
    </row>
    <row r="17" spans="1:6" hidden="1" x14ac:dyDescent="0.25">
      <c r="A17" t="s">
        <v>0</v>
      </c>
      <c r="B17" t="s">
        <v>408</v>
      </c>
      <c r="C17">
        <v>2033</v>
      </c>
      <c r="D17" t="s">
        <v>17</v>
      </c>
      <c r="E17">
        <v>3.0790000000000002</v>
      </c>
      <c r="F17" t="s">
        <v>409</v>
      </c>
    </row>
    <row r="18" spans="1:6" hidden="1" x14ac:dyDescent="0.25">
      <c r="A18" t="s">
        <v>0</v>
      </c>
      <c r="B18" t="s">
        <v>408</v>
      </c>
      <c r="C18">
        <v>2034</v>
      </c>
      <c r="D18" t="s">
        <v>17</v>
      </c>
      <c r="E18">
        <v>3.0790000000000002</v>
      </c>
      <c r="F18" t="s">
        <v>409</v>
      </c>
    </row>
    <row r="19" spans="1:6" hidden="1" x14ac:dyDescent="0.25">
      <c r="A19" t="s">
        <v>0</v>
      </c>
      <c r="B19" t="s">
        <v>408</v>
      </c>
      <c r="C19">
        <v>2035</v>
      </c>
      <c r="D19" t="s">
        <v>17</v>
      </c>
      <c r="E19">
        <v>3.0790000000000002</v>
      </c>
      <c r="F19" t="s">
        <v>409</v>
      </c>
    </row>
    <row r="20" spans="1:6" hidden="1" x14ac:dyDescent="0.25">
      <c r="A20" t="s">
        <v>0</v>
      </c>
      <c r="B20" t="s">
        <v>408</v>
      </c>
      <c r="C20">
        <v>2036</v>
      </c>
      <c r="D20" t="s">
        <v>17</v>
      </c>
      <c r="E20">
        <v>2.8370000000000002</v>
      </c>
      <c r="F20" t="s">
        <v>409</v>
      </c>
    </row>
    <row r="21" spans="1:6" hidden="1" x14ac:dyDescent="0.25">
      <c r="A21" t="s">
        <v>0</v>
      </c>
      <c r="B21" t="s">
        <v>408</v>
      </c>
      <c r="C21">
        <v>2037</v>
      </c>
      <c r="D21" t="s">
        <v>17</v>
      </c>
      <c r="E21">
        <v>0.94699999999999995</v>
      </c>
      <c r="F21" t="s">
        <v>409</v>
      </c>
    </row>
    <row r="22" spans="1:6" hidden="1" x14ac:dyDescent="0.25">
      <c r="A22" t="s">
        <v>0</v>
      </c>
      <c r="B22" t="s">
        <v>408</v>
      </c>
      <c r="C22">
        <v>2038</v>
      </c>
      <c r="D22" t="s">
        <v>17</v>
      </c>
      <c r="E22">
        <v>0.26100000000000001</v>
      </c>
      <c r="F22" t="s">
        <v>409</v>
      </c>
    </row>
    <row r="23" spans="1:6" hidden="1" x14ac:dyDescent="0.25">
      <c r="A23" t="s">
        <v>0</v>
      </c>
      <c r="B23" t="s">
        <v>408</v>
      </c>
      <c r="C23">
        <v>2039</v>
      </c>
      <c r="D23" t="s">
        <v>17</v>
      </c>
      <c r="E23">
        <v>0.26100000000000001</v>
      </c>
      <c r="F23" t="s">
        <v>409</v>
      </c>
    </row>
    <row r="24" spans="1:6" hidden="1" x14ac:dyDescent="0.25">
      <c r="A24" t="s">
        <v>0</v>
      </c>
      <c r="B24" t="s">
        <v>408</v>
      </c>
      <c r="C24">
        <v>2040</v>
      </c>
      <c r="D24" t="s">
        <v>17</v>
      </c>
      <c r="E24">
        <v>0.26100000000000001</v>
      </c>
      <c r="F24" t="s">
        <v>409</v>
      </c>
    </row>
    <row r="25" spans="1:6" hidden="1" x14ac:dyDescent="0.25">
      <c r="A25" t="s">
        <v>0</v>
      </c>
      <c r="B25" t="s">
        <v>408</v>
      </c>
      <c r="C25">
        <v>2018</v>
      </c>
      <c r="D25" t="s">
        <v>18</v>
      </c>
      <c r="E25">
        <v>4.1361000000000008</v>
      </c>
      <c r="F25" t="s">
        <v>409</v>
      </c>
    </row>
    <row r="26" spans="1:6" hidden="1" x14ac:dyDescent="0.25">
      <c r="A26" t="s">
        <v>0</v>
      </c>
      <c r="B26" t="s">
        <v>408</v>
      </c>
      <c r="C26">
        <v>2019</v>
      </c>
      <c r="D26" t="s">
        <v>18</v>
      </c>
      <c r="E26">
        <v>3.4330000000000003</v>
      </c>
      <c r="F26" t="s">
        <v>409</v>
      </c>
    </row>
    <row r="27" spans="1:6" hidden="1" x14ac:dyDescent="0.25">
      <c r="A27" t="s">
        <v>0</v>
      </c>
      <c r="B27" t="s">
        <v>408</v>
      </c>
      <c r="C27">
        <v>2020</v>
      </c>
      <c r="D27" t="s">
        <v>18</v>
      </c>
      <c r="E27">
        <v>3.2363240000000002</v>
      </c>
      <c r="F27" t="s">
        <v>409</v>
      </c>
    </row>
    <row r="28" spans="1:6" hidden="1" x14ac:dyDescent="0.25">
      <c r="A28" t="s">
        <v>0</v>
      </c>
      <c r="B28" t="s">
        <v>408</v>
      </c>
      <c r="C28">
        <v>2021</v>
      </c>
      <c r="D28" t="s">
        <v>18</v>
      </c>
      <c r="E28">
        <v>3.8086570000000002</v>
      </c>
      <c r="F28" t="s">
        <v>409</v>
      </c>
    </row>
    <row r="29" spans="1:6" hidden="1" x14ac:dyDescent="0.25">
      <c r="A29" t="s">
        <v>0</v>
      </c>
      <c r="B29" t="s">
        <v>408</v>
      </c>
      <c r="C29">
        <v>2022</v>
      </c>
      <c r="D29" t="s">
        <v>18</v>
      </c>
      <c r="E29">
        <v>2.536143</v>
      </c>
      <c r="F29" t="s">
        <v>409</v>
      </c>
    </row>
    <row r="30" spans="1:6" x14ac:dyDescent="0.25">
      <c r="A30" t="s">
        <v>0</v>
      </c>
      <c r="B30" t="s">
        <v>408</v>
      </c>
      <c r="C30">
        <v>2023</v>
      </c>
      <c r="D30" t="s">
        <v>18</v>
      </c>
      <c r="E30">
        <v>4.7960000000000003</v>
      </c>
      <c r="F30" t="s">
        <v>409</v>
      </c>
    </row>
    <row r="31" spans="1:6" hidden="1" x14ac:dyDescent="0.25">
      <c r="A31" t="s">
        <v>0</v>
      </c>
      <c r="B31" t="s">
        <v>408</v>
      </c>
      <c r="C31">
        <v>2024</v>
      </c>
      <c r="D31" t="s">
        <v>18</v>
      </c>
      <c r="E31">
        <v>3.3809999999999998</v>
      </c>
      <c r="F31" t="s">
        <v>409</v>
      </c>
    </row>
    <row r="32" spans="1:6" hidden="1" x14ac:dyDescent="0.25">
      <c r="A32" t="s">
        <v>0</v>
      </c>
      <c r="B32" t="s">
        <v>408</v>
      </c>
      <c r="C32">
        <v>2025</v>
      </c>
      <c r="D32" t="s">
        <v>18</v>
      </c>
      <c r="E32">
        <v>3.8504060559825399</v>
      </c>
      <c r="F32" t="s">
        <v>409</v>
      </c>
    </row>
    <row r="33" spans="1:6" hidden="1" x14ac:dyDescent="0.25">
      <c r="A33" t="s">
        <v>0</v>
      </c>
      <c r="B33" t="s">
        <v>408</v>
      </c>
      <c r="C33">
        <v>2026</v>
      </c>
      <c r="D33" t="s">
        <v>18</v>
      </c>
      <c r="E33">
        <v>4.4939999999999998</v>
      </c>
      <c r="F33" t="s">
        <v>409</v>
      </c>
    </row>
    <row r="34" spans="1:6" hidden="1" x14ac:dyDescent="0.25">
      <c r="A34" t="s">
        <v>0</v>
      </c>
      <c r="B34" t="s">
        <v>408</v>
      </c>
      <c r="C34">
        <v>2027</v>
      </c>
      <c r="D34" t="s">
        <v>18</v>
      </c>
      <c r="E34">
        <v>5.3070000000000004</v>
      </c>
      <c r="F34" t="s">
        <v>409</v>
      </c>
    </row>
    <row r="35" spans="1:6" hidden="1" x14ac:dyDescent="0.25">
      <c r="A35" t="s">
        <v>0</v>
      </c>
      <c r="B35" t="s">
        <v>408</v>
      </c>
      <c r="C35">
        <v>2028</v>
      </c>
      <c r="D35" t="s">
        <v>18</v>
      </c>
      <c r="E35">
        <v>7.25</v>
      </c>
      <c r="F35" t="s">
        <v>409</v>
      </c>
    </row>
    <row r="36" spans="1:6" hidden="1" x14ac:dyDescent="0.25">
      <c r="A36" t="s">
        <v>0</v>
      </c>
      <c r="B36" t="s">
        <v>408</v>
      </c>
      <c r="C36">
        <v>2029</v>
      </c>
      <c r="D36" t="s">
        <v>18</v>
      </c>
      <c r="E36">
        <v>6.7191794773198641</v>
      </c>
      <c r="F36" t="s">
        <v>409</v>
      </c>
    </row>
    <row r="37" spans="1:6" hidden="1" x14ac:dyDescent="0.25">
      <c r="A37" t="s">
        <v>0</v>
      </c>
      <c r="B37" t="s">
        <v>408</v>
      </c>
      <c r="C37">
        <v>2030</v>
      </c>
      <c r="D37" t="s">
        <v>18</v>
      </c>
      <c r="E37">
        <v>7.7226911967684702</v>
      </c>
      <c r="F37" t="s">
        <v>409</v>
      </c>
    </row>
    <row r="38" spans="1:6" hidden="1" x14ac:dyDescent="0.25">
      <c r="A38" t="s">
        <v>0</v>
      </c>
      <c r="B38" t="s">
        <v>408</v>
      </c>
      <c r="C38">
        <v>2031</v>
      </c>
      <c r="D38" t="s">
        <v>18</v>
      </c>
      <c r="E38">
        <v>8.8760777297221907</v>
      </c>
      <c r="F38" t="s">
        <v>409</v>
      </c>
    </row>
    <row r="39" spans="1:6" hidden="1" x14ac:dyDescent="0.25">
      <c r="A39" t="s">
        <v>0</v>
      </c>
      <c r="B39" t="s">
        <v>408</v>
      </c>
      <c r="C39">
        <v>2032</v>
      </c>
      <c r="D39" t="s">
        <v>18</v>
      </c>
      <c r="E39">
        <v>10.201722930089112</v>
      </c>
      <c r="F39" t="s">
        <v>409</v>
      </c>
    </row>
    <row r="40" spans="1:6" hidden="1" x14ac:dyDescent="0.25">
      <c r="A40" t="s">
        <v>0</v>
      </c>
      <c r="B40" t="s">
        <v>408</v>
      </c>
      <c r="C40">
        <v>2033</v>
      </c>
      <c r="D40" t="s">
        <v>18</v>
      </c>
      <c r="E40">
        <v>11.725353687902352</v>
      </c>
      <c r="F40" t="s">
        <v>409</v>
      </c>
    </row>
    <row r="41" spans="1:6" hidden="1" x14ac:dyDescent="0.25">
      <c r="A41" t="s">
        <v>0</v>
      </c>
      <c r="B41" t="s">
        <v>408</v>
      </c>
      <c r="C41">
        <v>2034</v>
      </c>
      <c r="D41" t="s">
        <v>18</v>
      </c>
      <c r="E41">
        <v>13.476539212891987</v>
      </c>
      <c r="F41" t="s">
        <v>409</v>
      </c>
    </row>
    <row r="42" spans="1:6" hidden="1" x14ac:dyDescent="0.25">
      <c r="A42" t="s">
        <v>0</v>
      </c>
      <c r="B42" t="s">
        <v>408</v>
      </c>
      <c r="C42">
        <v>2035</v>
      </c>
      <c r="D42" t="s">
        <v>18</v>
      </c>
      <c r="E42">
        <v>15.489264886226762</v>
      </c>
      <c r="F42" t="s">
        <v>409</v>
      </c>
    </row>
    <row r="43" spans="1:6" hidden="1" x14ac:dyDescent="0.25">
      <c r="A43" t="s">
        <v>0</v>
      </c>
      <c r="B43" t="s">
        <v>408</v>
      </c>
      <c r="C43">
        <v>2036</v>
      </c>
      <c r="D43" t="s">
        <v>18</v>
      </c>
      <c r="E43">
        <v>17.802591817206793</v>
      </c>
      <c r="F43" t="s">
        <v>409</v>
      </c>
    </row>
    <row r="44" spans="1:6" hidden="1" x14ac:dyDescent="0.25">
      <c r="A44" t="s">
        <v>0</v>
      </c>
      <c r="B44" t="s">
        <v>408</v>
      </c>
      <c r="C44">
        <v>2037</v>
      </c>
      <c r="D44" t="s">
        <v>18</v>
      </c>
      <c r="E44">
        <v>20.461414904970614</v>
      </c>
      <c r="F44" t="s">
        <v>409</v>
      </c>
    </row>
    <row r="45" spans="1:6" hidden="1" x14ac:dyDescent="0.25">
      <c r="A45" t="s">
        <v>0</v>
      </c>
      <c r="B45" t="s">
        <v>408</v>
      </c>
      <c r="C45">
        <v>2038</v>
      </c>
      <c r="D45" t="s">
        <v>18</v>
      </c>
      <c r="E45">
        <v>23.517334116973664</v>
      </c>
      <c r="F45" t="s">
        <v>409</v>
      </c>
    </row>
    <row r="46" spans="1:6" hidden="1" x14ac:dyDescent="0.25">
      <c r="A46" t="s">
        <v>0</v>
      </c>
      <c r="B46" t="s">
        <v>408</v>
      </c>
      <c r="C46">
        <v>2039</v>
      </c>
      <c r="D46" t="s">
        <v>18</v>
      </c>
      <c r="E46">
        <v>27.029655893201195</v>
      </c>
      <c r="F46" t="s">
        <v>409</v>
      </c>
    </row>
    <row r="47" spans="1:6" hidden="1" x14ac:dyDescent="0.25">
      <c r="A47" t="s">
        <v>0</v>
      </c>
      <c r="B47" t="s">
        <v>408</v>
      </c>
      <c r="C47">
        <v>2040</v>
      </c>
      <c r="D47" t="s">
        <v>18</v>
      </c>
      <c r="E47">
        <v>31.066544110437789</v>
      </c>
      <c r="F47" t="s">
        <v>409</v>
      </c>
    </row>
    <row r="48" spans="1:6" hidden="1" x14ac:dyDescent="0.25">
      <c r="A48" t="s">
        <v>0</v>
      </c>
      <c r="B48" t="s">
        <v>408</v>
      </c>
      <c r="C48" t="s">
        <v>410</v>
      </c>
      <c r="D48" t="s">
        <v>13</v>
      </c>
      <c r="E48">
        <v>6.7153846153846155</v>
      </c>
      <c r="F48" t="s">
        <v>409</v>
      </c>
    </row>
    <row r="49" spans="1:6" hidden="1" x14ac:dyDescent="0.25">
      <c r="A49" t="s">
        <v>0</v>
      </c>
      <c r="B49" t="s">
        <v>408</v>
      </c>
      <c r="C49" t="s">
        <v>410</v>
      </c>
      <c r="D49" t="s">
        <v>411</v>
      </c>
      <c r="E49">
        <v>9</v>
      </c>
      <c r="F49" t="s">
        <v>409</v>
      </c>
    </row>
    <row r="50" spans="1:6" hidden="1" x14ac:dyDescent="0.25">
      <c r="A50" t="s">
        <v>0</v>
      </c>
      <c r="B50" t="s">
        <v>408</v>
      </c>
      <c r="C50" t="s">
        <v>410</v>
      </c>
      <c r="D50" t="s">
        <v>412</v>
      </c>
      <c r="E50">
        <v>80.999999999999986</v>
      </c>
      <c r="F50" t="s">
        <v>409</v>
      </c>
    </row>
    <row r="51" spans="1:6" hidden="1" x14ac:dyDescent="0.25">
      <c r="A51" t="s">
        <v>0</v>
      </c>
      <c r="B51" t="s">
        <v>413</v>
      </c>
      <c r="C51">
        <v>2018</v>
      </c>
      <c r="D51" t="s">
        <v>17</v>
      </c>
      <c r="E51">
        <v>4.1361000000000008</v>
      </c>
      <c r="F51" t="s">
        <v>409</v>
      </c>
    </row>
    <row r="52" spans="1:6" hidden="1" x14ac:dyDescent="0.25">
      <c r="A52" t="s">
        <v>0</v>
      </c>
      <c r="B52" t="s">
        <v>413</v>
      </c>
      <c r="C52">
        <v>2019</v>
      </c>
      <c r="D52" t="s">
        <v>17</v>
      </c>
      <c r="E52">
        <v>3.4330000000000003</v>
      </c>
      <c r="F52" t="s">
        <v>409</v>
      </c>
    </row>
    <row r="53" spans="1:6" hidden="1" x14ac:dyDescent="0.25">
      <c r="A53" t="s">
        <v>0</v>
      </c>
      <c r="B53" t="s">
        <v>413</v>
      </c>
      <c r="C53">
        <v>2020</v>
      </c>
      <c r="D53" t="s">
        <v>17</v>
      </c>
      <c r="E53">
        <v>3.2363240000000002</v>
      </c>
      <c r="F53" t="s">
        <v>409</v>
      </c>
    </row>
    <row r="54" spans="1:6" hidden="1" x14ac:dyDescent="0.25">
      <c r="A54" t="s">
        <v>0</v>
      </c>
      <c r="B54" t="s">
        <v>413</v>
      </c>
      <c r="C54">
        <v>2021</v>
      </c>
      <c r="D54" t="s">
        <v>17</v>
      </c>
      <c r="E54">
        <v>3.8086570000000002</v>
      </c>
      <c r="F54" t="s">
        <v>409</v>
      </c>
    </row>
    <row r="55" spans="1:6" hidden="1" x14ac:dyDescent="0.25">
      <c r="A55" t="s">
        <v>0</v>
      </c>
      <c r="B55" t="s">
        <v>413</v>
      </c>
      <c r="C55">
        <v>2022</v>
      </c>
      <c r="D55" t="s">
        <v>17</v>
      </c>
      <c r="E55">
        <v>2.536143</v>
      </c>
      <c r="F55" t="s">
        <v>409</v>
      </c>
    </row>
    <row r="56" spans="1:6" hidden="1" x14ac:dyDescent="0.25">
      <c r="A56" t="s">
        <v>0</v>
      </c>
      <c r="B56" t="s">
        <v>413</v>
      </c>
      <c r="C56">
        <v>2023</v>
      </c>
      <c r="D56" t="s">
        <v>17</v>
      </c>
      <c r="E56">
        <v>4.7960000000000003</v>
      </c>
      <c r="F56" t="s">
        <v>409</v>
      </c>
    </row>
    <row r="57" spans="1:6" hidden="1" x14ac:dyDescent="0.25">
      <c r="A57" t="s">
        <v>0</v>
      </c>
      <c r="B57" t="s">
        <v>413</v>
      </c>
      <c r="C57">
        <v>2024</v>
      </c>
      <c r="D57" t="s">
        <v>17</v>
      </c>
      <c r="E57">
        <v>3.3809999999999998</v>
      </c>
      <c r="F57" t="s">
        <v>409</v>
      </c>
    </row>
    <row r="58" spans="1:6" hidden="1" x14ac:dyDescent="0.25">
      <c r="A58" t="s">
        <v>0</v>
      </c>
      <c r="B58" t="s">
        <v>413</v>
      </c>
      <c r="C58">
        <v>2025</v>
      </c>
      <c r="D58" t="s">
        <v>17</v>
      </c>
      <c r="E58">
        <v>3.4940000000000002</v>
      </c>
      <c r="F58" t="s">
        <v>409</v>
      </c>
    </row>
    <row r="59" spans="1:6" hidden="1" x14ac:dyDescent="0.25">
      <c r="A59" t="s">
        <v>0</v>
      </c>
      <c r="B59" t="s">
        <v>413</v>
      </c>
      <c r="C59">
        <v>2026</v>
      </c>
      <c r="D59" t="s">
        <v>17</v>
      </c>
      <c r="E59">
        <v>3.4940000000000002</v>
      </c>
      <c r="F59" t="s">
        <v>409</v>
      </c>
    </row>
    <row r="60" spans="1:6" hidden="1" x14ac:dyDescent="0.25">
      <c r="A60" t="s">
        <v>0</v>
      </c>
      <c r="B60" t="s">
        <v>413</v>
      </c>
      <c r="C60">
        <v>2027</v>
      </c>
      <c r="D60" t="s">
        <v>17</v>
      </c>
      <c r="E60">
        <v>4.1760000000000002</v>
      </c>
      <c r="F60" t="s">
        <v>409</v>
      </c>
    </row>
    <row r="61" spans="1:6" hidden="1" x14ac:dyDescent="0.25">
      <c r="A61" t="s">
        <v>0</v>
      </c>
      <c r="B61" t="s">
        <v>413</v>
      </c>
      <c r="C61">
        <v>2028</v>
      </c>
      <c r="D61" t="s">
        <v>17</v>
      </c>
      <c r="E61">
        <v>4.1760000000000002</v>
      </c>
      <c r="F61" t="s">
        <v>409</v>
      </c>
    </row>
    <row r="62" spans="1:6" hidden="1" x14ac:dyDescent="0.25">
      <c r="A62" t="s">
        <v>0</v>
      </c>
      <c r="B62" t="s">
        <v>413</v>
      </c>
      <c r="C62">
        <v>2029</v>
      </c>
      <c r="D62" t="s">
        <v>17</v>
      </c>
      <c r="E62">
        <v>3.8610000000000002</v>
      </c>
      <c r="F62" t="s">
        <v>409</v>
      </c>
    </row>
    <row r="63" spans="1:6" hidden="1" x14ac:dyDescent="0.25">
      <c r="A63" t="s">
        <v>0</v>
      </c>
      <c r="B63" t="s">
        <v>413</v>
      </c>
      <c r="C63">
        <v>2030</v>
      </c>
      <c r="D63" t="s">
        <v>17</v>
      </c>
      <c r="E63">
        <v>3.8610000000000002</v>
      </c>
      <c r="F63" t="s">
        <v>409</v>
      </c>
    </row>
    <row r="64" spans="1:6" hidden="1" x14ac:dyDescent="0.25">
      <c r="A64" t="s">
        <v>0</v>
      </c>
      <c r="B64" t="s">
        <v>413</v>
      </c>
      <c r="C64">
        <v>2031</v>
      </c>
      <c r="D64" t="s">
        <v>17</v>
      </c>
      <c r="E64">
        <v>3.7069999999999999</v>
      </c>
      <c r="F64" t="s">
        <v>409</v>
      </c>
    </row>
    <row r="65" spans="1:6" hidden="1" x14ac:dyDescent="0.25">
      <c r="A65" t="s">
        <v>0</v>
      </c>
      <c r="B65" t="s">
        <v>413</v>
      </c>
      <c r="C65">
        <v>2032</v>
      </c>
      <c r="D65" t="s">
        <v>17</v>
      </c>
      <c r="E65">
        <v>3.3919999999999999</v>
      </c>
      <c r="F65" t="s">
        <v>409</v>
      </c>
    </row>
    <row r="66" spans="1:6" hidden="1" x14ac:dyDescent="0.25">
      <c r="A66" t="s">
        <v>0</v>
      </c>
      <c r="B66" t="s">
        <v>413</v>
      </c>
      <c r="C66">
        <v>2033</v>
      </c>
      <c r="D66" t="s">
        <v>17</v>
      </c>
      <c r="E66">
        <v>3.0790000000000002</v>
      </c>
      <c r="F66" t="s">
        <v>409</v>
      </c>
    </row>
    <row r="67" spans="1:6" hidden="1" x14ac:dyDescent="0.25">
      <c r="A67" t="s">
        <v>0</v>
      </c>
      <c r="B67" t="s">
        <v>413</v>
      </c>
      <c r="C67">
        <v>2034</v>
      </c>
      <c r="D67" t="s">
        <v>17</v>
      </c>
      <c r="E67">
        <v>3.0790000000000002</v>
      </c>
      <c r="F67" t="s">
        <v>409</v>
      </c>
    </row>
    <row r="68" spans="1:6" hidden="1" x14ac:dyDescent="0.25">
      <c r="A68" t="s">
        <v>0</v>
      </c>
      <c r="B68" t="s">
        <v>413</v>
      </c>
      <c r="C68">
        <v>2035</v>
      </c>
      <c r="D68" t="s">
        <v>17</v>
      </c>
      <c r="E68">
        <v>3.0790000000000002</v>
      </c>
      <c r="F68" t="s">
        <v>409</v>
      </c>
    </row>
    <row r="69" spans="1:6" hidden="1" x14ac:dyDescent="0.25">
      <c r="A69" t="s">
        <v>0</v>
      </c>
      <c r="B69" t="s">
        <v>413</v>
      </c>
      <c r="C69">
        <v>2036</v>
      </c>
      <c r="D69" t="s">
        <v>17</v>
      </c>
      <c r="E69">
        <v>2.8370000000000002</v>
      </c>
      <c r="F69" t="s">
        <v>409</v>
      </c>
    </row>
    <row r="70" spans="1:6" hidden="1" x14ac:dyDescent="0.25">
      <c r="A70" t="s">
        <v>0</v>
      </c>
      <c r="B70" t="s">
        <v>413</v>
      </c>
      <c r="C70">
        <v>2037</v>
      </c>
      <c r="D70" t="s">
        <v>17</v>
      </c>
      <c r="E70">
        <v>0.94699999999999995</v>
      </c>
      <c r="F70" t="s">
        <v>409</v>
      </c>
    </row>
    <row r="71" spans="1:6" hidden="1" x14ac:dyDescent="0.25">
      <c r="A71" t="s">
        <v>0</v>
      </c>
      <c r="B71" t="s">
        <v>413</v>
      </c>
      <c r="C71">
        <v>2038</v>
      </c>
      <c r="D71" t="s">
        <v>17</v>
      </c>
      <c r="E71">
        <v>0.26100000000000001</v>
      </c>
      <c r="F71" t="s">
        <v>409</v>
      </c>
    </row>
    <row r="72" spans="1:6" hidden="1" x14ac:dyDescent="0.25">
      <c r="A72" t="s">
        <v>0</v>
      </c>
      <c r="B72" t="s">
        <v>413</v>
      </c>
      <c r="C72">
        <v>2039</v>
      </c>
      <c r="D72" t="s">
        <v>17</v>
      </c>
      <c r="E72">
        <v>0.26100000000000001</v>
      </c>
      <c r="F72" t="s">
        <v>409</v>
      </c>
    </row>
    <row r="73" spans="1:6" hidden="1" x14ac:dyDescent="0.25">
      <c r="A73" t="s">
        <v>0</v>
      </c>
      <c r="B73" t="s">
        <v>413</v>
      </c>
      <c r="C73">
        <v>2040</v>
      </c>
      <c r="D73" t="s">
        <v>17</v>
      </c>
      <c r="E73">
        <v>0.26100000000000001</v>
      </c>
      <c r="F73" t="s">
        <v>409</v>
      </c>
    </row>
    <row r="74" spans="1:6" hidden="1" x14ac:dyDescent="0.25">
      <c r="A74" t="s">
        <v>0</v>
      </c>
      <c r="B74" t="s">
        <v>413</v>
      </c>
      <c r="C74">
        <v>2018</v>
      </c>
      <c r="D74" t="s">
        <v>18</v>
      </c>
      <c r="E74">
        <v>4.1361000000000008</v>
      </c>
      <c r="F74" t="s">
        <v>409</v>
      </c>
    </row>
    <row r="75" spans="1:6" hidden="1" x14ac:dyDescent="0.25">
      <c r="A75" t="s">
        <v>0</v>
      </c>
      <c r="B75" t="s">
        <v>413</v>
      </c>
      <c r="C75">
        <v>2019</v>
      </c>
      <c r="D75" t="s">
        <v>18</v>
      </c>
      <c r="E75">
        <v>3.4330000000000003</v>
      </c>
      <c r="F75" t="s">
        <v>409</v>
      </c>
    </row>
    <row r="76" spans="1:6" hidden="1" x14ac:dyDescent="0.25">
      <c r="A76" t="s">
        <v>0</v>
      </c>
      <c r="B76" t="s">
        <v>413</v>
      </c>
      <c r="C76">
        <v>2020</v>
      </c>
      <c r="D76" t="s">
        <v>18</v>
      </c>
      <c r="E76">
        <v>3.2363240000000002</v>
      </c>
      <c r="F76" t="s">
        <v>409</v>
      </c>
    </row>
    <row r="77" spans="1:6" hidden="1" x14ac:dyDescent="0.25">
      <c r="A77" t="s">
        <v>0</v>
      </c>
      <c r="B77" t="s">
        <v>413</v>
      </c>
      <c r="C77">
        <v>2021</v>
      </c>
      <c r="D77" t="s">
        <v>18</v>
      </c>
      <c r="E77">
        <v>3.8086570000000002</v>
      </c>
      <c r="F77" t="s">
        <v>409</v>
      </c>
    </row>
    <row r="78" spans="1:6" hidden="1" x14ac:dyDescent="0.25">
      <c r="A78" t="s">
        <v>0</v>
      </c>
      <c r="B78" t="s">
        <v>413</v>
      </c>
      <c r="C78">
        <v>2022</v>
      </c>
      <c r="D78" t="s">
        <v>18</v>
      </c>
      <c r="E78">
        <v>2.536143</v>
      </c>
      <c r="F78" t="s">
        <v>409</v>
      </c>
    </row>
    <row r="79" spans="1:6" hidden="1" x14ac:dyDescent="0.25">
      <c r="A79" t="s">
        <v>0</v>
      </c>
      <c r="B79" t="s">
        <v>413</v>
      </c>
      <c r="C79">
        <v>2023</v>
      </c>
      <c r="D79" t="s">
        <v>18</v>
      </c>
      <c r="E79">
        <v>4.7960000000000003</v>
      </c>
      <c r="F79" t="s">
        <v>409</v>
      </c>
    </row>
    <row r="80" spans="1:6" hidden="1" x14ac:dyDescent="0.25">
      <c r="A80" t="s">
        <v>0</v>
      </c>
      <c r="B80" t="s">
        <v>413</v>
      </c>
      <c r="C80">
        <v>2024</v>
      </c>
      <c r="D80" t="s">
        <v>18</v>
      </c>
      <c r="E80">
        <v>3.3809999999999998</v>
      </c>
      <c r="F80" t="s">
        <v>409</v>
      </c>
    </row>
    <row r="81" spans="1:6" hidden="1" x14ac:dyDescent="0.25">
      <c r="A81" t="s">
        <v>0</v>
      </c>
      <c r="B81" t="s">
        <v>413</v>
      </c>
      <c r="C81">
        <v>2025</v>
      </c>
      <c r="D81" t="s">
        <v>18</v>
      </c>
      <c r="E81">
        <v>3.8504060559825399</v>
      </c>
      <c r="F81" t="s">
        <v>409</v>
      </c>
    </row>
    <row r="82" spans="1:6" hidden="1" x14ac:dyDescent="0.25">
      <c r="A82" t="s">
        <v>0</v>
      </c>
      <c r="B82" t="s">
        <v>413</v>
      </c>
      <c r="C82">
        <v>2026</v>
      </c>
      <c r="D82" t="s">
        <v>18</v>
      </c>
      <c r="E82">
        <v>4.4939999999999998</v>
      </c>
      <c r="F82" t="s">
        <v>409</v>
      </c>
    </row>
    <row r="83" spans="1:6" hidden="1" x14ac:dyDescent="0.25">
      <c r="A83" t="s">
        <v>0</v>
      </c>
      <c r="B83" t="s">
        <v>413</v>
      </c>
      <c r="C83">
        <v>2027</v>
      </c>
      <c r="D83" t="s">
        <v>18</v>
      </c>
      <c r="E83">
        <v>5.3070000000000004</v>
      </c>
      <c r="F83" t="s">
        <v>409</v>
      </c>
    </row>
    <row r="84" spans="1:6" hidden="1" x14ac:dyDescent="0.25">
      <c r="A84" t="s">
        <v>0</v>
      </c>
      <c r="B84" t="s">
        <v>413</v>
      </c>
      <c r="C84">
        <v>2028</v>
      </c>
      <c r="D84" t="s">
        <v>18</v>
      </c>
      <c r="E84">
        <v>7.25</v>
      </c>
      <c r="F84" t="s">
        <v>409</v>
      </c>
    </row>
    <row r="85" spans="1:6" hidden="1" x14ac:dyDescent="0.25">
      <c r="A85" t="s">
        <v>0</v>
      </c>
      <c r="B85" t="s">
        <v>413</v>
      </c>
      <c r="C85">
        <v>2029</v>
      </c>
      <c r="D85" t="s">
        <v>18</v>
      </c>
      <c r="E85">
        <v>6.7191794773198641</v>
      </c>
      <c r="F85" t="s">
        <v>409</v>
      </c>
    </row>
    <row r="86" spans="1:6" hidden="1" x14ac:dyDescent="0.25">
      <c r="A86" t="s">
        <v>0</v>
      </c>
      <c r="B86" t="s">
        <v>413</v>
      </c>
      <c r="C86">
        <v>2030</v>
      </c>
      <c r="D86" t="s">
        <v>18</v>
      </c>
      <c r="E86">
        <v>7.7226911967684702</v>
      </c>
      <c r="F86" t="s">
        <v>409</v>
      </c>
    </row>
    <row r="87" spans="1:6" hidden="1" x14ac:dyDescent="0.25">
      <c r="A87" t="s">
        <v>0</v>
      </c>
      <c r="B87" t="s">
        <v>413</v>
      </c>
      <c r="C87">
        <v>2031</v>
      </c>
      <c r="D87" t="s">
        <v>18</v>
      </c>
      <c r="E87">
        <v>8.8760777297221907</v>
      </c>
      <c r="F87" t="s">
        <v>409</v>
      </c>
    </row>
    <row r="88" spans="1:6" hidden="1" x14ac:dyDescent="0.25">
      <c r="A88" t="s">
        <v>0</v>
      </c>
      <c r="B88" t="s">
        <v>413</v>
      </c>
      <c r="C88">
        <v>2032</v>
      </c>
      <c r="D88" t="s">
        <v>18</v>
      </c>
      <c r="E88">
        <v>10.201722930089112</v>
      </c>
      <c r="F88" t="s">
        <v>409</v>
      </c>
    </row>
    <row r="89" spans="1:6" hidden="1" x14ac:dyDescent="0.25">
      <c r="A89" t="s">
        <v>0</v>
      </c>
      <c r="B89" t="s">
        <v>413</v>
      </c>
      <c r="C89">
        <v>2033</v>
      </c>
      <c r="D89" t="s">
        <v>18</v>
      </c>
      <c r="E89">
        <v>11.725353687902352</v>
      </c>
      <c r="F89" t="s">
        <v>409</v>
      </c>
    </row>
    <row r="90" spans="1:6" hidden="1" x14ac:dyDescent="0.25">
      <c r="A90" t="s">
        <v>0</v>
      </c>
      <c r="B90" t="s">
        <v>413</v>
      </c>
      <c r="C90">
        <v>2034</v>
      </c>
      <c r="D90" t="s">
        <v>18</v>
      </c>
      <c r="E90">
        <v>13.476539212891987</v>
      </c>
      <c r="F90" t="s">
        <v>409</v>
      </c>
    </row>
    <row r="91" spans="1:6" hidden="1" x14ac:dyDescent="0.25">
      <c r="A91" t="s">
        <v>0</v>
      </c>
      <c r="B91" t="s">
        <v>413</v>
      </c>
      <c r="C91">
        <v>2035</v>
      </c>
      <c r="D91" t="s">
        <v>18</v>
      </c>
      <c r="E91">
        <v>15.489264886226762</v>
      </c>
      <c r="F91" t="s">
        <v>409</v>
      </c>
    </row>
    <row r="92" spans="1:6" hidden="1" x14ac:dyDescent="0.25">
      <c r="A92" t="s">
        <v>0</v>
      </c>
      <c r="B92" t="s">
        <v>413</v>
      </c>
      <c r="C92">
        <v>2036</v>
      </c>
      <c r="D92" t="s">
        <v>18</v>
      </c>
      <c r="E92">
        <v>17.802591817206793</v>
      </c>
      <c r="F92" t="s">
        <v>409</v>
      </c>
    </row>
    <row r="93" spans="1:6" hidden="1" x14ac:dyDescent="0.25">
      <c r="A93" t="s">
        <v>0</v>
      </c>
      <c r="B93" t="s">
        <v>413</v>
      </c>
      <c r="C93">
        <v>2037</v>
      </c>
      <c r="D93" t="s">
        <v>18</v>
      </c>
      <c r="E93">
        <v>20.461414904970614</v>
      </c>
      <c r="F93" t="s">
        <v>409</v>
      </c>
    </row>
    <row r="94" spans="1:6" hidden="1" x14ac:dyDescent="0.25">
      <c r="A94" t="s">
        <v>0</v>
      </c>
      <c r="B94" t="s">
        <v>413</v>
      </c>
      <c r="C94">
        <v>2038</v>
      </c>
      <c r="D94" t="s">
        <v>18</v>
      </c>
      <c r="E94">
        <v>23.517334116973664</v>
      </c>
      <c r="F94" t="s">
        <v>409</v>
      </c>
    </row>
    <row r="95" spans="1:6" hidden="1" x14ac:dyDescent="0.25">
      <c r="A95" t="s">
        <v>0</v>
      </c>
      <c r="B95" t="s">
        <v>413</v>
      </c>
      <c r="C95">
        <v>2039</v>
      </c>
      <c r="D95" t="s">
        <v>18</v>
      </c>
      <c r="E95">
        <v>27.029655893201195</v>
      </c>
      <c r="F95" t="s">
        <v>409</v>
      </c>
    </row>
    <row r="96" spans="1:6" hidden="1" x14ac:dyDescent="0.25">
      <c r="A96" t="s">
        <v>0</v>
      </c>
      <c r="B96" t="s">
        <v>413</v>
      </c>
      <c r="C96">
        <v>2040</v>
      </c>
      <c r="D96" t="s">
        <v>18</v>
      </c>
      <c r="E96">
        <v>31.066544110437789</v>
      </c>
      <c r="F96" t="s">
        <v>409</v>
      </c>
    </row>
    <row r="97" spans="1:6" hidden="1" x14ac:dyDescent="0.25">
      <c r="A97" t="s">
        <v>0</v>
      </c>
      <c r="B97" t="s">
        <v>413</v>
      </c>
      <c r="C97" t="s">
        <v>410</v>
      </c>
      <c r="D97" t="s">
        <v>13</v>
      </c>
      <c r="E97">
        <v>6.7153846153846155</v>
      </c>
      <c r="F97" t="s">
        <v>409</v>
      </c>
    </row>
    <row r="98" spans="1:6" hidden="1" x14ac:dyDescent="0.25">
      <c r="A98" t="s">
        <v>0</v>
      </c>
      <c r="B98" t="s">
        <v>413</v>
      </c>
      <c r="C98" t="s">
        <v>410</v>
      </c>
      <c r="D98" t="s">
        <v>411</v>
      </c>
      <c r="E98">
        <v>21.96</v>
      </c>
      <c r="F98" t="s">
        <v>409</v>
      </c>
    </row>
    <row r="99" spans="1:6" hidden="1" x14ac:dyDescent="0.25">
      <c r="A99" t="s">
        <v>0</v>
      </c>
      <c r="B99" t="s">
        <v>413</v>
      </c>
      <c r="C99" t="s">
        <v>410</v>
      </c>
      <c r="D99" t="s">
        <v>412</v>
      </c>
      <c r="E99">
        <v>68.039999999999978</v>
      </c>
      <c r="F99" t="s">
        <v>409</v>
      </c>
    </row>
    <row r="100" spans="1:6" hidden="1" x14ac:dyDescent="0.25">
      <c r="A100" t="s">
        <v>0</v>
      </c>
      <c r="B100" t="s">
        <v>414</v>
      </c>
      <c r="C100">
        <v>2018</v>
      </c>
      <c r="D100" t="s">
        <v>17</v>
      </c>
      <c r="E100">
        <v>4.1361000000000008</v>
      </c>
      <c r="F100" t="s">
        <v>409</v>
      </c>
    </row>
    <row r="101" spans="1:6" hidden="1" x14ac:dyDescent="0.25">
      <c r="A101" t="s">
        <v>0</v>
      </c>
      <c r="B101" t="s">
        <v>414</v>
      </c>
      <c r="C101">
        <v>2019</v>
      </c>
      <c r="D101" t="s">
        <v>17</v>
      </c>
      <c r="E101">
        <v>3.4330000000000003</v>
      </c>
      <c r="F101" t="s">
        <v>409</v>
      </c>
    </row>
    <row r="102" spans="1:6" hidden="1" x14ac:dyDescent="0.25">
      <c r="A102" t="s">
        <v>0</v>
      </c>
      <c r="B102" t="s">
        <v>414</v>
      </c>
      <c r="C102">
        <v>2020</v>
      </c>
      <c r="D102" t="s">
        <v>17</v>
      </c>
      <c r="E102">
        <v>3.2363240000000002</v>
      </c>
      <c r="F102" t="s">
        <v>409</v>
      </c>
    </row>
    <row r="103" spans="1:6" hidden="1" x14ac:dyDescent="0.25">
      <c r="A103" t="s">
        <v>0</v>
      </c>
      <c r="B103" t="s">
        <v>414</v>
      </c>
      <c r="C103">
        <v>2021</v>
      </c>
      <c r="D103" t="s">
        <v>17</v>
      </c>
      <c r="E103">
        <v>3.8086570000000002</v>
      </c>
      <c r="F103" t="s">
        <v>409</v>
      </c>
    </row>
    <row r="104" spans="1:6" hidden="1" x14ac:dyDescent="0.25">
      <c r="A104" t="s">
        <v>0</v>
      </c>
      <c r="B104" t="s">
        <v>414</v>
      </c>
      <c r="C104">
        <v>2022</v>
      </c>
      <c r="D104" t="s">
        <v>17</v>
      </c>
      <c r="E104">
        <v>2.536143</v>
      </c>
      <c r="F104" t="s">
        <v>409</v>
      </c>
    </row>
    <row r="105" spans="1:6" hidden="1" x14ac:dyDescent="0.25">
      <c r="A105" t="s">
        <v>0</v>
      </c>
      <c r="B105" t="s">
        <v>414</v>
      </c>
      <c r="C105">
        <v>2023</v>
      </c>
      <c r="D105" t="s">
        <v>17</v>
      </c>
      <c r="E105">
        <v>4.7960000000000003</v>
      </c>
      <c r="F105" t="s">
        <v>409</v>
      </c>
    </row>
    <row r="106" spans="1:6" hidden="1" x14ac:dyDescent="0.25">
      <c r="A106" t="s">
        <v>0</v>
      </c>
      <c r="B106" t="s">
        <v>414</v>
      </c>
      <c r="C106">
        <v>2024</v>
      </c>
      <c r="D106" t="s">
        <v>17</v>
      </c>
      <c r="E106">
        <v>3.3809999999999998</v>
      </c>
      <c r="F106" t="s">
        <v>409</v>
      </c>
    </row>
    <row r="107" spans="1:6" hidden="1" x14ac:dyDescent="0.25">
      <c r="A107" t="s">
        <v>0</v>
      </c>
      <c r="B107" t="s">
        <v>414</v>
      </c>
      <c r="C107">
        <v>2025</v>
      </c>
      <c r="D107" t="s">
        <v>17</v>
      </c>
      <c r="E107">
        <v>3.4940000000000002</v>
      </c>
      <c r="F107" t="s">
        <v>409</v>
      </c>
    </row>
    <row r="108" spans="1:6" hidden="1" x14ac:dyDescent="0.25">
      <c r="A108" t="s">
        <v>0</v>
      </c>
      <c r="B108" t="s">
        <v>414</v>
      </c>
      <c r="C108">
        <v>2026</v>
      </c>
      <c r="D108" t="s">
        <v>17</v>
      </c>
      <c r="E108">
        <v>3.4940000000000002</v>
      </c>
      <c r="F108" t="s">
        <v>409</v>
      </c>
    </row>
    <row r="109" spans="1:6" hidden="1" x14ac:dyDescent="0.25">
      <c r="A109" t="s">
        <v>0</v>
      </c>
      <c r="B109" t="s">
        <v>414</v>
      </c>
      <c r="C109">
        <v>2027</v>
      </c>
      <c r="D109" t="s">
        <v>17</v>
      </c>
      <c r="E109">
        <v>4.1760000000000002</v>
      </c>
      <c r="F109" t="s">
        <v>409</v>
      </c>
    </row>
    <row r="110" spans="1:6" hidden="1" x14ac:dyDescent="0.25">
      <c r="A110" t="s">
        <v>0</v>
      </c>
      <c r="B110" t="s">
        <v>414</v>
      </c>
      <c r="C110">
        <v>2028</v>
      </c>
      <c r="D110" t="s">
        <v>17</v>
      </c>
      <c r="E110">
        <v>4.1760000000000002</v>
      </c>
      <c r="F110" t="s">
        <v>409</v>
      </c>
    </row>
    <row r="111" spans="1:6" hidden="1" x14ac:dyDescent="0.25">
      <c r="A111" t="s">
        <v>0</v>
      </c>
      <c r="B111" t="s">
        <v>414</v>
      </c>
      <c r="C111">
        <v>2029</v>
      </c>
      <c r="D111" t="s">
        <v>17</v>
      </c>
      <c r="E111">
        <v>3.8610000000000002</v>
      </c>
      <c r="F111" t="s">
        <v>409</v>
      </c>
    </row>
    <row r="112" spans="1:6" hidden="1" x14ac:dyDescent="0.25">
      <c r="A112" t="s">
        <v>0</v>
      </c>
      <c r="B112" t="s">
        <v>414</v>
      </c>
      <c r="C112">
        <v>2030</v>
      </c>
      <c r="D112" t="s">
        <v>17</v>
      </c>
      <c r="E112">
        <v>3.8610000000000002</v>
      </c>
      <c r="F112" t="s">
        <v>409</v>
      </c>
    </row>
    <row r="113" spans="1:6" hidden="1" x14ac:dyDescent="0.25">
      <c r="A113" t="s">
        <v>0</v>
      </c>
      <c r="B113" t="s">
        <v>414</v>
      </c>
      <c r="C113">
        <v>2031</v>
      </c>
      <c r="D113" t="s">
        <v>17</v>
      </c>
      <c r="E113">
        <v>3.7069999999999999</v>
      </c>
      <c r="F113" t="s">
        <v>409</v>
      </c>
    </row>
    <row r="114" spans="1:6" hidden="1" x14ac:dyDescent="0.25">
      <c r="A114" t="s">
        <v>0</v>
      </c>
      <c r="B114" t="s">
        <v>414</v>
      </c>
      <c r="C114">
        <v>2032</v>
      </c>
      <c r="D114" t="s">
        <v>17</v>
      </c>
      <c r="E114">
        <v>3.3919999999999999</v>
      </c>
      <c r="F114" t="s">
        <v>409</v>
      </c>
    </row>
    <row r="115" spans="1:6" hidden="1" x14ac:dyDescent="0.25">
      <c r="A115" t="s">
        <v>0</v>
      </c>
      <c r="B115" t="s">
        <v>414</v>
      </c>
      <c r="C115">
        <v>2033</v>
      </c>
      <c r="D115" t="s">
        <v>17</v>
      </c>
      <c r="E115">
        <v>3.0790000000000002</v>
      </c>
      <c r="F115" t="s">
        <v>409</v>
      </c>
    </row>
    <row r="116" spans="1:6" hidden="1" x14ac:dyDescent="0.25">
      <c r="A116" t="s">
        <v>0</v>
      </c>
      <c r="B116" t="s">
        <v>414</v>
      </c>
      <c r="C116">
        <v>2034</v>
      </c>
      <c r="D116" t="s">
        <v>17</v>
      </c>
      <c r="E116">
        <v>3.0790000000000002</v>
      </c>
      <c r="F116" t="s">
        <v>409</v>
      </c>
    </row>
    <row r="117" spans="1:6" hidden="1" x14ac:dyDescent="0.25">
      <c r="A117" t="s">
        <v>0</v>
      </c>
      <c r="B117" t="s">
        <v>414</v>
      </c>
      <c r="C117">
        <v>2035</v>
      </c>
      <c r="D117" t="s">
        <v>17</v>
      </c>
      <c r="E117">
        <v>3.0790000000000002</v>
      </c>
      <c r="F117" t="s">
        <v>409</v>
      </c>
    </row>
    <row r="118" spans="1:6" hidden="1" x14ac:dyDescent="0.25">
      <c r="A118" t="s">
        <v>0</v>
      </c>
      <c r="B118" t="s">
        <v>414</v>
      </c>
      <c r="C118">
        <v>2036</v>
      </c>
      <c r="D118" t="s">
        <v>17</v>
      </c>
      <c r="E118">
        <v>2.8370000000000002</v>
      </c>
      <c r="F118" t="s">
        <v>409</v>
      </c>
    </row>
    <row r="119" spans="1:6" hidden="1" x14ac:dyDescent="0.25">
      <c r="A119" t="s">
        <v>0</v>
      </c>
      <c r="B119" t="s">
        <v>414</v>
      </c>
      <c r="C119">
        <v>2037</v>
      </c>
      <c r="D119" t="s">
        <v>17</v>
      </c>
      <c r="E119">
        <v>0.94699999999999995</v>
      </c>
      <c r="F119" t="s">
        <v>409</v>
      </c>
    </row>
    <row r="120" spans="1:6" hidden="1" x14ac:dyDescent="0.25">
      <c r="A120" t="s">
        <v>0</v>
      </c>
      <c r="B120" t="s">
        <v>414</v>
      </c>
      <c r="C120">
        <v>2038</v>
      </c>
      <c r="D120" t="s">
        <v>17</v>
      </c>
      <c r="E120">
        <v>0.26100000000000001</v>
      </c>
      <c r="F120" t="s">
        <v>409</v>
      </c>
    </row>
    <row r="121" spans="1:6" hidden="1" x14ac:dyDescent="0.25">
      <c r="A121" t="s">
        <v>0</v>
      </c>
      <c r="B121" t="s">
        <v>414</v>
      </c>
      <c r="C121">
        <v>2039</v>
      </c>
      <c r="D121" t="s">
        <v>17</v>
      </c>
      <c r="E121">
        <v>0.26100000000000001</v>
      </c>
      <c r="F121" t="s">
        <v>409</v>
      </c>
    </row>
    <row r="122" spans="1:6" hidden="1" x14ac:dyDescent="0.25">
      <c r="A122" t="s">
        <v>0</v>
      </c>
      <c r="B122" t="s">
        <v>414</v>
      </c>
      <c r="C122">
        <v>2040</v>
      </c>
      <c r="D122" t="s">
        <v>17</v>
      </c>
      <c r="E122">
        <v>0.26100000000000001</v>
      </c>
      <c r="F122" t="s">
        <v>409</v>
      </c>
    </row>
    <row r="123" spans="1:6" hidden="1" x14ac:dyDescent="0.25">
      <c r="A123" t="s">
        <v>0</v>
      </c>
      <c r="B123" t="s">
        <v>414</v>
      </c>
      <c r="C123">
        <v>2018</v>
      </c>
      <c r="D123" t="s">
        <v>18</v>
      </c>
      <c r="E123">
        <v>4.1361000000000008</v>
      </c>
      <c r="F123" t="s">
        <v>409</v>
      </c>
    </row>
    <row r="124" spans="1:6" hidden="1" x14ac:dyDescent="0.25">
      <c r="A124" t="s">
        <v>0</v>
      </c>
      <c r="B124" t="s">
        <v>414</v>
      </c>
      <c r="C124">
        <v>2019</v>
      </c>
      <c r="D124" t="s">
        <v>18</v>
      </c>
      <c r="E124">
        <v>3.4330000000000003</v>
      </c>
      <c r="F124" t="s">
        <v>409</v>
      </c>
    </row>
    <row r="125" spans="1:6" hidden="1" x14ac:dyDescent="0.25">
      <c r="A125" t="s">
        <v>0</v>
      </c>
      <c r="B125" t="s">
        <v>414</v>
      </c>
      <c r="C125">
        <v>2020</v>
      </c>
      <c r="D125" t="s">
        <v>18</v>
      </c>
      <c r="E125">
        <v>3.2363240000000002</v>
      </c>
      <c r="F125" t="s">
        <v>409</v>
      </c>
    </row>
    <row r="126" spans="1:6" hidden="1" x14ac:dyDescent="0.25">
      <c r="A126" t="s">
        <v>0</v>
      </c>
      <c r="B126" t="s">
        <v>414</v>
      </c>
      <c r="C126">
        <v>2021</v>
      </c>
      <c r="D126" t="s">
        <v>18</v>
      </c>
      <c r="E126">
        <v>3.8086570000000002</v>
      </c>
      <c r="F126" t="s">
        <v>409</v>
      </c>
    </row>
    <row r="127" spans="1:6" hidden="1" x14ac:dyDescent="0.25">
      <c r="A127" t="s">
        <v>0</v>
      </c>
      <c r="B127" t="s">
        <v>414</v>
      </c>
      <c r="C127">
        <v>2022</v>
      </c>
      <c r="D127" t="s">
        <v>18</v>
      </c>
      <c r="E127">
        <v>2.536143</v>
      </c>
      <c r="F127" t="s">
        <v>409</v>
      </c>
    </row>
    <row r="128" spans="1:6" hidden="1" x14ac:dyDescent="0.25">
      <c r="A128" t="s">
        <v>0</v>
      </c>
      <c r="B128" t="s">
        <v>414</v>
      </c>
      <c r="C128">
        <v>2023</v>
      </c>
      <c r="D128" t="s">
        <v>18</v>
      </c>
      <c r="E128">
        <v>4.7960000000000003</v>
      </c>
      <c r="F128" t="s">
        <v>409</v>
      </c>
    </row>
    <row r="129" spans="1:6" hidden="1" x14ac:dyDescent="0.25">
      <c r="A129" t="s">
        <v>0</v>
      </c>
      <c r="B129" t="s">
        <v>414</v>
      </c>
      <c r="C129">
        <v>2024</v>
      </c>
      <c r="D129" t="s">
        <v>18</v>
      </c>
      <c r="E129">
        <v>3.3809999999999998</v>
      </c>
      <c r="F129" t="s">
        <v>409</v>
      </c>
    </row>
    <row r="130" spans="1:6" hidden="1" x14ac:dyDescent="0.25">
      <c r="A130" t="s">
        <v>0</v>
      </c>
      <c r="B130" t="s">
        <v>414</v>
      </c>
      <c r="C130">
        <v>2025</v>
      </c>
      <c r="D130" t="s">
        <v>18</v>
      </c>
      <c r="E130">
        <v>3.8504060559825399</v>
      </c>
      <c r="F130" t="s">
        <v>409</v>
      </c>
    </row>
    <row r="131" spans="1:6" hidden="1" x14ac:dyDescent="0.25">
      <c r="A131" t="s">
        <v>0</v>
      </c>
      <c r="B131" t="s">
        <v>414</v>
      </c>
      <c r="C131">
        <v>2026</v>
      </c>
      <c r="D131" t="s">
        <v>18</v>
      </c>
      <c r="E131">
        <v>4.4939999999999998</v>
      </c>
      <c r="F131" t="s">
        <v>409</v>
      </c>
    </row>
    <row r="132" spans="1:6" hidden="1" x14ac:dyDescent="0.25">
      <c r="A132" t="s">
        <v>0</v>
      </c>
      <c r="B132" t="s">
        <v>414</v>
      </c>
      <c r="C132">
        <v>2027</v>
      </c>
      <c r="D132" t="s">
        <v>18</v>
      </c>
      <c r="E132">
        <v>5.3070000000000004</v>
      </c>
      <c r="F132" t="s">
        <v>409</v>
      </c>
    </row>
    <row r="133" spans="1:6" hidden="1" x14ac:dyDescent="0.25">
      <c r="A133" t="s">
        <v>0</v>
      </c>
      <c r="B133" t="s">
        <v>414</v>
      </c>
      <c r="C133">
        <v>2028</v>
      </c>
      <c r="D133" t="s">
        <v>18</v>
      </c>
      <c r="E133">
        <v>7.25</v>
      </c>
      <c r="F133" t="s">
        <v>409</v>
      </c>
    </row>
    <row r="134" spans="1:6" hidden="1" x14ac:dyDescent="0.25">
      <c r="A134" t="s">
        <v>0</v>
      </c>
      <c r="B134" t="s">
        <v>414</v>
      </c>
      <c r="C134">
        <v>2029</v>
      </c>
      <c r="D134" t="s">
        <v>18</v>
      </c>
      <c r="E134">
        <v>6.7191794773198641</v>
      </c>
      <c r="F134" t="s">
        <v>409</v>
      </c>
    </row>
    <row r="135" spans="1:6" hidden="1" x14ac:dyDescent="0.25">
      <c r="A135" t="s">
        <v>0</v>
      </c>
      <c r="B135" t="s">
        <v>414</v>
      </c>
      <c r="C135">
        <v>2030</v>
      </c>
      <c r="D135" t="s">
        <v>18</v>
      </c>
      <c r="E135">
        <v>7.7226911967684702</v>
      </c>
      <c r="F135" t="s">
        <v>409</v>
      </c>
    </row>
    <row r="136" spans="1:6" hidden="1" x14ac:dyDescent="0.25">
      <c r="A136" t="s">
        <v>0</v>
      </c>
      <c r="B136" t="s">
        <v>414</v>
      </c>
      <c r="C136">
        <v>2031</v>
      </c>
      <c r="D136" t="s">
        <v>18</v>
      </c>
      <c r="E136">
        <v>8.8760777297221907</v>
      </c>
      <c r="F136" t="s">
        <v>409</v>
      </c>
    </row>
    <row r="137" spans="1:6" hidden="1" x14ac:dyDescent="0.25">
      <c r="A137" t="s">
        <v>0</v>
      </c>
      <c r="B137" t="s">
        <v>414</v>
      </c>
      <c r="C137">
        <v>2032</v>
      </c>
      <c r="D137" t="s">
        <v>18</v>
      </c>
      <c r="E137">
        <v>10.201722930089112</v>
      </c>
      <c r="F137" t="s">
        <v>409</v>
      </c>
    </row>
    <row r="138" spans="1:6" hidden="1" x14ac:dyDescent="0.25">
      <c r="A138" t="s">
        <v>0</v>
      </c>
      <c r="B138" t="s">
        <v>414</v>
      </c>
      <c r="C138">
        <v>2033</v>
      </c>
      <c r="D138" t="s">
        <v>18</v>
      </c>
      <c r="E138">
        <v>11.725353687902352</v>
      </c>
      <c r="F138" t="s">
        <v>409</v>
      </c>
    </row>
    <row r="139" spans="1:6" hidden="1" x14ac:dyDescent="0.25">
      <c r="A139" t="s">
        <v>0</v>
      </c>
      <c r="B139" t="s">
        <v>414</v>
      </c>
      <c r="C139">
        <v>2034</v>
      </c>
      <c r="D139" t="s">
        <v>18</v>
      </c>
      <c r="E139">
        <v>13.476539212891987</v>
      </c>
      <c r="F139" t="s">
        <v>409</v>
      </c>
    </row>
    <row r="140" spans="1:6" hidden="1" x14ac:dyDescent="0.25">
      <c r="A140" t="s">
        <v>0</v>
      </c>
      <c r="B140" t="s">
        <v>414</v>
      </c>
      <c r="C140">
        <v>2035</v>
      </c>
      <c r="D140" t="s">
        <v>18</v>
      </c>
      <c r="E140">
        <v>15.489264886226762</v>
      </c>
      <c r="F140" t="s">
        <v>409</v>
      </c>
    </row>
    <row r="141" spans="1:6" hidden="1" x14ac:dyDescent="0.25">
      <c r="A141" t="s">
        <v>0</v>
      </c>
      <c r="B141" t="s">
        <v>414</v>
      </c>
      <c r="C141">
        <v>2036</v>
      </c>
      <c r="D141" t="s">
        <v>18</v>
      </c>
      <c r="E141">
        <v>17.802591817206793</v>
      </c>
      <c r="F141" t="s">
        <v>409</v>
      </c>
    </row>
    <row r="142" spans="1:6" hidden="1" x14ac:dyDescent="0.25">
      <c r="A142" t="s">
        <v>0</v>
      </c>
      <c r="B142" t="s">
        <v>414</v>
      </c>
      <c r="C142">
        <v>2037</v>
      </c>
      <c r="D142" t="s">
        <v>18</v>
      </c>
      <c r="E142">
        <v>20.461414904970614</v>
      </c>
      <c r="F142" t="s">
        <v>409</v>
      </c>
    </row>
    <row r="143" spans="1:6" hidden="1" x14ac:dyDescent="0.25">
      <c r="A143" t="s">
        <v>0</v>
      </c>
      <c r="B143" t="s">
        <v>414</v>
      </c>
      <c r="C143">
        <v>2038</v>
      </c>
      <c r="D143" t="s">
        <v>18</v>
      </c>
      <c r="E143">
        <v>23.5173341169737</v>
      </c>
      <c r="F143" t="s">
        <v>409</v>
      </c>
    </row>
    <row r="144" spans="1:6" hidden="1" x14ac:dyDescent="0.25">
      <c r="A144" t="s">
        <v>0</v>
      </c>
      <c r="B144" t="s">
        <v>414</v>
      </c>
      <c r="C144">
        <v>2039</v>
      </c>
      <c r="D144" t="s">
        <v>18</v>
      </c>
      <c r="E144">
        <v>27.029655893201195</v>
      </c>
      <c r="F144" t="s">
        <v>409</v>
      </c>
    </row>
    <row r="145" spans="1:6" hidden="1" x14ac:dyDescent="0.25">
      <c r="A145" t="s">
        <v>0</v>
      </c>
      <c r="B145" t="s">
        <v>414</v>
      </c>
      <c r="C145">
        <v>2040</v>
      </c>
      <c r="D145" t="s">
        <v>18</v>
      </c>
      <c r="E145">
        <v>31.066544110437789</v>
      </c>
      <c r="F145" t="s">
        <v>409</v>
      </c>
    </row>
    <row r="146" spans="1:6" hidden="1" x14ac:dyDescent="0.25">
      <c r="A146" t="s">
        <v>0</v>
      </c>
      <c r="B146" t="s">
        <v>414</v>
      </c>
      <c r="C146" t="s">
        <v>410</v>
      </c>
      <c r="D146" t="s">
        <v>13</v>
      </c>
      <c r="E146">
        <v>5.0365384615384645</v>
      </c>
      <c r="F146" t="s">
        <v>409</v>
      </c>
    </row>
    <row r="147" spans="1:6" hidden="1" x14ac:dyDescent="0.25">
      <c r="A147" t="s">
        <v>0</v>
      </c>
      <c r="B147" t="s">
        <v>414</v>
      </c>
      <c r="C147" t="s">
        <v>410</v>
      </c>
      <c r="D147" t="s">
        <v>411</v>
      </c>
      <c r="E147">
        <v>6.75</v>
      </c>
      <c r="F147" t="s">
        <v>409</v>
      </c>
    </row>
    <row r="148" spans="1:6" hidden="1" x14ac:dyDescent="0.25">
      <c r="A148" t="s">
        <v>0</v>
      </c>
      <c r="B148" t="s">
        <v>414</v>
      </c>
      <c r="C148" t="s">
        <v>410</v>
      </c>
      <c r="D148" t="s">
        <v>412</v>
      </c>
      <c r="E148">
        <v>60.749999999999979</v>
      </c>
      <c r="F148" t="s">
        <v>409</v>
      </c>
    </row>
    <row r="149" spans="1:6" hidden="1" x14ac:dyDescent="0.25">
      <c r="A149" t="s">
        <v>1</v>
      </c>
      <c r="B149" t="s">
        <v>408</v>
      </c>
      <c r="C149">
        <v>2018</v>
      </c>
      <c r="D149" t="s">
        <v>17</v>
      </c>
      <c r="E149">
        <v>535.50900000000001</v>
      </c>
      <c r="F149" t="s">
        <v>409</v>
      </c>
    </row>
    <row r="150" spans="1:6" hidden="1" x14ac:dyDescent="0.25">
      <c r="A150" t="s">
        <v>1</v>
      </c>
      <c r="B150" t="s">
        <v>408</v>
      </c>
      <c r="C150">
        <v>2019</v>
      </c>
      <c r="D150" t="s">
        <v>17</v>
      </c>
      <c r="E150">
        <v>557.84900000000005</v>
      </c>
      <c r="F150" t="s">
        <v>409</v>
      </c>
    </row>
    <row r="151" spans="1:6" hidden="1" x14ac:dyDescent="0.25">
      <c r="A151" t="s">
        <v>1</v>
      </c>
      <c r="B151" t="s">
        <v>408</v>
      </c>
      <c r="C151">
        <v>2020</v>
      </c>
      <c r="D151" t="s">
        <v>17</v>
      </c>
      <c r="E151">
        <v>530.92100000000005</v>
      </c>
      <c r="F151" t="s">
        <v>409</v>
      </c>
    </row>
    <row r="152" spans="1:6" hidden="1" x14ac:dyDescent="0.25">
      <c r="A152" t="s">
        <v>1</v>
      </c>
      <c r="B152" t="s">
        <v>408</v>
      </c>
      <c r="C152">
        <v>2021</v>
      </c>
      <c r="D152" t="s">
        <v>17</v>
      </c>
      <c r="E152">
        <v>488.52199999999999</v>
      </c>
      <c r="F152" t="s">
        <v>409</v>
      </c>
    </row>
    <row r="153" spans="1:6" hidden="1" x14ac:dyDescent="0.25">
      <c r="A153" t="s">
        <v>1</v>
      </c>
      <c r="B153" t="s">
        <v>408</v>
      </c>
      <c r="C153">
        <v>2022</v>
      </c>
      <c r="D153" t="s">
        <v>17</v>
      </c>
      <c r="E153">
        <v>460.41500000000002</v>
      </c>
      <c r="F153" t="s">
        <v>409</v>
      </c>
    </row>
    <row r="154" spans="1:6" x14ac:dyDescent="0.25">
      <c r="A154" t="s">
        <v>1</v>
      </c>
      <c r="B154" t="s">
        <v>408</v>
      </c>
      <c r="C154">
        <v>2023</v>
      </c>
      <c r="D154" t="s">
        <v>17</v>
      </c>
      <c r="E154">
        <v>404.04599999999999</v>
      </c>
      <c r="F154" t="s">
        <v>409</v>
      </c>
    </row>
    <row r="155" spans="1:6" hidden="1" x14ac:dyDescent="0.25">
      <c r="A155" t="s">
        <v>1</v>
      </c>
      <c r="B155" t="s">
        <v>408</v>
      </c>
      <c r="C155">
        <v>2024</v>
      </c>
      <c r="D155" t="s">
        <v>17</v>
      </c>
      <c r="E155">
        <v>478.89299999999997</v>
      </c>
      <c r="F155" t="s">
        <v>409</v>
      </c>
    </row>
    <row r="156" spans="1:6" hidden="1" x14ac:dyDescent="0.25">
      <c r="A156" t="s">
        <v>1</v>
      </c>
      <c r="B156" t="s">
        <v>408</v>
      </c>
      <c r="C156">
        <v>2025</v>
      </c>
      <c r="D156" t="s">
        <v>17</v>
      </c>
      <c r="E156">
        <v>483.88799999999998</v>
      </c>
      <c r="F156" t="s">
        <v>409</v>
      </c>
    </row>
    <row r="157" spans="1:6" hidden="1" x14ac:dyDescent="0.25">
      <c r="A157" t="s">
        <v>1</v>
      </c>
      <c r="B157" t="s">
        <v>408</v>
      </c>
      <c r="C157">
        <v>2026</v>
      </c>
      <c r="D157" t="s">
        <v>17</v>
      </c>
      <c r="E157">
        <v>475.56599999999997</v>
      </c>
      <c r="F157" t="s">
        <v>409</v>
      </c>
    </row>
    <row r="158" spans="1:6" hidden="1" x14ac:dyDescent="0.25">
      <c r="A158" t="s">
        <v>1</v>
      </c>
      <c r="B158" t="s">
        <v>408</v>
      </c>
      <c r="C158">
        <v>2027</v>
      </c>
      <c r="D158" t="s">
        <v>17</v>
      </c>
      <c r="E158">
        <v>494.964</v>
      </c>
      <c r="F158" t="s">
        <v>409</v>
      </c>
    </row>
    <row r="159" spans="1:6" hidden="1" x14ac:dyDescent="0.25">
      <c r="A159" t="s">
        <v>1</v>
      </c>
      <c r="B159" t="s">
        <v>408</v>
      </c>
      <c r="C159">
        <v>2028</v>
      </c>
      <c r="D159" t="s">
        <v>17</v>
      </c>
      <c r="E159">
        <v>461.12</v>
      </c>
      <c r="F159" t="s">
        <v>409</v>
      </c>
    </row>
    <row r="160" spans="1:6" hidden="1" x14ac:dyDescent="0.25">
      <c r="A160" t="s">
        <v>1</v>
      </c>
      <c r="B160" t="s">
        <v>408</v>
      </c>
      <c r="C160">
        <v>2029</v>
      </c>
      <c r="D160" t="s">
        <v>17</v>
      </c>
      <c r="E160">
        <v>348.255</v>
      </c>
      <c r="F160" t="s">
        <v>409</v>
      </c>
    </row>
    <row r="161" spans="1:6" hidden="1" x14ac:dyDescent="0.25">
      <c r="A161" t="s">
        <v>1</v>
      </c>
      <c r="B161" t="s">
        <v>408</v>
      </c>
      <c r="C161">
        <v>2030</v>
      </c>
      <c r="D161" t="s">
        <v>17</v>
      </c>
      <c r="E161">
        <v>331.738</v>
      </c>
      <c r="F161" t="s">
        <v>409</v>
      </c>
    </row>
    <row r="162" spans="1:6" hidden="1" x14ac:dyDescent="0.25">
      <c r="A162" t="s">
        <v>1</v>
      </c>
      <c r="B162" t="s">
        <v>408</v>
      </c>
      <c r="C162">
        <v>2031</v>
      </c>
      <c r="D162" t="s">
        <v>17</v>
      </c>
      <c r="E162">
        <v>311.14499999999998</v>
      </c>
      <c r="F162" t="s">
        <v>409</v>
      </c>
    </row>
    <row r="163" spans="1:6" hidden="1" x14ac:dyDescent="0.25">
      <c r="A163" t="s">
        <v>1</v>
      </c>
      <c r="B163" t="s">
        <v>408</v>
      </c>
      <c r="C163">
        <v>2032</v>
      </c>
      <c r="D163" t="s">
        <v>17</v>
      </c>
      <c r="E163">
        <v>309.45299999999997</v>
      </c>
      <c r="F163" t="s">
        <v>409</v>
      </c>
    </row>
    <row r="164" spans="1:6" hidden="1" x14ac:dyDescent="0.25">
      <c r="A164" t="s">
        <v>1</v>
      </c>
      <c r="B164" t="s">
        <v>408</v>
      </c>
      <c r="C164">
        <v>2033</v>
      </c>
      <c r="D164" t="s">
        <v>17</v>
      </c>
      <c r="E164">
        <v>276.87799999999999</v>
      </c>
      <c r="F164" t="s">
        <v>409</v>
      </c>
    </row>
    <row r="165" spans="1:6" hidden="1" x14ac:dyDescent="0.25">
      <c r="A165" t="s">
        <v>1</v>
      </c>
      <c r="B165" t="s">
        <v>408</v>
      </c>
      <c r="C165">
        <v>2034</v>
      </c>
      <c r="D165" t="s">
        <v>17</v>
      </c>
      <c r="E165">
        <v>265.77800000000002</v>
      </c>
      <c r="F165" t="s">
        <v>409</v>
      </c>
    </row>
    <row r="166" spans="1:6" hidden="1" x14ac:dyDescent="0.25">
      <c r="A166" t="s">
        <v>1</v>
      </c>
      <c r="B166" t="s">
        <v>408</v>
      </c>
      <c r="C166">
        <v>2035</v>
      </c>
      <c r="D166" t="s">
        <v>17</v>
      </c>
      <c r="E166">
        <v>268.899</v>
      </c>
      <c r="F166" t="s">
        <v>409</v>
      </c>
    </row>
    <row r="167" spans="1:6" hidden="1" x14ac:dyDescent="0.25">
      <c r="A167" t="s">
        <v>1</v>
      </c>
      <c r="B167" t="s">
        <v>408</v>
      </c>
      <c r="C167">
        <v>2036</v>
      </c>
      <c r="D167" t="s">
        <v>17</v>
      </c>
      <c r="E167">
        <v>260.85899999999998</v>
      </c>
      <c r="F167" t="s">
        <v>409</v>
      </c>
    </row>
    <row r="168" spans="1:6" hidden="1" x14ac:dyDescent="0.25">
      <c r="A168" t="s">
        <v>1</v>
      </c>
      <c r="B168" t="s">
        <v>408</v>
      </c>
      <c r="C168">
        <v>2037</v>
      </c>
      <c r="D168" t="s">
        <v>17</v>
      </c>
      <c r="E168">
        <v>216.67500000000001</v>
      </c>
      <c r="F168" t="s">
        <v>409</v>
      </c>
    </row>
    <row r="169" spans="1:6" hidden="1" x14ac:dyDescent="0.25">
      <c r="A169" t="s">
        <v>1</v>
      </c>
      <c r="B169" t="s">
        <v>408</v>
      </c>
      <c r="C169">
        <v>2038</v>
      </c>
      <c r="D169" t="s">
        <v>17</v>
      </c>
      <c r="E169">
        <v>149.63300000000001</v>
      </c>
      <c r="F169" t="s">
        <v>409</v>
      </c>
    </row>
    <row r="170" spans="1:6" hidden="1" x14ac:dyDescent="0.25">
      <c r="A170" t="s">
        <v>1</v>
      </c>
      <c r="B170" t="s">
        <v>408</v>
      </c>
      <c r="C170">
        <v>2039</v>
      </c>
      <c r="D170" t="s">
        <v>17</v>
      </c>
      <c r="E170">
        <v>174.13</v>
      </c>
      <c r="F170" t="s">
        <v>409</v>
      </c>
    </row>
    <row r="171" spans="1:6" hidden="1" x14ac:dyDescent="0.25">
      <c r="A171" t="s">
        <v>1</v>
      </c>
      <c r="B171" t="s">
        <v>408</v>
      </c>
      <c r="C171">
        <v>2040</v>
      </c>
      <c r="D171" t="s">
        <v>17</v>
      </c>
      <c r="E171">
        <v>183.01900000000001</v>
      </c>
      <c r="F171" t="s">
        <v>409</v>
      </c>
    </row>
    <row r="172" spans="1:6" hidden="1" x14ac:dyDescent="0.25">
      <c r="A172" t="s">
        <v>1</v>
      </c>
      <c r="B172" t="s">
        <v>408</v>
      </c>
      <c r="C172">
        <v>2018</v>
      </c>
      <c r="D172" t="s">
        <v>18</v>
      </c>
      <c r="E172">
        <v>535.50900000000001</v>
      </c>
      <c r="F172" t="s">
        <v>409</v>
      </c>
    </row>
    <row r="173" spans="1:6" hidden="1" x14ac:dyDescent="0.25">
      <c r="A173" t="s">
        <v>1</v>
      </c>
      <c r="B173" t="s">
        <v>408</v>
      </c>
      <c r="C173">
        <v>2019</v>
      </c>
      <c r="D173" t="s">
        <v>18</v>
      </c>
      <c r="E173">
        <v>557.84900000000005</v>
      </c>
      <c r="F173" t="s">
        <v>409</v>
      </c>
    </row>
    <row r="174" spans="1:6" hidden="1" x14ac:dyDescent="0.25">
      <c r="A174" t="s">
        <v>1</v>
      </c>
      <c r="B174" t="s">
        <v>408</v>
      </c>
      <c r="C174">
        <v>2020</v>
      </c>
      <c r="D174" t="s">
        <v>18</v>
      </c>
      <c r="E174">
        <v>530.92100000000005</v>
      </c>
      <c r="F174" t="s">
        <v>409</v>
      </c>
    </row>
    <row r="175" spans="1:6" hidden="1" x14ac:dyDescent="0.25">
      <c r="A175" t="s">
        <v>1</v>
      </c>
      <c r="B175" t="s">
        <v>408</v>
      </c>
      <c r="C175">
        <v>2021</v>
      </c>
      <c r="D175" t="s">
        <v>18</v>
      </c>
      <c r="E175">
        <v>488.52199999999999</v>
      </c>
      <c r="F175" t="s">
        <v>409</v>
      </c>
    </row>
    <row r="176" spans="1:6" hidden="1" x14ac:dyDescent="0.25">
      <c r="A176" t="s">
        <v>1</v>
      </c>
      <c r="B176" t="s">
        <v>408</v>
      </c>
      <c r="C176">
        <v>2022</v>
      </c>
      <c r="D176" t="s">
        <v>18</v>
      </c>
      <c r="E176">
        <v>460.41500000000002</v>
      </c>
      <c r="F176" t="s">
        <v>409</v>
      </c>
    </row>
    <row r="177" spans="1:6" x14ac:dyDescent="0.25">
      <c r="A177" t="s">
        <v>1</v>
      </c>
      <c r="B177" t="s">
        <v>408</v>
      </c>
      <c r="C177">
        <v>2023</v>
      </c>
      <c r="D177" t="s">
        <v>18</v>
      </c>
      <c r="E177">
        <v>483.96799647683338</v>
      </c>
      <c r="F177" t="s">
        <v>409</v>
      </c>
    </row>
    <row r="178" spans="1:6" hidden="1" x14ac:dyDescent="0.25">
      <c r="A178" t="s">
        <v>1</v>
      </c>
      <c r="B178" t="s">
        <v>408</v>
      </c>
      <c r="C178">
        <v>2024</v>
      </c>
      <c r="D178" t="s">
        <v>18</v>
      </c>
      <c r="E178">
        <v>508.7258703860652</v>
      </c>
      <c r="F178" t="s">
        <v>409</v>
      </c>
    </row>
    <row r="179" spans="1:6" hidden="1" x14ac:dyDescent="0.25">
      <c r="A179" t="s">
        <v>1</v>
      </c>
      <c r="B179" t="s">
        <v>408</v>
      </c>
      <c r="C179">
        <v>2025</v>
      </c>
      <c r="D179" t="s">
        <v>18</v>
      </c>
      <c r="E179">
        <v>534.75025845525715</v>
      </c>
      <c r="F179" t="s">
        <v>409</v>
      </c>
    </row>
    <row r="180" spans="1:6" hidden="1" x14ac:dyDescent="0.25">
      <c r="A180" t="s">
        <v>1</v>
      </c>
      <c r="B180" t="s">
        <v>408</v>
      </c>
      <c r="C180">
        <v>2026</v>
      </c>
      <c r="D180" t="s">
        <v>18</v>
      </c>
      <c r="E180">
        <v>562.10595050130769</v>
      </c>
      <c r="F180" t="s">
        <v>409</v>
      </c>
    </row>
    <row r="181" spans="1:6" hidden="1" x14ac:dyDescent="0.25">
      <c r="A181" t="s">
        <v>1</v>
      </c>
      <c r="B181" t="s">
        <v>408</v>
      </c>
      <c r="C181">
        <v>2027</v>
      </c>
      <c r="D181" t="s">
        <v>18</v>
      </c>
      <c r="E181">
        <v>590.86105072993712</v>
      </c>
      <c r="F181" t="s">
        <v>409</v>
      </c>
    </row>
    <row r="182" spans="1:6" hidden="1" x14ac:dyDescent="0.25">
      <c r="A182" t="s">
        <v>1</v>
      </c>
      <c r="B182" t="s">
        <v>408</v>
      </c>
      <c r="C182">
        <v>2028</v>
      </c>
      <c r="D182" t="s">
        <v>18</v>
      </c>
      <c r="E182">
        <v>621.08714728660948</v>
      </c>
      <c r="F182" t="s">
        <v>409</v>
      </c>
    </row>
    <row r="183" spans="1:6" hidden="1" x14ac:dyDescent="0.25">
      <c r="A183" t="s">
        <v>1</v>
      </c>
      <c r="B183" t="s">
        <v>408</v>
      </c>
      <c r="C183">
        <v>2029</v>
      </c>
      <c r="D183" t="s">
        <v>18</v>
      </c>
      <c r="E183">
        <v>652.85949048100599</v>
      </c>
      <c r="F183" t="s">
        <v>409</v>
      </c>
    </row>
    <row r="184" spans="1:6" hidden="1" x14ac:dyDescent="0.25">
      <c r="A184" t="s">
        <v>1</v>
      </c>
      <c r="B184" t="s">
        <v>408</v>
      </c>
      <c r="C184">
        <v>2030</v>
      </c>
      <c r="D184" t="s">
        <v>18</v>
      </c>
      <c r="E184">
        <v>686.25718012875052</v>
      </c>
      <c r="F184" t="s">
        <v>409</v>
      </c>
    </row>
    <row r="185" spans="1:6" hidden="1" x14ac:dyDescent="0.25">
      <c r="A185" t="s">
        <v>1</v>
      </c>
      <c r="B185" t="s">
        <v>408</v>
      </c>
      <c r="C185">
        <v>2031</v>
      </c>
      <c r="D185" t="s">
        <v>18</v>
      </c>
      <c r="E185">
        <v>721.3633624767931</v>
      </c>
      <c r="F185" t="s">
        <v>409</v>
      </c>
    </row>
    <row r="186" spans="1:6" hidden="1" x14ac:dyDescent="0.25">
      <c r="A186" t="s">
        <v>1</v>
      </c>
      <c r="B186" t="s">
        <v>408</v>
      </c>
      <c r="C186">
        <v>2032</v>
      </c>
      <c r="D186" t="s">
        <v>18</v>
      </c>
      <c r="E186">
        <v>758.26543720270911</v>
      </c>
      <c r="F186" t="s">
        <v>409</v>
      </c>
    </row>
    <row r="187" spans="1:6" hidden="1" x14ac:dyDescent="0.25">
      <c r="A187" t="s">
        <v>1</v>
      </c>
      <c r="B187" t="s">
        <v>408</v>
      </c>
      <c r="C187">
        <v>2033</v>
      </c>
      <c r="D187" t="s">
        <v>18</v>
      </c>
      <c r="E187">
        <v>797.05527500325866</v>
      </c>
      <c r="F187" t="s">
        <v>409</v>
      </c>
    </row>
    <row r="188" spans="1:6" hidden="1" x14ac:dyDescent="0.25">
      <c r="A188" t="s">
        <v>1</v>
      </c>
      <c r="B188" t="s">
        <v>408</v>
      </c>
      <c r="C188">
        <v>2034</v>
      </c>
      <c r="D188" t="s">
        <v>18</v>
      </c>
      <c r="E188">
        <v>837.8294463139091</v>
      </c>
      <c r="F188" t="s">
        <v>409</v>
      </c>
    </row>
    <row r="189" spans="1:6" hidden="1" x14ac:dyDescent="0.25">
      <c r="A189" t="s">
        <v>1</v>
      </c>
      <c r="B189" t="s">
        <v>408</v>
      </c>
      <c r="C189">
        <v>2035</v>
      </c>
      <c r="D189" t="s">
        <v>18</v>
      </c>
      <c r="E189">
        <v>880.68946172873859</v>
      </c>
      <c r="F189" t="s">
        <v>409</v>
      </c>
    </row>
    <row r="190" spans="1:6" hidden="1" x14ac:dyDescent="0.25">
      <c r="A190" t="s">
        <v>1</v>
      </c>
      <c r="B190" t="s">
        <v>408</v>
      </c>
      <c r="C190">
        <v>2036</v>
      </c>
      <c r="D190" t="s">
        <v>18</v>
      </c>
      <c r="E190">
        <v>925.74202471926105</v>
      </c>
      <c r="F190" t="s">
        <v>409</v>
      </c>
    </row>
    <row r="191" spans="1:6" hidden="1" x14ac:dyDescent="0.25">
      <c r="A191" t="s">
        <v>1</v>
      </c>
      <c r="B191" t="s">
        <v>408</v>
      </c>
      <c r="C191">
        <v>2037</v>
      </c>
      <c r="D191" t="s">
        <v>18</v>
      </c>
      <c r="E191">
        <v>973.09929728133943</v>
      </c>
      <c r="F191" t="s">
        <v>409</v>
      </c>
    </row>
    <row r="192" spans="1:6" hidden="1" x14ac:dyDescent="0.25">
      <c r="A192" t="s">
        <v>1</v>
      </c>
      <c r="B192" t="s">
        <v>408</v>
      </c>
      <c r="C192">
        <v>2038</v>
      </c>
      <c r="D192" t="s">
        <v>18</v>
      </c>
      <c r="E192">
        <v>1022.8791791715392</v>
      </c>
      <c r="F192" t="s">
        <v>409</v>
      </c>
    </row>
    <row r="193" spans="1:6" hidden="1" x14ac:dyDescent="0.25">
      <c r="A193" t="s">
        <v>1</v>
      </c>
      <c r="B193" t="s">
        <v>408</v>
      </c>
      <c r="C193">
        <v>2039</v>
      </c>
      <c r="D193" t="s">
        <v>18</v>
      </c>
      <c r="E193">
        <v>1075.2056014280979</v>
      </c>
      <c r="F193" t="s">
        <v>409</v>
      </c>
    </row>
    <row r="194" spans="1:6" hidden="1" x14ac:dyDescent="0.25">
      <c r="A194" t="s">
        <v>1</v>
      </c>
      <c r="B194" t="s">
        <v>408</v>
      </c>
      <c r="C194">
        <v>2040</v>
      </c>
      <c r="D194" t="s">
        <v>18</v>
      </c>
      <c r="E194">
        <v>1130.2088349072583</v>
      </c>
      <c r="F194" t="s">
        <v>409</v>
      </c>
    </row>
    <row r="195" spans="1:6" hidden="1" x14ac:dyDescent="0.25">
      <c r="A195" t="s">
        <v>1</v>
      </c>
      <c r="B195" t="s">
        <v>408</v>
      </c>
      <c r="C195" t="s">
        <v>410</v>
      </c>
      <c r="D195" t="s">
        <v>13</v>
      </c>
      <c r="E195">
        <v>354.37188736327676</v>
      </c>
      <c r="F195" t="s">
        <v>409</v>
      </c>
    </row>
    <row r="196" spans="1:6" hidden="1" x14ac:dyDescent="0.25">
      <c r="A196" t="s">
        <v>1</v>
      </c>
      <c r="B196" t="s">
        <v>408</v>
      </c>
      <c r="C196" t="s">
        <v>410</v>
      </c>
      <c r="D196" t="s">
        <v>411</v>
      </c>
      <c r="E196">
        <v>289.05468931812891</v>
      </c>
      <c r="F196" t="s">
        <v>409</v>
      </c>
    </row>
    <row r="197" spans="1:6" hidden="1" x14ac:dyDescent="0.25">
      <c r="A197" t="s">
        <v>1</v>
      </c>
      <c r="B197" t="s">
        <v>408</v>
      </c>
      <c r="C197" t="s">
        <v>410</v>
      </c>
      <c r="D197" t="s">
        <v>412</v>
      </c>
      <c r="E197">
        <v>2601.4922038631648</v>
      </c>
      <c r="F197" t="s">
        <v>409</v>
      </c>
    </row>
    <row r="198" spans="1:6" hidden="1" x14ac:dyDescent="0.25">
      <c r="A198" t="s">
        <v>1</v>
      </c>
      <c r="B198" t="s">
        <v>413</v>
      </c>
      <c r="C198">
        <v>2018</v>
      </c>
      <c r="D198" t="s">
        <v>17</v>
      </c>
      <c r="E198">
        <v>535.50900000000001</v>
      </c>
      <c r="F198" t="s">
        <v>409</v>
      </c>
    </row>
    <row r="199" spans="1:6" hidden="1" x14ac:dyDescent="0.25">
      <c r="A199" t="s">
        <v>1</v>
      </c>
      <c r="B199" t="s">
        <v>413</v>
      </c>
      <c r="C199">
        <v>2019</v>
      </c>
      <c r="D199" t="s">
        <v>17</v>
      </c>
      <c r="E199">
        <v>557.84900000000005</v>
      </c>
      <c r="F199" t="s">
        <v>409</v>
      </c>
    </row>
    <row r="200" spans="1:6" hidden="1" x14ac:dyDescent="0.25">
      <c r="A200" t="s">
        <v>1</v>
      </c>
      <c r="B200" t="s">
        <v>413</v>
      </c>
      <c r="C200">
        <v>2020</v>
      </c>
      <c r="D200" t="s">
        <v>17</v>
      </c>
      <c r="E200">
        <v>530.92100000000005</v>
      </c>
      <c r="F200" t="s">
        <v>409</v>
      </c>
    </row>
    <row r="201" spans="1:6" hidden="1" x14ac:dyDescent="0.25">
      <c r="A201" t="s">
        <v>1</v>
      </c>
      <c r="B201" t="s">
        <v>413</v>
      </c>
      <c r="C201">
        <v>2021</v>
      </c>
      <c r="D201" t="s">
        <v>17</v>
      </c>
      <c r="E201">
        <v>488.52199999999999</v>
      </c>
      <c r="F201" t="s">
        <v>409</v>
      </c>
    </row>
    <row r="202" spans="1:6" hidden="1" x14ac:dyDescent="0.25">
      <c r="A202" t="s">
        <v>1</v>
      </c>
      <c r="B202" t="s">
        <v>413</v>
      </c>
      <c r="C202">
        <v>2022</v>
      </c>
      <c r="D202" t="s">
        <v>17</v>
      </c>
      <c r="E202">
        <v>460.41500000000002</v>
      </c>
      <c r="F202" t="s">
        <v>409</v>
      </c>
    </row>
    <row r="203" spans="1:6" hidden="1" x14ac:dyDescent="0.25">
      <c r="A203" t="s">
        <v>1</v>
      </c>
      <c r="B203" t="s">
        <v>413</v>
      </c>
      <c r="C203">
        <v>2023</v>
      </c>
      <c r="D203" t="s">
        <v>17</v>
      </c>
      <c r="E203">
        <v>404.04599999999999</v>
      </c>
      <c r="F203" t="s">
        <v>409</v>
      </c>
    </row>
    <row r="204" spans="1:6" hidden="1" x14ac:dyDescent="0.25">
      <c r="A204" t="s">
        <v>1</v>
      </c>
      <c r="B204" t="s">
        <v>413</v>
      </c>
      <c r="C204">
        <v>2024</v>
      </c>
      <c r="D204" t="s">
        <v>17</v>
      </c>
      <c r="E204">
        <v>478.89299999999997</v>
      </c>
      <c r="F204" t="s">
        <v>409</v>
      </c>
    </row>
    <row r="205" spans="1:6" hidden="1" x14ac:dyDescent="0.25">
      <c r="A205" t="s">
        <v>1</v>
      </c>
      <c r="B205" t="s">
        <v>413</v>
      </c>
      <c r="C205">
        <v>2025</v>
      </c>
      <c r="D205" t="s">
        <v>17</v>
      </c>
      <c r="E205">
        <v>483.88799999999998</v>
      </c>
      <c r="F205" t="s">
        <v>409</v>
      </c>
    </row>
    <row r="206" spans="1:6" hidden="1" x14ac:dyDescent="0.25">
      <c r="A206" t="s">
        <v>1</v>
      </c>
      <c r="B206" t="s">
        <v>413</v>
      </c>
      <c r="C206">
        <v>2026</v>
      </c>
      <c r="D206" t="s">
        <v>17</v>
      </c>
      <c r="E206">
        <v>475.56599999999997</v>
      </c>
      <c r="F206" t="s">
        <v>409</v>
      </c>
    </row>
    <row r="207" spans="1:6" hidden="1" x14ac:dyDescent="0.25">
      <c r="A207" t="s">
        <v>1</v>
      </c>
      <c r="B207" t="s">
        <v>413</v>
      </c>
      <c r="C207">
        <v>2027</v>
      </c>
      <c r="D207" t="s">
        <v>17</v>
      </c>
      <c r="E207">
        <v>494.964</v>
      </c>
      <c r="F207" t="s">
        <v>409</v>
      </c>
    </row>
    <row r="208" spans="1:6" hidden="1" x14ac:dyDescent="0.25">
      <c r="A208" t="s">
        <v>1</v>
      </c>
      <c r="B208" t="s">
        <v>413</v>
      </c>
      <c r="C208">
        <v>2028</v>
      </c>
      <c r="D208" t="s">
        <v>17</v>
      </c>
      <c r="E208">
        <v>461.12</v>
      </c>
      <c r="F208" t="s">
        <v>409</v>
      </c>
    </row>
    <row r="209" spans="1:6" hidden="1" x14ac:dyDescent="0.25">
      <c r="A209" t="s">
        <v>1</v>
      </c>
      <c r="B209" t="s">
        <v>413</v>
      </c>
      <c r="C209">
        <v>2029</v>
      </c>
      <c r="D209" t="s">
        <v>17</v>
      </c>
      <c r="E209">
        <v>348.255</v>
      </c>
      <c r="F209" t="s">
        <v>409</v>
      </c>
    </row>
    <row r="210" spans="1:6" hidden="1" x14ac:dyDescent="0.25">
      <c r="A210" t="s">
        <v>1</v>
      </c>
      <c r="B210" t="s">
        <v>413</v>
      </c>
      <c r="C210">
        <v>2030</v>
      </c>
      <c r="D210" t="s">
        <v>17</v>
      </c>
      <c r="E210">
        <v>331.738</v>
      </c>
      <c r="F210" t="s">
        <v>409</v>
      </c>
    </row>
    <row r="211" spans="1:6" hidden="1" x14ac:dyDescent="0.25">
      <c r="A211" t="s">
        <v>1</v>
      </c>
      <c r="B211" t="s">
        <v>413</v>
      </c>
      <c r="C211">
        <v>2031</v>
      </c>
      <c r="D211" t="s">
        <v>17</v>
      </c>
      <c r="E211">
        <v>311.14499999999998</v>
      </c>
      <c r="F211" t="s">
        <v>409</v>
      </c>
    </row>
    <row r="212" spans="1:6" hidden="1" x14ac:dyDescent="0.25">
      <c r="A212" t="s">
        <v>1</v>
      </c>
      <c r="B212" t="s">
        <v>413</v>
      </c>
      <c r="C212">
        <v>2032</v>
      </c>
      <c r="D212" t="s">
        <v>17</v>
      </c>
      <c r="E212">
        <v>309.45299999999997</v>
      </c>
      <c r="F212" t="s">
        <v>409</v>
      </c>
    </row>
    <row r="213" spans="1:6" hidden="1" x14ac:dyDescent="0.25">
      <c r="A213" t="s">
        <v>1</v>
      </c>
      <c r="B213" t="s">
        <v>413</v>
      </c>
      <c r="C213">
        <v>2033</v>
      </c>
      <c r="D213" t="s">
        <v>17</v>
      </c>
      <c r="E213">
        <v>276.87799999999999</v>
      </c>
      <c r="F213" t="s">
        <v>409</v>
      </c>
    </row>
    <row r="214" spans="1:6" hidden="1" x14ac:dyDescent="0.25">
      <c r="A214" t="s">
        <v>1</v>
      </c>
      <c r="B214" t="s">
        <v>413</v>
      </c>
      <c r="C214">
        <v>2034</v>
      </c>
      <c r="D214" t="s">
        <v>17</v>
      </c>
      <c r="E214">
        <v>265.77800000000002</v>
      </c>
      <c r="F214" t="s">
        <v>409</v>
      </c>
    </row>
    <row r="215" spans="1:6" hidden="1" x14ac:dyDescent="0.25">
      <c r="A215" t="s">
        <v>1</v>
      </c>
      <c r="B215" t="s">
        <v>413</v>
      </c>
      <c r="C215">
        <v>2035</v>
      </c>
      <c r="D215" t="s">
        <v>17</v>
      </c>
      <c r="E215">
        <v>268.899</v>
      </c>
      <c r="F215" t="s">
        <v>409</v>
      </c>
    </row>
    <row r="216" spans="1:6" hidden="1" x14ac:dyDescent="0.25">
      <c r="A216" t="s">
        <v>1</v>
      </c>
      <c r="B216" t="s">
        <v>413</v>
      </c>
      <c r="C216">
        <v>2036</v>
      </c>
      <c r="D216" t="s">
        <v>17</v>
      </c>
      <c r="E216">
        <v>260.85899999999998</v>
      </c>
      <c r="F216" t="s">
        <v>409</v>
      </c>
    </row>
    <row r="217" spans="1:6" hidden="1" x14ac:dyDescent="0.25">
      <c r="A217" t="s">
        <v>1</v>
      </c>
      <c r="B217" t="s">
        <v>413</v>
      </c>
      <c r="C217">
        <v>2037</v>
      </c>
      <c r="D217" t="s">
        <v>17</v>
      </c>
      <c r="E217">
        <v>216.67500000000001</v>
      </c>
      <c r="F217" t="s">
        <v>409</v>
      </c>
    </row>
    <row r="218" spans="1:6" hidden="1" x14ac:dyDescent="0.25">
      <c r="A218" t="s">
        <v>1</v>
      </c>
      <c r="B218" t="s">
        <v>413</v>
      </c>
      <c r="C218">
        <v>2038</v>
      </c>
      <c r="D218" t="s">
        <v>17</v>
      </c>
      <c r="E218">
        <v>149.63300000000001</v>
      </c>
      <c r="F218" t="s">
        <v>409</v>
      </c>
    </row>
    <row r="219" spans="1:6" hidden="1" x14ac:dyDescent="0.25">
      <c r="A219" t="s">
        <v>1</v>
      </c>
      <c r="B219" t="s">
        <v>413</v>
      </c>
      <c r="C219">
        <v>2039</v>
      </c>
      <c r="D219" t="s">
        <v>17</v>
      </c>
      <c r="E219">
        <v>174.13</v>
      </c>
      <c r="F219" t="s">
        <v>409</v>
      </c>
    </row>
    <row r="220" spans="1:6" hidden="1" x14ac:dyDescent="0.25">
      <c r="A220" t="s">
        <v>1</v>
      </c>
      <c r="B220" t="s">
        <v>413</v>
      </c>
      <c r="C220">
        <v>2040</v>
      </c>
      <c r="D220" t="s">
        <v>17</v>
      </c>
      <c r="E220">
        <v>183.01900000000001</v>
      </c>
      <c r="F220" t="s">
        <v>409</v>
      </c>
    </row>
    <row r="221" spans="1:6" hidden="1" x14ac:dyDescent="0.25">
      <c r="A221" t="s">
        <v>1</v>
      </c>
      <c r="B221" t="s">
        <v>413</v>
      </c>
      <c r="C221">
        <v>2018</v>
      </c>
      <c r="D221" t="s">
        <v>18</v>
      </c>
      <c r="E221">
        <v>535.50900000000001</v>
      </c>
      <c r="F221" t="s">
        <v>409</v>
      </c>
    </row>
    <row r="222" spans="1:6" hidden="1" x14ac:dyDescent="0.25">
      <c r="A222" t="s">
        <v>1</v>
      </c>
      <c r="B222" t="s">
        <v>413</v>
      </c>
      <c r="C222">
        <v>2019</v>
      </c>
      <c r="D222" t="s">
        <v>18</v>
      </c>
      <c r="E222">
        <v>557.84900000000005</v>
      </c>
      <c r="F222" t="s">
        <v>409</v>
      </c>
    </row>
    <row r="223" spans="1:6" hidden="1" x14ac:dyDescent="0.25">
      <c r="A223" t="s">
        <v>1</v>
      </c>
      <c r="B223" t="s">
        <v>413</v>
      </c>
      <c r="C223">
        <v>2020</v>
      </c>
      <c r="D223" t="s">
        <v>18</v>
      </c>
      <c r="E223">
        <v>530.92100000000005</v>
      </c>
      <c r="F223" t="s">
        <v>409</v>
      </c>
    </row>
    <row r="224" spans="1:6" hidden="1" x14ac:dyDescent="0.25">
      <c r="A224" t="s">
        <v>1</v>
      </c>
      <c r="B224" t="s">
        <v>413</v>
      </c>
      <c r="C224">
        <v>2021</v>
      </c>
      <c r="D224" t="s">
        <v>18</v>
      </c>
      <c r="E224">
        <v>488.52199999999999</v>
      </c>
      <c r="F224" t="s">
        <v>409</v>
      </c>
    </row>
    <row r="225" spans="1:6" hidden="1" x14ac:dyDescent="0.25">
      <c r="A225" t="s">
        <v>1</v>
      </c>
      <c r="B225" t="s">
        <v>413</v>
      </c>
      <c r="C225">
        <v>2022</v>
      </c>
      <c r="D225" t="s">
        <v>18</v>
      </c>
      <c r="E225">
        <v>460.41500000000002</v>
      </c>
      <c r="F225" t="s">
        <v>409</v>
      </c>
    </row>
    <row r="226" spans="1:6" hidden="1" x14ac:dyDescent="0.25">
      <c r="A226" t="s">
        <v>1</v>
      </c>
      <c r="B226" t="s">
        <v>413</v>
      </c>
      <c r="C226">
        <v>2023</v>
      </c>
      <c r="D226" t="s">
        <v>18</v>
      </c>
      <c r="E226">
        <v>483.96799647683338</v>
      </c>
      <c r="F226" t="s">
        <v>409</v>
      </c>
    </row>
    <row r="227" spans="1:6" hidden="1" x14ac:dyDescent="0.25">
      <c r="A227" t="s">
        <v>1</v>
      </c>
      <c r="B227" t="s">
        <v>413</v>
      </c>
      <c r="C227">
        <v>2024</v>
      </c>
      <c r="D227" t="s">
        <v>18</v>
      </c>
      <c r="E227">
        <v>508.7258703860652</v>
      </c>
      <c r="F227" t="s">
        <v>409</v>
      </c>
    </row>
    <row r="228" spans="1:6" hidden="1" x14ac:dyDescent="0.25">
      <c r="A228" t="s">
        <v>1</v>
      </c>
      <c r="B228" t="s">
        <v>413</v>
      </c>
      <c r="C228">
        <v>2025</v>
      </c>
      <c r="D228" t="s">
        <v>18</v>
      </c>
      <c r="E228">
        <v>534.75025845525715</v>
      </c>
      <c r="F228" t="s">
        <v>409</v>
      </c>
    </row>
    <row r="229" spans="1:6" hidden="1" x14ac:dyDescent="0.25">
      <c r="A229" t="s">
        <v>1</v>
      </c>
      <c r="B229" t="s">
        <v>413</v>
      </c>
      <c r="C229">
        <v>2026</v>
      </c>
      <c r="D229" t="s">
        <v>18</v>
      </c>
      <c r="E229">
        <v>562.10595050130769</v>
      </c>
      <c r="F229" t="s">
        <v>409</v>
      </c>
    </row>
    <row r="230" spans="1:6" hidden="1" x14ac:dyDescent="0.25">
      <c r="A230" t="s">
        <v>1</v>
      </c>
      <c r="B230" t="s">
        <v>413</v>
      </c>
      <c r="C230">
        <v>2027</v>
      </c>
      <c r="D230" t="s">
        <v>18</v>
      </c>
      <c r="E230">
        <v>590.86105072993712</v>
      </c>
      <c r="F230" t="s">
        <v>409</v>
      </c>
    </row>
    <row r="231" spans="1:6" hidden="1" x14ac:dyDescent="0.25">
      <c r="A231" t="s">
        <v>1</v>
      </c>
      <c r="B231" t="s">
        <v>413</v>
      </c>
      <c r="C231">
        <v>2028</v>
      </c>
      <c r="D231" t="s">
        <v>18</v>
      </c>
      <c r="E231">
        <v>621.08714728660948</v>
      </c>
      <c r="F231" t="s">
        <v>409</v>
      </c>
    </row>
    <row r="232" spans="1:6" hidden="1" x14ac:dyDescent="0.25">
      <c r="A232" t="s">
        <v>1</v>
      </c>
      <c r="B232" t="s">
        <v>413</v>
      </c>
      <c r="C232">
        <v>2029</v>
      </c>
      <c r="D232" t="s">
        <v>18</v>
      </c>
      <c r="E232">
        <v>652.85949048100599</v>
      </c>
      <c r="F232" t="s">
        <v>409</v>
      </c>
    </row>
    <row r="233" spans="1:6" hidden="1" x14ac:dyDescent="0.25">
      <c r="A233" t="s">
        <v>1</v>
      </c>
      <c r="B233" t="s">
        <v>413</v>
      </c>
      <c r="C233">
        <v>2030</v>
      </c>
      <c r="D233" t="s">
        <v>18</v>
      </c>
      <c r="E233">
        <v>686.25718012875052</v>
      </c>
      <c r="F233" t="s">
        <v>409</v>
      </c>
    </row>
    <row r="234" spans="1:6" hidden="1" x14ac:dyDescent="0.25">
      <c r="A234" t="s">
        <v>1</v>
      </c>
      <c r="B234" t="s">
        <v>413</v>
      </c>
      <c r="C234">
        <v>2031</v>
      </c>
      <c r="D234" t="s">
        <v>18</v>
      </c>
      <c r="E234">
        <v>721.3633624767931</v>
      </c>
      <c r="F234" t="s">
        <v>409</v>
      </c>
    </row>
    <row r="235" spans="1:6" hidden="1" x14ac:dyDescent="0.25">
      <c r="A235" t="s">
        <v>1</v>
      </c>
      <c r="B235" t="s">
        <v>413</v>
      </c>
      <c r="C235">
        <v>2032</v>
      </c>
      <c r="D235" t="s">
        <v>18</v>
      </c>
      <c r="E235">
        <v>758.26543720270911</v>
      </c>
      <c r="F235" t="s">
        <v>409</v>
      </c>
    </row>
    <row r="236" spans="1:6" hidden="1" x14ac:dyDescent="0.25">
      <c r="A236" t="s">
        <v>1</v>
      </c>
      <c r="B236" t="s">
        <v>413</v>
      </c>
      <c r="C236">
        <v>2033</v>
      </c>
      <c r="D236" t="s">
        <v>18</v>
      </c>
      <c r="E236">
        <v>797.05527500325866</v>
      </c>
      <c r="F236" t="s">
        <v>409</v>
      </c>
    </row>
    <row r="237" spans="1:6" hidden="1" x14ac:dyDescent="0.25">
      <c r="A237" t="s">
        <v>1</v>
      </c>
      <c r="B237" t="s">
        <v>413</v>
      </c>
      <c r="C237">
        <v>2034</v>
      </c>
      <c r="D237" t="s">
        <v>18</v>
      </c>
      <c r="E237">
        <v>837.8294463139091</v>
      </c>
      <c r="F237" t="s">
        <v>409</v>
      </c>
    </row>
    <row r="238" spans="1:6" hidden="1" x14ac:dyDescent="0.25">
      <c r="A238" t="s">
        <v>1</v>
      </c>
      <c r="B238" t="s">
        <v>413</v>
      </c>
      <c r="C238">
        <v>2035</v>
      </c>
      <c r="D238" t="s">
        <v>18</v>
      </c>
      <c r="E238">
        <v>880.68946172873859</v>
      </c>
      <c r="F238" t="s">
        <v>409</v>
      </c>
    </row>
    <row r="239" spans="1:6" hidden="1" x14ac:dyDescent="0.25">
      <c r="A239" t="s">
        <v>1</v>
      </c>
      <c r="B239" t="s">
        <v>413</v>
      </c>
      <c r="C239">
        <v>2036</v>
      </c>
      <c r="D239" t="s">
        <v>18</v>
      </c>
      <c r="E239">
        <v>925.74202471926105</v>
      </c>
      <c r="F239" t="s">
        <v>409</v>
      </c>
    </row>
    <row r="240" spans="1:6" hidden="1" x14ac:dyDescent="0.25">
      <c r="A240" t="s">
        <v>1</v>
      </c>
      <c r="B240" t="s">
        <v>413</v>
      </c>
      <c r="C240">
        <v>2037</v>
      </c>
      <c r="D240" t="s">
        <v>18</v>
      </c>
      <c r="E240">
        <v>973.09929728133943</v>
      </c>
      <c r="F240" t="s">
        <v>409</v>
      </c>
    </row>
    <row r="241" spans="1:6" hidden="1" x14ac:dyDescent="0.25">
      <c r="A241" t="s">
        <v>1</v>
      </c>
      <c r="B241" t="s">
        <v>413</v>
      </c>
      <c r="C241">
        <v>2038</v>
      </c>
      <c r="D241" t="s">
        <v>18</v>
      </c>
      <c r="E241">
        <v>1022.8791791715392</v>
      </c>
      <c r="F241" t="s">
        <v>409</v>
      </c>
    </row>
    <row r="242" spans="1:6" hidden="1" x14ac:dyDescent="0.25">
      <c r="A242" t="s">
        <v>1</v>
      </c>
      <c r="B242" t="s">
        <v>413</v>
      </c>
      <c r="C242">
        <v>2039</v>
      </c>
      <c r="D242" t="s">
        <v>18</v>
      </c>
      <c r="E242">
        <v>1075.2056014280979</v>
      </c>
      <c r="F242" t="s">
        <v>409</v>
      </c>
    </row>
    <row r="243" spans="1:6" hidden="1" x14ac:dyDescent="0.25">
      <c r="A243" t="s">
        <v>1</v>
      </c>
      <c r="B243" t="s">
        <v>413</v>
      </c>
      <c r="C243">
        <v>2040</v>
      </c>
      <c r="D243" t="s">
        <v>18</v>
      </c>
      <c r="E243">
        <v>1130.2088349072583</v>
      </c>
      <c r="F243" t="s">
        <v>409</v>
      </c>
    </row>
    <row r="244" spans="1:6" hidden="1" x14ac:dyDescent="0.25">
      <c r="A244" t="s">
        <v>1</v>
      </c>
      <c r="B244" t="s">
        <v>413</v>
      </c>
      <c r="C244" t="s">
        <v>410</v>
      </c>
      <c r="D244" t="s">
        <v>13</v>
      </c>
      <c r="E244">
        <v>354.37188736327676</v>
      </c>
      <c r="F244" t="s">
        <v>409</v>
      </c>
    </row>
    <row r="245" spans="1:6" hidden="1" x14ac:dyDescent="0.25">
      <c r="A245" t="s">
        <v>1</v>
      </c>
      <c r="B245" t="s">
        <v>413</v>
      </c>
      <c r="C245" t="s">
        <v>410</v>
      </c>
      <c r="D245" t="s">
        <v>411</v>
      </c>
      <c r="E245">
        <v>809.35313009076094</v>
      </c>
      <c r="F245" t="s">
        <v>409</v>
      </c>
    </row>
    <row r="246" spans="1:6" hidden="1" x14ac:dyDescent="0.25">
      <c r="A246" t="s">
        <v>1</v>
      </c>
      <c r="B246" t="s">
        <v>413</v>
      </c>
      <c r="C246" t="s">
        <v>410</v>
      </c>
      <c r="D246" t="s">
        <v>412</v>
      </c>
      <c r="E246">
        <v>2081.1937630905322</v>
      </c>
      <c r="F246" t="s">
        <v>409</v>
      </c>
    </row>
    <row r="247" spans="1:6" hidden="1" x14ac:dyDescent="0.25">
      <c r="A247" t="s">
        <v>1</v>
      </c>
      <c r="B247" t="s">
        <v>414</v>
      </c>
      <c r="C247">
        <v>2018</v>
      </c>
      <c r="D247" t="s">
        <v>17</v>
      </c>
      <c r="E247">
        <v>535.50900000000001</v>
      </c>
      <c r="F247" t="s">
        <v>409</v>
      </c>
    </row>
    <row r="248" spans="1:6" hidden="1" x14ac:dyDescent="0.25">
      <c r="A248" t="s">
        <v>1</v>
      </c>
      <c r="B248" t="s">
        <v>414</v>
      </c>
      <c r="C248">
        <v>2019</v>
      </c>
      <c r="D248" t="s">
        <v>17</v>
      </c>
      <c r="E248">
        <v>557.84900000000005</v>
      </c>
      <c r="F248" t="s">
        <v>409</v>
      </c>
    </row>
    <row r="249" spans="1:6" hidden="1" x14ac:dyDescent="0.25">
      <c r="A249" t="s">
        <v>1</v>
      </c>
      <c r="B249" t="s">
        <v>414</v>
      </c>
      <c r="C249">
        <v>2020</v>
      </c>
      <c r="D249" t="s">
        <v>17</v>
      </c>
      <c r="E249">
        <v>530.92100000000005</v>
      </c>
      <c r="F249" t="s">
        <v>409</v>
      </c>
    </row>
    <row r="250" spans="1:6" hidden="1" x14ac:dyDescent="0.25">
      <c r="A250" t="s">
        <v>1</v>
      </c>
      <c r="B250" t="s">
        <v>414</v>
      </c>
      <c r="C250">
        <v>2021</v>
      </c>
      <c r="D250" t="s">
        <v>17</v>
      </c>
      <c r="E250">
        <v>488.52199999999999</v>
      </c>
      <c r="F250" t="s">
        <v>409</v>
      </c>
    </row>
    <row r="251" spans="1:6" hidden="1" x14ac:dyDescent="0.25">
      <c r="A251" t="s">
        <v>1</v>
      </c>
      <c r="B251" t="s">
        <v>414</v>
      </c>
      <c r="C251">
        <v>2022</v>
      </c>
      <c r="D251" t="s">
        <v>17</v>
      </c>
      <c r="E251">
        <v>460.41500000000002</v>
      </c>
      <c r="F251" t="s">
        <v>409</v>
      </c>
    </row>
    <row r="252" spans="1:6" hidden="1" x14ac:dyDescent="0.25">
      <c r="A252" t="s">
        <v>1</v>
      </c>
      <c r="B252" t="s">
        <v>414</v>
      </c>
      <c r="C252">
        <v>2023</v>
      </c>
      <c r="D252" t="s">
        <v>17</v>
      </c>
      <c r="E252">
        <v>404.04599999999999</v>
      </c>
      <c r="F252" t="s">
        <v>409</v>
      </c>
    </row>
    <row r="253" spans="1:6" hidden="1" x14ac:dyDescent="0.25">
      <c r="A253" t="s">
        <v>1</v>
      </c>
      <c r="B253" t="s">
        <v>414</v>
      </c>
      <c r="C253">
        <v>2024</v>
      </c>
      <c r="D253" t="s">
        <v>17</v>
      </c>
      <c r="E253">
        <v>478.89299999999997</v>
      </c>
      <c r="F253" t="s">
        <v>409</v>
      </c>
    </row>
    <row r="254" spans="1:6" hidden="1" x14ac:dyDescent="0.25">
      <c r="A254" t="s">
        <v>1</v>
      </c>
      <c r="B254" t="s">
        <v>414</v>
      </c>
      <c r="C254">
        <v>2025</v>
      </c>
      <c r="D254" t="s">
        <v>17</v>
      </c>
      <c r="E254">
        <v>483.88799999999998</v>
      </c>
      <c r="F254" t="s">
        <v>409</v>
      </c>
    </row>
    <row r="255" spans="1:6" hidden="1" x14ac:dyDescent="0.25">
      <c r="A255" t="s">
        <v>1</v>
      </c>
      <c r="B255" t="s">
        <v>414</v>
      </c>
      <c r="C255">
        <v>2026</v>
      </c>
      <c r="D255" t="s">
        <v>17</v>
      </c>
      <c r="E255">
        <v>475.56599999999997</v>
      </c>
      <c r="F255" t="s">
        <v>409</v>
      </c>
    </row>
    <row r="256" spans="1:6" hidden="1" x14ac:dyDescent="0.25">
      <c r="A256" t="s">
        <v>1</v>
      </c>
      <c r="B256" t="s">
        <v>414</v>
      </c>
      <c r="C256">
        <v>2027</v>
      </c>
      <c r="D256" t="s">
        <v>17</v>
      </c>
      <c r="E256">
        <v>494.964</v>
      </c>
      <c r="F256" t="s">
        <v>409</v>
      </c>
    </row>
    <row r="257" spans="1:6" hidden="1" x14ac:dyDescent="0.25">
      <c r="A257" t="s">
        <v>1</v>
      </c>
      <c r="B257" t="s">
        <v>414</v>
      </c>
      <c r="C257">
        <v>2028</v>
      </c>
      <c r="D257" t="s">
        <v>17</v>
      </c>
      <c r="E257">
        <v>461.12</v>
      </c>
      <c r="F257" t="s">
        <v>409</v>
      </c>
    </row>
    <row r="258" spans="1:6" hidden="1" x14ac:dyDescent="0.25">
      <c r="A258" t="s">
        <v>1</v>
      </c>
      <c r="B258" t="s">
        <v>414</v>
      </c>
      <c r="C258">
        <v>2029</v>
      </c>
      <c r="D258" t="s">
        <v>17</v>
      </c>
      <c r="E258">
        <v>348.255</v>
      </c>
      <c r="F258" t="s">
        <v>409</v>
      </c>
    </row>
    <row r="259" spans="1:6" hidden="1" x14ac:dyDescent="0.25">
      <c r="A259" t="s">
        <v>1</v>
      </c>
      <c r="B259" t="s">
        <v>414</v>
      </c>
      <c r="C259">
        <v>2030</v>
      </c>
      <c r="D259" t="s">
        <v>17</v>
      </c>
      <c r="E259">
        <v>331.738</v>
      </c>
      <c r="F259" t="s">
        <v>409</v>
      </c>
    </row>
    <row r="260" spans="1:6" hidden="1" x14ac:dyDescent="0.25">
      <c r="A260" t="s">
        <v>1</v>
      </c>
      <c r="B260" t="s">
        <v>414</v>
      </c>
      <c r="C260">
        <v>2031</v>
      </c>
      <c r="D260" t="s">
        <v>17</v>
      </c>
      <c r="E260">
        <v>311.14499999999998</v>
      </c>
      <c r="F260" t="s">
        <v>409</v>
      </c>
    </row>
    <row r="261" spans="1:6" hidden="1" x14ac:dyDescent="0.25">
      <c r="A261" t="s">
        <v>1</v>
      </c>
      <c r="B261" t="s">
        <v>414</v>
      </c>
      <c r="C261">
        <v>2032</v>
      </c>
      <c r="D261" t="s">
        <v>17</v>
      </c>
      <c r="E261">
        <v>309.45299999999997</v>
      </c>
      <c r="F261" t="s">
        <v>409</v>
      </c>
    </row>
    <row r="262" spans="1:6" hidden="1" x14ac:dyDescent="0.25">
      <c r="A262" t="s">
        <v>1</v>
      </c>
      <c r="B262" t="s">
        <v>414</v>
      </c>
      <c r="C262">
        <v>2033</v>
      </c>
      <c r="D262" t="s">
        <v>17</v>
      </c>
      <c r="E262">
        <v>276.87799999999999</v>
      </c>
      <c r="F262" t="s">
        <v>409</v>
      </c>
    </row>
    <row r="263" spans="1:6" hidden="1" x14ac:dyDescent="0.25">
      <c r="A263" t="s">
        <v>1</v>
      </c>
      <c r="B263" t="s">
        <v>414</v>
      </c>
      <c r="C263">
        <v>2034</v>
      </c>
      <c r="D263" t="s">
        <v>17</v>
      </c>
      <c r="E263">
        <v>265.77800000000002</v>
      </c>
      <c r="F263" t="s">
        <v>409</v>
      </c>
    </row>
    <row r="264" spans="1:6" hidden="1" x14ac:dyDescent="0.25">
      <c r="A264" t="s">
        <v>1</v>
      </c>
      <c r="B264" t="s">
        <v>414</v>
      </c>
      <c r="C264">
        <v>2035</v>
      </c>
      <c r="D264" t="s">
        <v>17</v>
      </c>
      <c r="E264">
        <v>268.899</v>
      </c>
      <c r="F264" t="s">
        <v>409</v>
      </c>
    </row>
    <row r="265" spans="1:6" hidden="1" x14ac:dyDescent="0.25">
      <c r="A265" t="s">
        <v>1</v>
      </c>
      <c r="B265" t="s">
        <v>414</v>
      </c>
      <c r="C265">
        <v>2036</v>
      </c>
      <c r="D265" t="s">
        <v>17</v>
      </c>
      <c r="E265">
        <v>260.85899999999998</v>
      </c>
      <c r="F265" t="s">
        <v>409</v>
      </c>
    </row>
    <row r="266" spans="1:6" hidden="1" x14ac:dyDescent="0.25">
      <c r="A266" t="s">
        <v>1</v>
      </c>
      <c r="B266" t="s">
        <v>414</v>
      </c>
      <c r="C266">
        <v>2037</v>
      </c>
      <c r="D266" t="s">
        <v>17</v>
      </c>
      <c r="E266">
        <v>216.67500000000001</v>
      </c>
      <c r="F266" t="s">
        <v>409</v>
      </c>
    </row>
    <row r="267" spans="1:6" hidden="1" x14ac:dyDescent="0.25">
      <c r="A267" t="s">
        <v>1</v>
      </c>
      <c r="B267" t="s">
        <v>414</v>
      </c>
      <c r="C267">
        <v>2038</v>
      </c>
      <c r="D267" t="s">
        <v>17</v>
      </c>
      <c r="E267">
        <v>149.63300000000001</v>
      </c>
      <c r="F267" t="s">
        <v>409</v>
      </c>
    </row>
    <row r="268" spans="1:6" hidden="1" x14ac:dyDescent="0.25">
      <c r="A268" t="s">
        <v>1</v>
      </c>
      <c r="B268" t="s">
        <v>414</v>
      </c>
      <c r="C268">
        <v>2039</v>
      </c>
      <c r="D268" t="s">
        <v>17</v>
      </c>
      <c r="E268">
        <v>174.13</v>
      </c>
      <c r="F268" t="s">
        <v>409</v>
      </c>
    </row>
    <row r="269" spans="1:6" hidden="1" x14ac:dyDescent="0.25">
      <c r="A269" t="s">
        <v>1</v>
      </c>
      <c r="B269" t="s">
        <v>414</v>
      </c>
      <c r="C269">
        <v>2040</v>
      </c>
      <c r="D269" t="s">
        <v>17</v>
      </c>
      <c r="E269">
        <v>183.01900000000001</v>
      </c>
      <c r="F269" t="s">
        <v>409</v>
      </c>
    </row>
    <row r="270" spans="1:6" hidden="1" x14ac:dyDescent="0.25">
      <c r="A270" t="s">
        <v>1</v>
      </c>
      <c r="B270" t="s">
        <v>414</v>
      </c>
      <c r="C270">
        <v>2018</v>
      </c>
      <c r="D270" t="s">
        <v>18</v>
      </c>
      <c r="E270">
        <v>535.50900000000001</v>
      </c>
      <c r="F270" t="s">
        <v>409</v>
      </c>
    </row>
    <row r="271" spans="1:6" hidden="1" x14ac:dyDescent="0.25">
      <c r="A271" t="s">
        <v>1</v>
      </c>
      <c r="B271" t="s">
        <v>414</v>
      </c>
      <c r="C271">
        <v>2019</v>
      </c>
      <c r="D271" t="s">
        <v>18</v>
      </c>
      <c r="E271">
        <v>557.84900000000005</v>
      </c>
      <c r="F271" t="s">
        <v>409</v>
      </c>
    </row>
    <row r="272" spans="1:6" hidden="1" x14ac:dyDescent="0.25">
      <c r="A272" t="s">
        <v>1</v>
      </c>
      <c r="B272" t="s">
        <v>414</v>
      </c>
      <c r="C272">
        <v>2020</v>
      </c>
      <c r="D272" t="s">
        <v>18</v>
      </c>
      <c r="E272">
        <v>530.92100000000005</v>
      </c>
      <c r="F272" t="s">
        <v>409</v>
      </c>
    </row>
    <row r="273" spans="1:6" hidden="1" x14ac:dyDescent="0.25">
      <c r="A273" t="s">
        <v>1</v>
      </c>
      <c r="B273" t="s">
        <v>414</v>
      </c>
      <c r="C273">
        <v>2021</v>
      </c>
      <c r="D273" t="s">
        <v>18</v>
      </c>
      <c r="E273">
        <v>488.52199999999999</v>
      </c>
      <c r="F273" t="s">
        <v>409</v>
      </c>
    </row>
    <row r="274" spans="1:6" hidden="1" x14ac:dyDescent="0.25">
      <c r="A274" t="s">
        <v>1</v>
      </c>
      <c r="B274" t="s">
        <v>414</v>
      </c>
      <c r="C274">
        <v>2022</v>
      </c>
      <c r="D274" t="s">
        <v>18</v>
      </c>
      <c r="E274">
        <v>460.41500000000002</v>
      </c>
      <c r="F274" t="s">
        <v>409</v>
      </c>
    </row>
    <row r="275" spans="1:6" hidden="1" x14ac:dyDescent="0.25">
      <c r="A275" t="s">
        <v>1</v>
      </c>
      <c r="B275" t="s">
        <v>414</v>
      </c>
      <c r="C275">
        <v>2023</v>
      </c>
      <c r="D275" t="s">
        <v>18</v>
      </c>
      <c r="E275">
        <v>483.96799647683338</v>
      </c>
      <c r="F275" t="s">
        <v>409</v>
      </c>
    </row>
    <row r="276" spans="1:6" hidden="1" x14ac:dyDescent="0.25">
      <c r="A276" t="s">
        <v>1</v>
      </c>
      <c r="B276" t="s">
        <v>414</v>
      </c>
      <c r="C276">
        <v>2024</v>
      </c>
      <c r="D276" t="s">
        <v>18</v>
      </c>
      <c r="E276">
        <v>508.7258703860652</v>
      </c>
      <c r="F276" t="s">
        <v>409</v>
      </c>
    </row>
    <row r="277" spans="1:6" hidden="1" x14ac:dyDescent="0.25">
      <c r="A277" t="s">
        <v>1</v>
      </c>
      <c r="B277" t="s">
        <v>414</v>
      </c>
      <c r="C277">
        <v>2025</v>
      </c>
      <c r="D277" t="s">
        <v>18</v>
      </c>
      <c r="E277">
        <v>534.75025845525715</v>
      </c>
      <c r="F277" t="s">
        <v>409</v>
      </c>
    </row>
    <row r="278" spans="1:6" hidden="1" x14ac:dyDescent="0.25">
      <c r="A278" t="s">
        <v>1</v>
      </c>
      <c r="B278" t="s">
        <v>414</v>
      </c>
      <c r="C278">
        <v>2026</v>
      </c>
      <c r="D278" t="s">
        <v>18</v>
      </c>
      <c r="E278">
        <v>562.10595050130769</v>
      </c>
      <c r="F278" t="s">
        <v>409</v>
      </c>
    </row>
    <row r="279" spans="1:6" hidden="1" x14ac:dyDescent="0.25">
      <c r="A279" t="s">
        <v>1</v>
      </c>
      <c r="B279" t="s">
        <v>414</v>
      </c>
      <c r="C279">
        <v>2027</v>
      </c>
      <c r="D279" t="s">
        <v>18</v>
      </c>
      <c r="E279">
        <v>590.86105072993712</v>
      </c>
      <c r="F279" t="s">
        <v>409</v>
      </c>
    </row>
    <row r="280" spans="1:6" hidden="1" x14ac:dyDescent="0.25">
      <c r="A280" t="s">
        <v>1</v>
      </c>
      <c r="B280" t="s">
        <v>414</v>
      </c>
      <c r="C280">
        <v>2028</v>
      </c>
      <c r="D280" t="s">
        <v>18</v>
      </c>
      <c r="E280">
        <v>621.08714728660948</v>
      </c>
      <c r="F280" t="s">
        <v>409</v>
      </c>
    </row>
    <row r="281" spans="1:6" hidden="1" x14ac:dyDescent="0.25">
      <c r="A281" t="s">
        <v>1</v>
      </c>
      <c r="B281" t="s">
        <v>414</v>
      </c>
      <c r="C281">
        <v>2029</v>
      </c>
      <c r="D281" t="s">
        <v>18</v>
      </c>
      <c r="E281">
        <v>652.85949048100599</v>
      </c>
      <c r="F281" t="s">
        <v>409</v>
      </c>
    </row>
    <row r="282" spans="1:6" hidden="1" x14ac:dyDescent="0.25">
      <c r="A282" t="s">
        <v>1</v>
      </c>
      <c r="B282" t="s">
        <v>414</v>
      </c>
      <c r="C282">
        <v>2030</v>
      </c>
      <c r="D282" t="s">
        <v>18</v>
      </c>
      <c r="E282">
        <v>686.25718012875052</v>
      </c>
      <c r="F282" t="s">
        <v>409</v>
      </c>
    </row>
    <row r="283" spans="1:6" hidden="1" x14ac:dyDescent="0.25">
      <c r="A283" t="s">
        <v>1</v>
      </c>
      <c r="B283" t="s">
        <v>414</v>
      </c>
      <c r="C283">
        <v>2031</v>
      </c>
      <c r="D283" t="s">
        <v>18</v>
      </c>
      <c r="E283">
        <v>721.3633624767931</v>
      </c>
      <c r="F283" t="s">
        <v>409</v>
      </c>
    </row>
    <row r="284" spans="1:6" hidden="1" x14ac:dyDescent="0.25">
      <c r="A284" t="s">
        <v>1</v>
      </c>
      <c r="B284" t="s">
        <v>414</v>
      </c>
      <c r="C284">
        <v>2032</v>
      </c>
      <c r="D284" t="s">
        <v>18</v>
      </c>
      <c r="E284">
        <v>758.26543720270911</v>
      </c>
      <c r="F284" t="s">
        <v>409</v>
      </c>
    </row>
    <row r="285" spans="1:6" hidden="1" x14ac:dyDescent="0.25">
      <c r="A285" t="s">
        <v>1</v>
      </c>
      <c r="B285" t="s">
        <v>414</v>
      </c>
      <c r="C285">
        <v>2033</v>
      </c>
      <c r="D285" t="s">
        <v>18</v>
      </c>
      <c r="E285">
        <v>797.05527500325866</v>
      </c>
      <c r="F285" t="s">
        <v>409</v>
      </c>
    </row>
    <row r="286" spans="1:6" hidden="1" x14ac:dyDescent="0.25">
      <c r="A286" t="s">
        <v>1</v>
      </c>
      <c r="B286" t="s">
        <v>414</v>
      </c>
      <c r="C286">
        <v>2034</v>
      </c>
      <c r="D286" t="s">
        <v>18</v>
      </c>
      <c r="E286">
        <v>837.8294463139091</v>
      </c>
      <c r="F286" t="s">
        <v>409</v>
      </c>
    </row>
    <row r="287" spans="1:6" hidden="1" x14ac:dyDescent="0.25">
      <c r="A287" t="s">
        <v>1</v>
      </c>
      <c r="B287" t="s">
        <v>414</v>
      </c>
      <c r="C287">
        <v>2035</v>
      </c>
      <c r="D287" t="s">
        <v>18</v>
      </c>
      <c r="E287">
        <v>880.68946172873859</v>
      </c>
      <c r="F287" t="s">
        <v>409</v>
      </c>
    </row>
    <row r="288" spans="1:6" hidden="1" x14ac:dyDescent="0.25">
      <c r="A288" t="s">
        <v>1</v>
      </c>
      <c r="B288" t="s">
        <v>414</v>
      </c>
      <c r="C288">
        <v>2036</v>
      </c>
      <c r="D288" t="s">
        <v>18</v>
      </c>
      <c r="E288">
        <v>925.74202471926105</v>
      </c>
      <c r="F288" t="s">
        <v>409</v>
      </c>
    </row>
    <row r="289" spans="1:6" hidden="1" x14ac:dyDescent="0.25">
      <c r="A289" t="s">
        <v>1</v>
      </c>
      <c r="B289" t="s">
        <v>414</v>
      </c>
      <c r="C289">
        <v>2037</v>
      </c>
      <c r="D289" t="s">
        <v>18</v>
      </c>
      <c r="E289">
        <v>973.09929728133943</v>
      </c>
      <c r="F289" t="s">
        <v>409</v>
      </c>
    </row>
    <row r="290" spans="1:6" hidden="1" x14ac:dyDescent="0.25">
      <c r="A290" t="s">
        <v>1</v>
      </c>
      <c r="B290" t="s">
        <v>414</v>
      </c>
      <c r="C290">
        <v>2038</v>
      </c>
      <c r="D290" t="s">
        <v>18</v>
      </c>
      <c r="E290">
        <v>1022.8791791715392</v>
      </c>
      <c r="F290" t="s">
        <v>409</v>
      </c>
    </row>
    <row r="291" spans="1:6" hidden="1" x14ac:dyDescent="0.25">
      <c r="A291" t="s">
        <v>1</v>
      </c>
      <c r="B291" t="s">
        <v>414</v>
      </c>
      <c r="C291">
        <v>2039</v>
      </c>
      <c r="D291" t="s">
        <v>18</v>
      </c>
      <c r="E291">
        <v>1075.2056014280979</v>
      </c>
      <c r="F291" t="s">
        <v>409</v>
      </c>
    </row>
    <row r="292" spans="1:6" hidden="1" x14ac:dyDescent="0.25">
      <c r="A292" t="s">
        <v>1</v>
      </c>
      <c r="B292" t="s">
        <v>414</v>
      </c>
      <c r="C292">
        <v>2040</v>
      </c>
      <c r="D292" t="s">
        <v>18</v>
      </c>
      <c r="E292">
        <v>1130.2088349072583</v>
      </c>
      <c r="F292" t="s">
        <v>409</v>
      </c>
    </row>
    <row r="293" spans="1:6" hidden="1" x14ac:dyDescent="0.25">
      <c r="A293" t="s">
        <v>1</v>
      </c>
      <c r="B293" t="s">
        <v>414</v>
      </c>
      <c r="C293" t="s">
        <v>410</v>
      </c>
      <c r="D293" t="s">
        <v>13</v>
      </c>
      <c r="E293">
        <v>265.77891552245779</v>
      </c>
      <c r="F293" t="s">
        <v>409</v>
      </c>
    </row>
    <row r="294" spans="1:6" hidden="1" x14ac:dyDescent="0.25">
      <c r="A294" t="s">
        <v>1</v>
      </c>
      <c r="B294" t="s">
        <v>414</v>
      </c>
      <c r="C294" t="s">
        <v>410</v>
      </c>
      <c r="D294" t="s">
        <v>411</v>
      </c>
      <c r="E294">
        <v>216.79101698859674</v>
      </c>
      <c r="F294" t="s">
        <v>409</v>
      </c>
    </row>
    <row r="295" spans="1:6" hidden="1" x14ac:dyDescent="0.25">
      <c r="A295" t="s">
        <v>1</v>
      </c>
      <c r="B295" t="s">
        <v>414</v>
      </c>
      <c r="C295" t="s">
        <v>410</v>
      </c>
      <c r="D295" t="s">
        <v>412</v>
      </c>
      <c r="E295">
        <v>1951.1191528973732</v>
      </c>
      <c r="F295" t="s">
        <v>409</v>
      </c>
    </row>
    <row r="296" spans="1:6" hidden="1" x14ac:dyDescent="0.25">
      <c r="A296" t="s">
        <v>3</v>
      </c>
      <c r="B296" t="s">
        <v>408</v>
      </c>
      <c r="C296">
        <v>2018</v>
      </c>
      <c r="D296" t="s">
        <v>17</v>
      </c>
      <c r="E296">
        <v>0</v>
      </c>
      <c r="F296" t="s">
        <v>409</v>
      </c>
    </row>
    <row r="297" spans="1:6" hidden="1" x14ac:dyDescent="0.25">
      <c r="A297" t="s">
        <v>3</v>
      </c>
      <c r="B297" t="s">
        <v>408</v>
      </c>
      <c r="C297">
        <v>2019</v>
      </c>
      <c r="D297" t="s">
        <v>17</v>
      </c>
      <c r="E297">
        <v>0</v>
      </c>
      <c r="F297" t="s">
        <v>409</v>
      </c>
    </row>
    <row r="298" spans="1:6" hidden="1" x14ac:dyDescent="0.25">
      <c r="A298" t="s">
        <v>3</v>
      </c>
      <c r="B298" t="s">
        <v>408</v>
      </c>
      <c r="C298">
        <v>2020</v>
      </c>
      <c r="D298" t="s">
        <v>17</v>
      </c>
      <c r="E298">
        <v>0</v>
      </c>
      <c r="F298" t="s">
        <v>409</v>
      </c>
    </row>
    <row r="299" spans="1:6" hidden="1" x14ac:dyDescent="0.25">
      <c r="A299" t="s">
        <v>3</v>
      </c>
      <c r="B299" t="s">
        <v>408</v>
      </c>
      <c r="C299">
        <v>2021</v>
      </c>
      <c r="D299" t="s">
        <v>17</v>
      </c>
      <c r="E299">
        <v>0.188</v>
      </c>
      <c r="F299" t="s">
        <v>409</v>
      </c>
    </row>
    <row r="300" spans="1:6" hidden="1" x14ac:dyDescent="0.25">
      <c r="A300" t="s">
        <v>3</v>
      </c>
      <c r="B300" t="s">
        <v>408</v>
      </c>
      <c r="C300">
        <v>2022</v>
      </c>
      <c r="D300" t="s">
        <v>17</v>
      </c>
      <c r="E300">
        <v>3.4750000000000001</v>
      </c>
      <c r="F300" t="s">
        <v>409</v>
      </c>
    </row>
    <row r="301" spans="1:6" x14ac:dyDescent="0.25">
      <c r="A301" t="s">
        <v>3</v>
      </c>
      <c r="B301" t="s">
        <v>408</v>
      </c>
      <c r="C301">
        <v>2023</v>
      </c>
      <c r="D301" t="s">
        <v>17</v>
      </c>
      <c r="E301">
        <v>16.725999999999999</v>
      </c>
      <c r="F301" t="s">
        <v>409</v>
      </c>
    </row>
    <row r="302" spans="1:6" hidden="1" x14ac:dyDescent="0.25">
      <c r="A302" t="s">
        <v>3</v>
      </c>
      <c r="B302" t="s">
        <v>408</v>
      </c>
      <c r="C302">
        <v>2024</v>
      </c>
      <c r="D302" t="s">
        <v>17</v>
      </c>
      <c r="E302">
        <v>39.863999999999997</v>
      </c>
      <c r="F302" t="s">
        <v>409</v>
      </c>
    </row>
    <row r="303" spans="1:6" hidden="1" x14ac:dyDescent="0.25">
      <c r="A303" t="s">
        <v>3</v>
      </c>
      <c r="B303" t="s">
        <v>408</v>
      </c>
      <c r="C303">
        <v>2025</v>
      </c>
      <c r="D303" t="s">
        <v>17</v>
      </c>
      <c r="E303">
        <v>37.578000000000003</v>
      </c>
      <c r="F303" t="s">
        <v>409</v>
      </c>
    </row>
    <row r="304" spans="1:6" hidden="1" x14ac:dyDescent="0.25">
      <c r="A304" t="s">
        <v>3</v>
      </c>
      <c r="B304" t="s">
        <v>408</v>
      </c>
      <c r="C304">
        <v>2026</v>
      </c>
      <c r="D304" t="s">
        <v>17</v>
      </c>
      <c r="E304">
        <v>39.969000000000001</v>
      </c>
      <c r="F304" t="s">
        <v>409</v>
      </c>
    </row>
    <row r="305" spans="1:6" hidden="1" x14ac:dyDescent="0.25">
      <c r="A305" t="s">
        <v>3</v>
      </c>
      <c r="B305" t="s">
        <v>408</v>
      </c>
      <c r="C305">
        <v>2027</v>
      </c>
      <c r="D305" t="s">
        <v>17</v>
      </c>
      <c r="E305">
        <v>41.682000000000002</v>
      </c>
      <c r="F305" t="s">
        <v>409</v>
      </c>
    </row>
    <row r="306" spans="1:6" hidden="1" x14ac:dyDescent="0.25">
      <c r="A306" t="s">
        <v>3</v>
      </c>
      <c r="B306" t="s">
        <v>408</v>
      </c>
      <c r="C306">
        <v>2028</v>
      </c>
      <c r="D306" t="s">
        <v>17</v>
      </c>
      <c r="E306">
        <v>40.292000000000002</v>
      </c>
      <c r="F306" t="s">
        <v>409</v>
      </c>
    </row>
    <row r="307" spans="1:6" hidden="1" x14ac:dyDescent="0.25">
      <c r="A307" t="s">
        <v>3</v>
      </c>
      <c r="B307" t="s">
        <v>408</v>
      </c>
      <c r="C307">
        <v>2029</v>
      </c>
      <c r="D307" t="s">
        <v>17</v>
      </c>
      <c r="E307">
        <v>37.906999999999996</v>
      </c>
      <c r="F307" t="s">
        <v>409</v>
      </c>
    </row>
    <row r="308" spans="1:6" hidden="1" x14ac:dyDescent="0.25">
      <c r="A308" t="s">
        <v>3</v>
      </c>
      <c r="B308" t="s">
        <v>408</v>
      </c>
      <c r="C308">
        <v>2030</v>
      </c>
      <c r="D308" t="s">
        <v>17</v>
      </c>
      <c r="E308">
        <v>38.978999999999999</v>
      </c>
      <c r="F308" t="s">
        <v>409</v>
      </c>
    </row>
    <row r="309" spans="1:6" hidden="1" x14ac:dyDescent="0.25">
      <c r="A309" t="s">
        <v>3</v>
      </c>
      <c r="B309" t="s">
        <v>408</v>
      </c>
      <c r="C309">
        <v>2031</v>
      </c>
      <c r="D309" t="s">
        <v>17</v>
      </c>
      <c r="E309">
        <v>38.165999999999997</v>
      </c>
      <c r="F309" t="s">
        <v>409</v>
      </c>
    </row>
    <row r="310" spans="1:6" hidden="1" x14ac:dyDescent="0.25">
      <c r="A310" t="s">
        <v>3</v>
      </c>
      <c r="B310" t="s">
        <v>408</v>
      </c>
      <c r="C310">
        <v>2032</v>
      </c>
      <c r="D310" t="s">
        <v>17</v>
      </c>
      <c r="E310">
        <v>40.61</v>
      </c>
      <c r="F310" t="s">
        <v>409</v>
      </c>
    </row>
    <row r="311" spans="1:6" hidden="1" x14ac:dyDescent="0.25">
      <c r="A311" t="s">
        <v>3</v>
      </c>
      <c r="B311" t="s">
        <v>408</v>
      </c>
      <c r="C311">
        <v>2033</v>
      </c>
      <c r="D311" t="s">
        <v>17</v>
      </c>
      <c r="E311">
        <v>37.831000000000003</v>
      </c>
      <c r="F311" t="s">
        <v>409</v>
      </c>
    </row>
    <row r="312" spans="1:6" hidden="1" x14ac:dyDescent="0.25">
      <c r="A312" t="s">
        <v>3</v>
      </c>
      <c r="B312" t="s">
        <v>408</v>
      </c>
      <c r="C312">
        <v>2034</v>
      </c>
      <c r="D312" t="s">
        <v>17</v>
      </c>
      <c r="E312">
        <v>39.773000000000003</v>
      </c>
      <c r="F312" t="s">
        <v>409</v>
      </c>
    </row>
    <row r="313" spans="1:6" hidden="1" x14ac:dyDescent="0.25">
      <c r="A313" t="s">
        <v>3</v>
      </c>
      <c r="B313" t="s">
        <v>408</v>
      </c>
      <c r="C313">
        <v>2035</v>
      </c>
      <c r="D313" t="s">
        <v>17</v>
      </c>
      <c r="E313">
        <v>40.453000000000003</v>
      </c>
      <c r="F313" t="s">
        <v>409</v>
      </c>
    </row>
    <row r="314" spans="1:6" hidden="1" x14ac:dyDescent="0.25">
      <c r="A314" t="s">
        <v>3</v>
      </c>
      <c r="B314" t="s">
        <v>408</v>
      </c>
      <c r="C314">
        <v>2036</v>
      </c>
      <c r="D314" t="s">
        <v>17</v>
      </c>
      <c r="E314">
        <v>37.189</v>
      </c>
      <c r="F314" t="s">
        <v>409</v>
      </c>
    </row>
    <row r="315" spans="1:6" hidden="1" x14ac:dyDescent="0.25">
      <c r="A315" t="s">
        <v>3</v>
      </c>
      <c r="B315" t="s">
        <v>408</v>
      </c>
      <c r="C315">
        <v>2037</v>
      </c>
      <c r="D315" t="s">
        <v>17</v>
      </c>
      <c r="E315">
        <v>39.270000000000003</v>
      </c>
      <c r="F315" t="s">
        <v>409</v>
      </c>
    </row>
    <row r="316" spans="1:6" hidden="1" x14ac:dyDescent="0.25">
      <c r="A316" t="s">
        <v>3</v>
      </c>
      <c r="B316" t="s">
        <v>408</v>
      </c>
      <c r="C316">
        <v>2038</v>
      </c>
      <c r="D316" t="s">
        <v>17</v>
      </c>
      <c r="E316">
        <v>42.575000000000003</v>
      </c>
      <c r="F316" t="s">
        <v>409</v>
      </c>
    </row>
    <row r="317" spans="1:6" hidden="1" x14ac:dyDescent="0.25">
      <c r="A317" t="s">
        <v>3</v>
      </c>
      <c r="B317" t="s">
        <v>408</v>
      </c>
      <c r="C317">
        <v>2039</v>
      </c>
      <c r="D317" t="s">
        <v>17</v>
      </c>
      <c r="E317">
        <v>40.970999999999997</v>
      </c>
      <c r="F317" t="s">
        <v>409</v>
      </c>
    </row>
    <row r="318" spans="1:6" hidden="1" x14ac:dyDescent="0.25">
      <c r="A318" t="s">
        <v>3</v>
      </c>
      <c r="B318" t="s">
        <v>408</v>
      </c>
      <c r="C318">
        <v>2040</v>
      </c>
      <c r="D318" t="s">
        <v>17</v>
      </c>
      <c r="E318">
        <v>42.826999999999998</v>
      </c>
      <c r="F318" t="s">
        <v>409</v>
      </c>
    </row>
    <row r="319" spans="1:6" hidden="1" x14ac:dyDescent="0.25">
      <c r="A319" t="s">
        <v>3</v>
      </c>
      <c r="B319" t="s">
        <v>408</v>
      </c>
      <c r="C319">
        <v>2018</v>
      </c>
      <c r="D319" t="s">
        <v>18</v>
      </c>
      <c r="E319">
        <v>0</v>
      </c>
      <c r="F319" t="s">
        <v>409</v>
      </c>
    </row>
    <row r="320" spans="1:6" hidden="1" x14ac:dyDescent="0.25">
      <c r="A320" t="s">
        <v>3</v>
      </c>
      <c r="B320" t="s">
        <v>408</v>
      </c>
      <c r="C320">
        <v>2019</v>
      </c>
      <c r="D320" t="s">
        <v>18</v>
      </c>
      <c r="E320">
        <v>0</v>
      </c>
      <c r="F320" t="s">
        <v>409</v>
      </c>
    </row>
    <row r="321" spans="1:6" hidden="1" x14ac:dyDescent="0.25">
      <c r="A321" t="s">
        <v>3</v>
      </c>
      <c r="B321" t="s">
        <v>408</v>
      </c>
      <c r="C321">
        <v>2020</v>
      </c>
      <c r="D321" t="s">
        <v>18</v>
      </c>
      <c r="E321">
        <v>0</v>
      </c>
      <c r="F321" t="s">
        <v>409</v>
      </c>
    </row>
    <row r="322" spans="1:6" hidden="1" x14ac:dyDescent="0.25">
      <c r="A322" t="s">
        <v>3</v>
      </c>
      <c r="B322" t="s">
        <v>408</v>
      </c>
      <c r="C322">
        <v>2021</v>
      </c>
      <c r="D322" t="s">
        <v>18</v>
      </c>
      <c r="E322">
        <v>0.188</v>
      </c>
      <c r="F322" t="s">
        <v>409</v>
      </c>
    </row>
    <row r="323" spans="1:6" hidden="1" x14ac:dyDescent="0.25">
      <c r="A323" t="s">
        <v>3</v>
      </c>
      <c r="B323" t="s">
        <v>408</v>
      </c>
      <c r="C323">
        <v>2022</v>
      </c>
      <c r="D323" t="s">
        <v>18</v>
      </c>
      <c r="E323">
        <v>3.4750000000000001</v>
      </c>
      <c r="F323" t="s">
        <v>409</v>
      </c>
    </row>
    <row r="324" spans="1:6" x14ac:dyDescent="0.25">
      <c r="A324" t="s">
        <v>3</v>
      </c>
      <c r="B324" t="s">
        <v>408</v>
      </c>
      <c r="C324">
        <v>2023</v>
      </c>
      <c r="D324" t="s">
        <v>18</v>
      </c>
      <c r="E324">
        <v>16.725999999999999</v>
      </c>
      <c r="F324" t="s">
        <v>409</v>
      </c>
    </row>
    <row r="325" spans="1:6" hidden="1" x14ac:dyDescent="0.25">
      <c r="A325" t="s">
        <v>3</v>
      </c>
      <c r="B325" t="s">
        <v>408</v>
      </c>
      <c r="C325">
        <v>2024</v>
      </c>
      <c r="D325" t="s">
        <v>18</v>
      </c>
      <c r="E325">
        <v>40.863999999999997</v>
      </c>
      <c r="F325" t="s">
        <v>409</v>
      </c>
    </row>
    <row r="326" spans="1:6" hidden="1" x14ac:dyDescent="0.25">
      <c r="A326" t="s">
        <v>3</v>
      </c>
      <c r="B326" t="s">
        <v>408</v>
      </c>
      <c r="C326">
        <v>2025</v>
      </c>
      <c r="D326" t="s">
        <v>18</v>
      </c>
      <c r="E326">
        <v>84.85</v>
      </c>
      <c r="F326" t="s">
        <v>409</v>
      </c>
    </row>
    <row r="327" spans="1:6" hidden="1" x14ac:dyDescent="0.25">
      <c r="A327" t="s">
        <v>3</v>
      </c>
      <c r="B327" t="s">
        <v>408</v>
      </c>
      <c r="C327">
        <v>2026</v>
      </c>
      <c r="D327" t="s">
        <v>18</v>
      </c>
      <c r="E327">
        <v>144.32900000000001</v>
      </c>
      <c r="F327" t="s">
        <v>409</v>
      </c>
    </row>
    <row r="328" spans="1:6" hidden="1" x14ac:dyDescent="0.25">
      <c r="A328" t="s">
        <v>3</v>
      </c>
      <c r="B328" t="s">
        <v>408</v>
      </c>
      <c r="C328">
        <v>2027</v>
      </c>
      <c r="D328" t="s">
        <v>18</v>
      </c>
      <c r="E328">
        <v>154.74599999999998</v>
      </c>
      <c r="F328" t="s">
        <v>409</v>
      </c>
    </row>
    <row r="329" spans="1:6" hidden="1" x14ac:dyDescent="0.25">
      <c r="A329" t="s">
        <v>3</v>
      </c>
      <c r="B329" t="s">
        <v>408</v>
      </c>
      <c r="C329">
        <v>2028</v>
      </c>
      <c r="D329" t="s">
        <v>18</v>
      </c>
      <c r="E329">
        <v>162.58100000000002</v>
      </c>
      <c r="F329" t="s">
        <v>409</v>
      </c>
    </row>
    <row r="330" spans="1:6" hidden="1" x14ac:dyDescent="0.25">
      <c r="A330" t="s">
        <v>3</v>
      </c>
      <c r="B330" t="s">
        <v>408</v>
      </c>
      <c r="C330">
        <v>2029</v>
      </c>
      <c r="D330" t="s">
        <v>18</v>
      </c>
      <c r="E330">
        <v>152.81399999999999</v>
      </c>
      <c r="F330" t="s">
        <v>409</v>
      </c>
    </row>
    <row r="331" spans="1:6" hidden="1" x14ac:dyDescent="0.25">
      <c r="A331" t="s">
        <v>3</v>
      </c>
      <c r="B331" t="s">
        <v>408</v>
      </c>
      <c r="C331">
        <v>2030</v>
      </c>
      <c r="D331" t="s">
        <v>18</v>
      </c>
      <c r="E331">
        <v>146.529</v>
      </c>
      <c r="F331" t="s">
        <v>409</v>
      </c>
    </row>
    <row r="332" spans="1:6" hidden="1" x14ac:dyDescent="0.25">
      <c r="A332" t="s">
        <v>3</v>
      </c>
      <c r="B332" t="s">
        <v>408</v>
      </c>
      <c r="C332">
        <v>2031</v>
      </c>
      <c r="D332" t="s">
        <v>18</v>
      </c>
      <c r="E332">
        <v>144.92399999999998</v>
      </c>
      <c r="F332" t="s">
        <v>409</v>
      </c>
    </row>
    <row r="333" spans="1:6" hidden="1" x14ac:dyDescent="0.25">
      <c r="A333" t="s">
        <v>3</v>
      </c>
      <c r="B333" t="s">
        <v>408</v>
      </c>
      <c r="C333">
        <v>2032</v>
      </c>
      <c r="D333" t="s">
        <v>18</v>
      </c>
      <c r="E333">
        <v>147.25700000000001</v>
      </c>
      <c r="F333" t="s">
        <v>409</v>
      </c>
    </row>
    <row r="334" spans="1:6" hidden="1" x14ac:dyDescent="0.25">
      <c r="A334" t="s">
        <v>3</v>
      </c>
      <c r="B334" t="s">
        <v>408</v>
      </c>
      <c r="C334">
        <v>2033</v>
      </c>
      <c r="D334" t="s">
        <v>18</v>
      </c>
      <c r="E334">
        <v>137.096</v>
      </c>
      <c r="F334" t="s">
        <v>409</v>
      </c>
    </row>
    <row r="335" spans="1:6" hidden="1" x14ac:dyDescent="0.25">
      <c r="A335" t="s">
        <v>3</v>
      </c>
      <c r="B335" t="s">
        <v>408</v>
      </c>
      <c r="C335">
        <v>2034</v>
      </c>
      <c r="D335" t="s">
        <v>18</v>
      </c>
      <c r="E335">
        <v>142.85900000000001</v>
      </c>
      <c r="F335" t="s">
        <v>409</v>
      </c>
    </row>
    <row r="336" spans="1:6" hidden="1" x14ac:dyDescent="0.25">
      <c r="A336" t="s">
        <v>3</v>
      </c>
      <c r="B336" t="s">
        <v>408</v>
      </c>
      <c r="C336">
        <v>2035</v>
      </c>
      <c r="D336" t="s">
        <v>18</v>
      </c>
      <c r="E336">
        <v>146.1213507094937</v>
      </c>
      <c r="F336" t="s">
        <v>409</v>
      </c>
    </row>
    <row r="337" spans="1:6" hidden="1" x14ac:dyDescent="0.25">
      <c r="A337" t="s">
        <v>3</v>
      </c>
      <c r="B337" t="s">
        <v>408</v>
      </c>
      <c r="C337">
        <v>2036</v>
      </c>
      <c r="D337" t="s">
        <v>18</v>
      </c>
      <c r="E337">
        <v>194.81312210065016</v>
      </c>
      <c r="F337" t="s">
        <v>409</v>
      </c>
    </row>
    <row r="338" spans="1:6" hidden="1" x14ac:dyDescent="0.25">
      <c r="A338" t="s">
        <v>3</v>
      </c>
      <c r="B338" t="s">
        <v>408</v>
      </c>
      <c r="C338">
        <v>2037</v>
      </c>
      <c r="D338" t="s">
        <v>18</v>
      </c>
      <c r="E338">
        <v>259.73037039642571</v>
      </c>
      <c r="F338" t="s">
        <v>409</v>
      </c>
    </row>
    <row r="339" spans="1:6" hidden="1" x14ac:dyDescent="0.25">
      <c r="A339" t="s">
        <v>3</v>
      </c>
      <c r="B339" t="s">
        <v>408</v>
      </c>
      <c r="C339">
        <v>2038</v>
      </c>
      <c r="D339" t="s">
        <v>18</v>
      </c>
      <c r="E339">
        <v>346.27988391568084</v>
      </c>
      <c r="F339" t="s">
        <v>409</v>
      </c>
    </row>
    <row r="340" spans="1:6" hidden="1" x14ac:dyDescent="0.25">
      <c r="A340" t="s">
        <v>3</v>
      </c>
      <c r="B340" t="s">
        <v>408</v>
      </c>
      <c r="C340">
        <v>2039</v>
      </c>
      <c r="D340" t="s">
        <v>18</v>
      </c>
      <c r="E340">
        <v>461.67014593495367</v>
      </c>
      <c r="F340" t="s">
        <v>409</v>
      </c>
    </row>
    <row r="341" spans="1:6" hidden="1" x14ac:dyDescent="0.25">
      <c r="A341" t="s">
        <v>3</v>
      </c>
      <c r="B341" t="s">
        <v>408</v>
      </c>
      <c r="C341">
        <v>2040</v>
      </c>
      <c r="D341" t="s">
        <v>18</v>
      </c>
      <c r="E341">
        <v>615.51171046222476</v>
      </c>
      <c r="F341" t="s">
        <v>409</v>
      </c>
    </row>
    <row r="342" spans="1:6" hidden="1" x14ac:dyDescent="0.25">
      <c r="A342" t="s">
        <v>3</v>
      </c>
      <c r="B342" t="s">
        <v>408</v>
      </c>
      <c r="C342" t="s">
        <v>410</v>
      </c>
      <c r="D342" t="s">
        <v>13</v>
      </c>
      <c r="E342">
        <v>12.256227758007125</v>
      </c>
      <c r="F342" t="s">
        <v>409</v>
      </c>
    </row>
    <row r="343" spans="1:6" hidden="1" x14ac:dyDescent="0.25">
      <c r="A343" t="s">
        <v>3</v>
      </c>
      <c r="B343" t="s">
        <v>408</v>
      </c>
      <c r="C343" t="s">
        <v>410</v>
      </c>
      <c r="D343" t="s">
        <v>411</v>
      </c>
      <c r="E343">
        <v>119.87188612099644</v>
      </c>
      <c r="F343" t="s">
        <v>409</v>
      </c>
    </row>
    <row r="344" spans="1:6" hidden="1" x14ac:dyDescent="0.25">
      <c r="A344" t="s">
        <v>3</v>
      </c>
      <c r="B344" t="s">
        <v>408</v>
      </c>
      <c r="C344" t="s">
        <v>410</v>
      </c>
      <c r="D344" t="s">
        <v>412</v>
      </c>
      <c r="E344">
        <v>1078.8469750889667</v>
      </c>
      <c r="F344" t="s">
        <v>409</v>
      </c>
    </row>
    <row r="345" spans="1:6" hidden="1" x14ac:dyDescent="0.25">
      <c r="A345" t="s">
        <v>3</v>
      </c>
      <c r="B345" t="s">
        <v>413</v>
      </c>
      <c r="C345">
        <v>2018</v>
      </c>
      <c r="D345" t="s">
        <v>17</v>
      </c>
      <c r="E345">
        <v>0</v>
      </c>
      <c r="F345" t="s">
        <v>409</v>
      </c>
    </row>
    <row r="346" spans="1:6" hidden="1" x14ac:dyDescent="0.25">
      <c r="A346" t="s">
        <v>3</v>
      </c>
      <c r="B346" t="s">
        <v>413</v>
      </c>
      <c r="C346">
        <v>2019</v>
      </c>
      <c r="D346" t="s">
        <v>17</v>
      </c>
      <c r="E346">
        <v>0</v>
      </c>
      <c r="F346" t="s">
        <v>409</v>
      </c>
    </row>
    <row r="347" spans="1:6" hidden="1" x14ac:dyDescent="0.25">
      <c r="A347" t="s">
        <v>3</v>
      </c>
      <c r="B347" t="s">
        <v>413</v>
      </c>
      <c r="C347">
        <v>2020</v>
      </c>
      <c r="D347" t="s">
        <v>17</v>
      </c>
      <c r="E347">
        <v>0</v>
      </c>
      <c r="F347" t="s">
        <v>409</v>
      </c>
    </row>
    <row r="348" spans="1:6" hidden="1" x14ac:dyDescent="0.25">
      <c r="A348" t="s">
        <v>3</v>
      </c>
      <c r="B348" t="s">
        <v>413</v>
      </c>
      <c r="C348">
        <v>2021</v>
      </c>
      <c r="D348" t="s">
        <v>17</v>
      </c>
      <c r="E348">
        <v>0.188</v>
      </c>
      <c r="F348" t="s">
        <v>409</v>
      </c>
    </row>
    <row r="349" spans="1:6" hidden="1" x14ac:dyDescent="0.25">
      <c r="A349" t="s">
        <v>3</v>
      </c>
      <c r="B349" t="s">
        <v>413</v>
      </c>
      <c r="C349">
        <v>2022</v>
      </c>
      <c r="D349" t="s">
        <v>17</v>
      </c>
      <c r="E349">
        <v>3.4750000000000001</v>
      </c>
      <c r="F349" t="s">
        <v>409</v>
      </c>
    </row>
    <row r="350" spans="1:6" hidden="1" x14ac:dyDescent="0.25">
      <c r="A350" t="s">
        <v>3</v>
      </c>
      <c r="B350" t="s">
        <v>413</v>
      </c>
      <c r="C350">
        <v>2023</v>
      </c>
      <c r="D350" t="s">
        <v>17</v>
      </c>
      <c r="E350">
        <v>16.725999999999999</v>
      </c>
      <c r="F350" t="s">
        <v>409</v>
      </c>
    </row>
    <row r="351" spans="1:6" hidden="1" x14ac:dyDescent="0.25">
      <c r="A351" t="s">
        <v>3</v>
      </c>
      <c r="B351" t="s">
        <v>413</v>
      </c>
      <c r="C351">
        <v>2024</v>
      </c>
      <c r="D351" t="s">
        <v>17</v>
      </c>
      <c r="E351">
        <v>39.863999999999997</v>
      </c>
      <c r="F351" t="s">
        <v>409</v>
      </c>
    </row>
    <row r="352" spans="1:6" hidden="1" x14ac:dyDescent="0.25">
      <c r="A352" t="s">
        <v>3</v>
      </c>
      <c r="B352" t="s">
        <v>413</v>
      </c>
      <c r="C352">
        <v>2025</v>
      </c>
      <c r="D352" t="s">
        <v>17</v>
      </c>
      <c r="E352">
        <v>37.578000000000003</v>
      </c>
      <c r="F352" t="s">
        <v>409</v>
      </c>
    </row>
    <row r="353" spans="1:6" hidden="1" x14ac:dyDescent="0.25">
      <c r="A353" t="s">
        <v>3</v>
      </c>
      <c r="B353" t="s">
        <v>413</v>
      </c>
      <c r="C353">
        <v>2026</v>
      </c>
      <c r="D353" t="s">
        <v>17</v>
      </c>
      <c r="E353">
        <v>39.969000000000001</v>
      </c>
      <c r="F353" t="s">
        <v>409</v>
      </c>
    </row>
    <row r="354" spans="1:6" hidden="1" x14ac:dyDescent="0.25">
      <c r="A354" t="s">
        <v>3</v>
      </c>
      <c r="B354" t="s">
        <v>413</v>
      </c>
      <c r="C354">
        <v>2027</v>
      </c>
      <c r="D354" t="s">
        <v>17</v>
      </c>
      <c r="E354">
        <v>41.682000000000002</v>
      </c>
      <c r="F354" t="s">
        <v>409</v>
      </c>
    </row>
    <row r="355" spans="1:6" hidden="1" x14ac:dyDescent="0.25">
      <c r="A355" t="s">
        <v>3</v>
      </c>
      <c r="B355" t="s">
        <v>413</v>
      </c>
      <c r="C355">
        <v>2028</v>
      </c>
      <c r="D355" t="s">
        <v>17</v>
      </c>
      <c r="E355">
        <v>40.292000000000002</v>
      </c>
      <c r="F355" t="s">
        <v>409</v>
      </c>
    </row>
    <row r="356" spans="1:6" hidden="1" x14ac:dyDescent="0.25">
      <c r="A356" t="s">
        <v>3</v>
      </c>
      <c r="B356" t="s">
        <v>413</v>
      </c>
      <c r="C356">
        <v>2029</v>
      </c>
      <c r="D356" t="s">
        <v>17</v>
      </c>
      <c r="E356">
        <v>37.906999999999996</v>
      </c>
      <c r="F356" t="s">
        <v>409</v>
      </c>
    </row>
    <row r="357" spans="1:6" hidden="1" x14ac:dyDescent="0.25">
      <c r="A357" t="s">
        <v>3</v>
      </c>
      <c r="B357" t="s">
        <v>413</v>
      </c>
      <c r="C357">
        <v>2030</v>
      </c>
      <c r="D357" t="s">
        <v>17</v>
      </c>
      <c r="E357">
        <v>38.978999999999999</v>
      </c>
      <c r="F357" t="s">
        <v>409</v>
      </c>
    </row>
    <row r="358" spans="1:6" hidden="1" x14ac:dyDescent="0.25">
      <c r="A358" t="s">
        <v>3</v>
      </c>
      <c r="B358" t="s">
        <v>413</v>
      </c>
      <c r="C358">
        <v>2031</v>
      </c>
      <c r="D358" t="s">
        <v>17</v>
      </c>
      <c r="E358">
        <v>38.165999999999997</v>
      </c>
      <c r="F358" t="s">
        <v>409</v>
      </c>
    </row>
    <row r="359" spans="1:6" hidden="1" x14ac:dyDescent="0.25">
      <c r="A359" t="s">
        <v>3</v>
      </c>
      <c r="B359" t="s">
        <v>413</v>
      </c>
      <c r="C359">
        <v>2032</v>
      </c>
      <c r="D359" t="s">
        <v>17</v>
      </c>
      <c r="E359">
        <v>40.61</v>
      </c>
      <c r="F359" t="s">
        <v>409</v>
      </c>
    </row>
    <row r="360" spans="1:6" hidden="1" x14ac:dyDescent="0.25">
      <c r="A360" t="s">
        <v>3</v>
      </c>
      <c r="B360" t="s">
        <v>413</v>
      </c>
      <c r="C360">
        <v>2033</v>
      </c>
      <c r="D360" t="s">
        <v>17</v>
      </c>
      <c r="E360">
        <v>37.831000000000003</v>
      </c>
      <c r="F360" t="s">
        <v>409</v>
      </c>
    </row>
    <row r="361" spans="1:6" hidden="1" x14ac:dyDescent="0.25">
      <c r="A361" t="s">
        <v>3</v>
      </c>
      <c r="B361" t="s">
        <v>413</v>
      </c>
      <c r="C361">
        <v>2034</v>
      </c>
      <c r="D361" t="s">
        <v>17</v>
      </c>
      <c r="E361">
        <v>39.773000000000003</v>
      </c>
      <c r="F361" t="s">
        <v>409</v>
      </c>
    </row>
    <row r="362" spans="1:6" hidden="1" x14ac:dyDescent="0.25">
      <c r="A362" t="s">
        <v>3</v>
      </c>
      <c r="B362" t="s">
        <v>413</v>
      </c>
      <c r="C362">
        <v>2035</v>
      </c>
      <c r="D362" t="s">
        <v>17</v>
      </c>
      <c r="E362">
        <v>40.453000000000003</v>
      </c>
      <c r="F362" t="s">
        <v>409</v>
      </c>
    </row>
    <row r="363" spans="1:6" hidden="1" x14ac:dyDescent="0.25">
      <c r="A363" t="s">
        <v>3</v>
      </c>
      <c r="B363" t="s">
        <v>413</v>
      </c>
      <c r="C363">
        <v>2036</v>
      </c>
      <c r="D363" t="s">
        <v>17</v>
      </c>
      <c r="E363">
        <v>37.189</v>
      </c>
      <c r="F363" t="s">
        <v>409</v>
      </c>
    </row>
    <row r="364" spans="1:6" hidden="1" x14ac:dyDescent="0.25">
      <c r="A364" t="s">
        <v>3</v>
      </c>
      <c r="B364" t="s">
        <v>413</v>
      </c>
      <c r="C364">
        <v>2037</v>
      </c>
      <c r="D364" t="s">
        <v>17</v>
      </c>
      <c r="E364">
        <v>39.270000000000003</v>
      </c>
      <c r="F364" t="s">
        <v>409</v>
      </c>
    </row>
    <row r="365" spans="1:6" hidden="1" x14ac:dyDescent="0.25">
      <c r="A365" t="s">
        <v>3</v>
      </c>
      <c r="B365" t="s">
        <v>413</v>
      </c>
      <c r="C365">
        <v>2038</v>
      </c>
      <c r="D365" t="s">
        <v>17</v>
      </c>
      <c r="E365">
        <v>42.575000000000003</v>
      </c>
      <c r="F365" t="s">
        <v>409</v>
      </c>
    </row>
    <row r="366" spans="1:6" hidden="1" x14ac:dyDescent="0.25">
      <c r="A366" t="s">
        <v>3</v>
      </c>
      <c r="B366" t="s">
        <v>413</v>
      </c>
      <c r="C366">
        <v>2039</v>
      </c>
      <c r="D366" t="s">
        <v>17</v>
      </c>
      <c r="E366">
        <v>40.970999999999997</v>
      </c>
      <c r="F366" t="s">
        <v>409</v>
      </c>
    </row>
    <row r="367" spans="1:6" hidden="1" x14ac:dyDescent="0.25">
      <c r="A367" t="s">
        <v>3</v>
      </c>
      <c r="B367" t="s">
        <v>413</v>
      </c>
      <c r="C367">
        <v>2040</v>
      </c>
      <c r="D367" t="s">
        <v>17</v>
      </c>
      <c r="E367">
        <v>42.826999999999998</v>
      </c>
      <c r="F367" t="s">
        <v>409</v>
      </c>
    </row>
    <row r="368" spans="1:6" hidden="1" x14ac:dyDescent="0.25">
      <c r="A368" t="s">
        <v>3</v>
      </c>
      <c r="B368" t="s">
        <v>413</v>
      </c>
      <c r="C368">
        <v>2018</v>
      </c>
      <c r="D368" t="s">
        <v>18</v>
      </c>
      <c r="E368">
        <v>0</v>
      </c>
      <c r="F368" t="s">
        <v>409</v>
      </c>
    </row>
    <row r="369" spans="1:6" hidden="1" x14ac:dyDescent="0.25">
      <c r="A369" t="s">
        <v>3</v>
      </c>
      <c r="B369" t="s">
        <v>413</v>
      </c>
      <c r="C369">
        <v>2019</v>
      </c>
      <c r="D369" t="s">
        <v>18</v>
      </c>
      <c r="E369">
        <v>0</v>
      </c>
      <c r="F369" t="s">
        <v>409</v>
      </c>
    </row>
    <row r="370" spans="1:6" hidden="1" x14ac:dyDescent="0.25">
      <c r="A370" t="s">
        <v>3</v>
      </c>
      <c r="B370" t="s">
        <v>413</v>
      </c>
      <c r="C370">
        <v>2020</v>
      </c>
      <c r="D370" t="s">
        <v>18</v>
      </c>
      <c r="E370">
        <v>0</v>
      </c>
      <c r="F370" t="s">
        <v>409</v>
      </c>
    </row>
    <row r="371" spans="1:6" hidden="1" x14ac:dyDescent="0.25">
      <c r="A371" t="s">
        <v>3</v>
      </c>
      <c r="B371" t="s">
        <v>413</v>
      </c>
      <c r="C371">
        <v>2021</v>
      </c>
      <c r="D371" t="s">
        <v>18</v>
      </c>
      <c r="E371">
        <v>0.188</v>
      </c>
      <c r="F371" t="s">
        <v>409</v>
      </c>
    </row>
    <row r="372" spans="1:6" hidden="1" x14ac:dyDescent="0.25">
      <c r="A372" t="s">
        <v>3</v>
      </c>
      <c r="B372" t="s">
        <v>413</v>
      </c>
      <c r="C372">
        <v>2022</v>
      </c>
      <c r="D372" t="s">
        <v>18</v>
      </c>
      <c r="E372">
        <v>3.4750000000000001</v>
      </c>
      <c r="F372" t="s">
        <v>409</v>
      </c>
    </row>
    <row r="373" spans="1:6" hidden="1" x14ac:dyDescent="0.25">
      <c r="A373" t="s">
        <v>3</v>
      </c>
      <c r="B373" t="s">
        <v>413</v>
      </c>
      <c r="C373">
        <v>2023</v>
      </c>
      <c r="D373" t="s">
        <v>18</v>
      </c>
      <c r="E373">
        <v>16.725999999999999</v>
      </c>
      <c r="F373" t="s">
        <v>409</v>
      </c>
    </row>
    <row r="374" spans="1:6" hidden="1" x14ac:dyDescent="0.25">
      <c r="A374" t="s">
        <v>3</v>
      </c>
      <c r="B374" t="s">
        <v>413</v>
      </c>
      <c r="C374">
        <v>2024</v>
      </c>
      <c r="D374" t="s">
        <v>18</v>
      </c>
      <c r="E374">
        <v>40.863999999999997</v>
      </c>
      <c r="F374" t="s">
        <v>409</v>
      </c>
    </row>
    <row r="375" spans="1:6" hidden="1" x14ac:dyDescent="0.25">
      <c r="A375" t="s">
        <v>3</v>
      </c>
      <c r="B375" t="s">
        <v>413</v>
      </c>
      <c r="C375">
        <v>2025</v>
      </c>
      <c r="D375" t="s">
        <v>18</v>
      </c>
      <c r="E375">
        <v>84.85</v>
      </c>
      <c r="F375" t="s">
        <v>409</v>
      </c>
    </row>
    <row r="376" spans="1:6" hidden="1" x14ac:dyDescent="0.25">
      <c r="A376" t="s">
        <v>3</v>
      </c>
      <c r="B376" t="s">
        <v>413</v>
      </c>
      <c r="C376">
        <v>2026</v>
      </c>
      <c r="D376" t="s">
        <v>18</v>
      </c>
      <c r="E376">
        <v>144.32900000000001</v>
      </c>
      <c r="F376" t="s">
        <v>409</v>
      </c>
    </row>
    <row r="377" spans="1:6" hidden="1" x14ac:dyDescent="0.25">
      <c r="A377" t="s">
        <v>3</v>
      </c>
      <c r="B377" t="s">
        <v>413</v>
      </c>
      <c r="C377">
        <v>2027</v>
      </c>
      <c r="D377" t="s">
        <v>18</v>
      </c>
      <c r="E377">
        <v>154.74599999999998</v>
      </c>
      <c r="F377" t="s">
        <v>409</v>
      </c>
    </row>
    <row r="378" spans="1:6" hidden="1" x14ac:dyDescent="0.25">
      <c r="A378" t="s">
        <v>3</v>
      </c>
      <c r="B378" t="s">
        <v>413</v>
      </c>
      <c r="C378">
        <v>2028</v>
      </c>
      <c r="D378" t="s">
        <v>18</v>
      </c>
      <c r="E378">
        <v>162.58100000000002</v>
      </c>
      <c r="F378" t="s">
        <v>409</v>
      </c>
    </row>
    <row r="379" spans="1:6" hidden="1" x14ac:dyDescent="0.25">
      <c r="A379" t="s">
        <v>3</v>
      </c>
      <c r="B379" t="s">
        <v>413</v>
      </c>
      <c r="C379">
        <v>2029</v>
      </c>
      <c r="D379" t="s">
        <v>18</v>
      </c>
      <c r="E379">
        <v>152.81399999999999</v>
      </c>
      <c r="F379" t="s">
        <v>409</v>
      </c>
    </row>
    <row r="380" spans="1:6" hidden="1" x14ac:dyDescent="0.25">
      <c r="A380" t="s">
        <v>3</v>
      </c>
      <c r="B380" t="s">
        <v>413</v>
      </c>
      <c r="C380">
        <v>2030</v>
      </c>
      <c r="D380" t="s">
        <v>18</v>
      </c>
      <c r="E380">
        <v>146.529</v>
      </c>
      <c r="F380" t="s">
        <v>409</v>
      </c>
    </row>
    <row r="381" spans="1:6" hidden="1" x14ac:dyDescent="0.25">
      <c r="A381" t="s">
        <v>3</v>
      </c>
      <c r="B381" t="s">
        <v>413</v>
      </c>
      <c r="C381">
        <v>2031</v>
      </c>
      <c r="D381" t="s">
        <v>18</v>
      </c>
      <c r="E381">
        <v>144.92399999999998</v>
      </c>
      <c r="F381" t="s">
        <v>409</v>
      </c>
    </row>
    <row r="382" spans="1:6" hidden="1" x14ac:dyDescent="0.25">
      <c r="A382" t="s">
        <v>3</v>
      </c>
      <c r="B382" t="s">
        <v>413</v>
      </c>
      <c r="C382">
        <v>2032</v>
      </c>
      <c r="D382" t="s">
        <v>18</v>
      </c>
      <c r="E382">
        <v>147.25700000000001</v>
      </c>
      <c r="F382" t="s">
        <v>409</v>
      </c>
    </row>
    <row r="383" spans="1:6" hidden="1" x14ac:dyDescent="0.25">
      <c r="A383" t="s">
        <v>3</v>
      </c>
      <c r="B383" t="s">
        <v>413</v>
      </c>
      <c r="C383">
        <v>2033</v>
      </c>
      <c r="D383" t="s">
        <v>18</v>
      </c>
      <c r="E383">
        <v>137.096</v>
      </c>
      <c r="F383" t="s">
        <v>409</v>
      </c>
    </row>
    <row r="384" spans="1:6" hidden="1" x14ac:dyDescent="0.25">
      <c r="A384" t="s">
        <v>3</v>
      </c>
      <c r="B384" t="s">
        <v>413</v>
      </c>
      <c r="C384">
        <v>2034</v>
      </c>
      <c r="D384" t="s">
        <v>18</v>
      </c>
      <c r="E384">
        <v>142.85900000000001</v>
      </c>
      <c r="F384" t="s">
        <v>409</v>
      </c>
    </row>
    <row r="385" spans="1:6" hidden="1" x14ac:dyDescent="0.25">
      <c r="A385" t="s">
        <v>3</v>
      </c>
      <c r="B385" t="s">
        <v>413</v>
      </c>
      <c r="C385">
        <v>2035</v>
      </c>
      <c r="D385" t="s">
        <v>18</v>
      </c>
      <c r="E385">
        <v>146.1213507094937</v>
      </c>
      <c r="F385" t="s">
        <v>409</v>
      </c>
    </row>
    <row r="386" spans="1:6" hidden="1" x14ac:dyDescent="0.25">
      <c r="A386" t="s">
        <v>3</v>
      </c>
      <c r="B386" t="s">
        <v>413</v>
      </c>
      <c r="C386">
        <v>2036</v>
      </c>
      <c r="D386" t="s">
        <v>18</v>
      </c>
      <c r="E386">
        <v>194.81312210065016</v>
      </c>
      <c r="F386" t="s">
        <v>409</v>
      </c>
    </row>
    <row r="387" spans="1:6" hidden="1" x14ac:dyDescent="0.25">
      <c r="A387" t="s">
        <v>3</v>
      </c>
      <c r="B387" t="s">
        <v>413</v>
      </c>
      <c r="C387">
        <v>2037</v>
      </c>
      <c r="D387" t="s">
        <v>18</v>
      </c>
      <c r="E387">
        <v>259.73037039642571</v>
      </c>
      <c r="F387" t="s">
        <v>409</v>
      </c>
    </row>
    <row r="388" spans="1:6" hidden="1" x14ac:dyDescent="0.25">
      <c r="A388" t="s">
        <v>3</v>
      </c>
      <c r="B388" t="s">
        <v>413</v>
      </c>
      <c r="C388">
        <v>2038</v>
      </c>
      <c r="D388" t="s">
        <v>18</v>
      </c>
      <c r="E388">
        <v>346.27988391568084</v>
      </c>
      <c r="F388" t="s">
        <v>409</v>
      </c>
    </row>
    <row r="389" spans="1:6" hidden="1" x14ac:dyDescent="0.25">
      <c r="A389" t="s">
        <v>3</v>
      </c>
      <c r="B389" t="s">
        <v>413</v>
      </c>
      <c r="C389">
        <v>2039</v>
      </c>
      <c r="D389" t="s">
        <v>18</v>
      </c>
      <c r="E389">
        <v>461.67014593495367</v>
      </c>
      <c r="F389" t="s">
        <v>409</v>
      </c>
    </row>
    <row r="390" spans="1:6" hidden="1" x14ac:dyDescent="0.25">
      <c r="A390" t="s">
        <v>3</v>
      </c>
      <c r="B390" t="s">
        <v>413</v>
      </c>
      <c r="C390">
        <v>2040</v>
      </c>
      <c r="D390" t="s">
        <v>18</v>
      </c>
      <c r="E390">
        <v>615.51171046222476</v>
      </c>
      <c r="F390" t="s">
        <v>409</v>
      </c>
    </row>
    <row r="391" spans="1:6" hidden="1" x14ac:dyDescent="0.25">
      <c r="A391" t="s">
        <v>3</v>
      </c>
      <c r="B391" t="s">
        <v>413</v>
      </c>
      <c r="C391" t="s">
        <v>410</v>
      </c>
      <c r="D391" t="s">
        <v>13</v>
      </c>
      <c r="E391">
        <v>12.256227758007125</v>
      </c>
      <c r="F391" t="s">
        <v>409</v>
      </c>
    </row>
    <row r="392" spans="1:6" hidden="1" x14ac:dyDescent="0.25">
      <c r="A392" t="s">
        <v>3</v>
      </c>
      <c r="B392" t="s">
        <v>413</v>
      </c>
      <c r="C392" t="s">
        <v>410</v>
      </c>
      <c r="D392" t="s">
        <v>411</v>
      </c>
      <c r="E392">
        <v>141.44882562277536</v>
      </c>
      <c r="F392" t="s">
        <v>409</v>
      </c>
    </row>
    <row r="393" spans="1:6" hidden="1" x14ac:dyDescent="0.25">
      <c r="A393" t="s">
        <v>3</v>
      </c>
      <c r="B393" t="s">
        <v>413</v>
      </c>
      <c r="C393" t="s">
        <v>410</v>
      </c>
      <c r="D393" t="s">
        <v>412</v>
      </c>
      <c r="E393">
        <v>1057.2700355871877</v>
      </c>
      <c r="F393" t="s">
        <v>409</v>
      </c>
    </row>
    <row r="394" spans="1:6" hidden="1" x14ac:dyDescent="0.25">
      <c r="A394" t="s">
        <v>3</v>
      </c>
      <c r="B394" t="s">
        <v>414</v>
      </c>
      <c r="C394">
        <v>2018</v>
      </c>
      <c r="D394" t="s">
        <v>17</v>
      </c>
      <c r="E394">
        <v>0</v>
      </c>
      <c r="F394" t="s">
        <v>409</v>
      </c>
    </row>
    <row r="395" spans="1:6" hidden="1" x14ac:dyDescent="0.25">
      <c r="A395" t="s">
        <v>3</v>
      </c>
      <c r="B395" t="s">
        <v>414</v>
      </c>
      <c r="C395">
        <v>2019</v>
      </c>
      <c r="D395" t="s">
        <v>17</v>
      </c>
      <c r="E395">
        <v>0</v>
      </c>
      <c r="F395" t="s">
        <v>409</v>
      </c>
    </row>
    <row r="396" spans="1:6" hidden="1" x14ac:dyDescent="0.25">
      <c r="A396" t="s">
        <v>3</v>
      </c>
      <c r="B396" t="s">
        <v>414</v>
      </c>
      <c r="C396">
        <v>2020</v>
      </c>
      <c r="D396" t="s">
        <v>17</v>
      </c>
      <c r="E396">
        <v>0</v>
      </c>
      <c r="F396" t="s">
        <v>409</v>
      </c>
    </row>
    <row r="397" spans="1:6" hidden="1" x14ac:dyDescent="0.25">
      <c r="A397" t="s">
        <v>3</v>
      </c>
      <c r="B397" t="s">
        <v>414</v>
      </c>
      <c r="C397">
        <v>2021</v>
      </c>
      <c r="D397" t="s">
        <v>17</v>
      </c>
      <c r="E397">
        <v>0.188</v>
      </c>
      <c r="F397" t="s">
        <v>409</v>
      </c>
    </row>
    <row r="398" spans="1:6" hidden="1" x14ac:dyDescent="0.25">
      <c r="A398" t="s">
        <v>3</v>
      </c>
      <c r="B398" t="s">
        <v>414</v>
      </c>
      <c r="C398">
        <v>2022</v>
      </c>
      <c r="D398" t="s">
        <v>17</v>
      </c>
      <c r="E398">
        <v>3.4750000000000001</v>
      </c>
      <c r="F398" t="s">
        <v>409</v>
      </c>
    </row>
    <row r="399" spans="1:6" hidden="1" x14ac:dyDescent="0.25">
      <c r="A399" t="s">
        <v>3</v>
      </c>
      <c r="B399" t="s">
        <v>414</v>
      </c>
      <c r="C399">
        <v>2023</v>
      </c>
      <c r="D399" t="s">
        <v>17</v>
      </c>
      <c r="E399">
        <v>16.725999999999999</v>
      </c>
      <c r="F399" t="s">
        <v>409</v>
      </c>
    </row>
    <row r="400" spans="1:6" hidden="1" x14ac:dyDescent="0.25">
      <c r="A400" t="s">
        <v>3</v>
      </c>
      <c r="B400" t="s">
        <v>414</v>
      </c>
      <c r="C400">
        <v>2024</v>
      </c>
      <c r="D400" t="s">
        <v>17</v>
      </c>
      <c r="E400">
        <v>39.863999999999997</v>
      </c>
      <c r="F400" t="s">
        <v>409</v>
      </c>
    </row>
    <row r="401" spans="1:6" hidden="1" x14ac:dyDescent="0.25">
      <c r="A401" t="s">
        <v>3</v>
      </c>
      <c r="B401" t="s">
        <v>414</v>
      </c>
      <c r="C401">
        <v>2025</v>
      </c>
      <c r="D401" t="s">
        <v>17</v>
      </c>
      <c r="E401">
        <v>37.578000000000003</v>
      </c>
      <c r="F401" t="s">
        <v>409</v>
      </c>
    </row>
    <row r="402" spans="1:6" hidden="1" x14ac:dyDescent="0.25">
      <c r="A402" t="s">
        <v>3</v>
      </c>
      <c r="B402" t="s">
        <v>414</v>
      </c>
      <c r="C402">
        <v>2026</v>
      </c>
      <c r="D402" t="s">
        <v>17</v>
      </c>
      <c r="E402">
        <v>39.969000000000001</v>
      </c>
      <c r="F402" t="s">
        <v>409</v>
      </c>
    </row>
    <row r="403" spans="1:6" hidden="1" x14ac:dyDescent="0.25">
      <c r="A403" t="s">
        <v>3</v>
      </c>
      <c r="B403" t="s">
        <v>414</v>
      </c>
      <c r="C403">
        <v>2027</v>
      </c>
      <c r="D403" t="s">
        <v>17</v>
      </c>
      <c r="E403">
        <v>41.682000000000002</v>
      </c>
      <c r="F403" t="s">
        <v>409</v>
      </c>
    </row>
    <row r="404" spans="1:6" hidden="1" x14ac:dyDescent="0.25">
      <c r="A404" t="s">
        <v>3</v>
      </c>
      <c r="B404" t="s">
        <v>414</v>
      </c>
      <c r="C404">
        <v>2028</v>
      </c>
      <c r="D404" t="s">
        <v>17</v>
      </c>
      <c r="E404">
        <v>40.292000000000002</v>
      </c>
      <c r="F404" t="s">
        <v>409</v>
      </c>
    </row>
    <row r="405" spans="1:6" hidden="1" x14ac:dyDescent="0.25">
      <c r="A405" t="s">
        <v>3</v>
      </c>
      <c r="B405" t="s">
        <v>414</v>
      </c>
      <c r="C405">
        <v>2029</v>
      </c>
      <c r="D405" t="s">
        <v>17</v>
      </c>
      <c r="E405">
        <v>37.906999999999996</v>
      </c>
      <c r="F405" t="s">
        <v>409</v>
      </c>
    </row>
    <row r="406" spans="1:6" hidden="1" x14ac:dyDescent="0.25">
      <c r="A406" t="s">
        <v>3</v>
      </c>
      <c r="B406" t="s">
        <v>414</v>
      </c>
      <c r="C406">
        <v>2030</v>
      </c>
      <c r="D406" t="s">
        <v>17</v>
      </c>
      <c r="E406">
        <v>38.978999999999999</v>
      </c>
      <c r="F406" t="s">
        <v>409</v>
      </c>
    </row>
    <row r="407" spans="1:6" hidden="1" x14ac:dyDescent="0.25">
      <c r="A407" t="s">
        <v>3</v>
      </c>
      <c r="B407" t="s">
        <v>414</v>
      </c>
      <c r="C407">
        <v>2031</v>
      </c>
      <c r="D407" t="s">
        <v>17</v>
      </c>
      <c r="E407">
        <v>38.165999999999997</v>
      </c>
      <c r="F407" t="s">
        <v>409</v>
      </c>
    </row>
    <row r="408" spans="1:6" hidden="1" x14ac:dyDescent="0.25">
      <c r="A408" t="s">
        <v>3</v>
      </c>
      <c r="B408" t="s">
        <v>414</v>
      </c>
      <c r="C408">
        <v>2032</v>
      </c>
      <c r="D408" t="s">
        <v>17</v>
      </c>
      <c r="E408">
        <v>40.61</v>
      </c>
      <c r="F408" t="s">
        <v>409</v>
      </c>
    </row>
    <row r="409" spans="1:6" hidden="1" x14ac:dyDescent="0.25">
      <c r="A409" t="s">
        <v>3</v>
      </c>
      <c r="B409" t="s">
        <v>414</v>
      </c>
      <c r="C409">
        <v>2033</v>
      </c>
      <c r="D409" t="s">
        <v>17</v>
      </c>
      <c r="E409">
        <v>37.831000000000003</v>
      </c>
      <c r="F409" t="s">
        <v>409</v>
      </c>
    </row>
    <row r="410" spans="1:6" hidden="1" x14ac:dyDescent="0.25">
      <c r="A410" t="s">
        <v>3</v>
      </c>
      <c r="B410" t="s">
        <v>414</v>
      </c>
      <c r="C410">
        <v>2034</v>
      </c>
      <c r="D410" t="s">
        <v>17</v>
      </c>
      <c r="E410">
        <v>39.773000000000003</v>
      </c>
      <c r="F410" t="s">
        <v>409</v>
      </c>
    </row>
    <row r="411" spans="1:6" hidden="1" x14ac:dyDescent="0.25">
      <c r="A411" t="s">
        <v>3</v>
      </c>
      <c r="B411" t="s">
        <v>414</v>
      </c>
      <c r="C411">
        <v>2035</v>
      </c>
      <c r="D411" t="s">
        <v>17</v>
      </c>
      <c r="E411">
        <v>40.453000000000003</v>
      </c>
      <c r="F411" t="s">
        <v>409</v>
      </c>
    </row>
    <row r="412" spans="1:6" hidden="1" x14ac:dyDescent="0.25">
      <c r="A412" t="s">
        <v>3</v>
      </c>
      <c r="B412" t="s">
        <v>414</v>
      </c>
      <c r="C412">
        <v>2036</v>
      </c>
      <c r="D412" t="s">
        <v>17</v>
      </c>
      <c r="E412">
        <v>37.189</v>
      </c>
      <c r="F412" t="s">
        <v>409</v>
      </c>
    </row>
    <row r="413" spans="1:6" hidden="1" x14ac:dyDescent="0.25">
      <c r="A413" t="s">
        <v>3</v>
      </c>
      <c r="B413" t="s">
        <v>414</v>
      </c>
      <c r="C413">
        <v>2037</v>
      </c>
      <c r="D413" t="s">
        <v>17</v>
      </c>
      <c r="E413">
        <v>39.270000000000003</v>
      </c>
      <c r="F413" t="s">
        <v>409</v>
      </c>
    </row>
    <row r="414" spans="1:6" hidden="1" x14ac:dyDescent="0.25">
      <c r="A414" t="s">
        <v>3</v>
      </c>
      <c r="B414" t="s">
        <v>414</v>
      </c>
      <c r="C414">
        <v>2038</v>
      </c>
      <c r="D414" t="s">
        <v>17</v>
      </c>
      <c r="E414">
        <v>42.575000000000003</v>
      </c>
      <c r="F414" t="s">
        <v>409</v>
      </c>
    </row>
    <row r="415" spans="1:6" hidden="1" x14ac:dyDescent="0.25">
      <c r="A415" t="s">
        <v>3</v>
      </c>
      <c r="B415" t="s">
        <v>414</v>
      </c>
      <c r="C415">
        <v>2039</v>
      </c>
      <c r="D415" t="s">
        <v>17</v>
      </c>
      <c r="E415">
        <v>40.970999999999997</v>
      </c>
      <c r="F415" t="s">
        <v>409</v>
      </c>
    </row>
    <row r="416" spans="1:6" hidden="1" x14ac:dyDescent="0.25">
      <c r="A416" t="s">
        <v>3</v>
      </c>
      <c r="B416" t="s">
        <v>414</v>
      </c>
      <c r="C416">
        <v>2040</v>
      </c>
      <c r="D416" t="s">
        <v>17</v>
      </c>
      <c r="E416">
        <v>42.826999999999998</v>
      </c>
      <c r="F416" t="s">
        <v>409</v>
      </c>
    </row>
    <row r="417" spans="1:6" hidden="1" x14ac:dyDescent="0.25">
      <c r="A417" t="s">
        <v>3</v>
      </c>
      <c r="B417" t="s">
        <v>414</v>
      </c>
      <c r="C417">
        <v>2018</v>
      </c>
      <c r="D417" t="s">
        <v>18</v>
      </c>
      <c r="E417">
        <v>0</v>
      </c>
      <c r="F417" t="s">
        <v>409</v>
      </c>
    </row>
    <row r="418" spans="1:6" hidden="1" x14ac:dyDescent="0.25">
      <c r="A418" t="s">
        <v>3</v>
      </c>
      <c r="B418" t="s">
        <v>414</v>
      </c>
      <c r="C418">
        <v>2019</v>
      </c>
      <c r="D418" t="s">
        <v>18</v>
      </c>
      <c r="E418">
        <v>0</v>
      </c>
      <c r="F418" t="s">
        <v>409</v>
      </c>
    </row>
    <row r="419" spans="1:6" hidden="1" x14ac:dyDescent="0.25">
      <c r="A419" t="s">
        <v>3</v>
      </c>
      <c r="B419" t="s">
        <v>414</v>
      </c>
      <c r="C419">
        <v>2020</v>
      </c>
      <c r="D419" t="s">
        <v>18</v>
      </c>
      <c r="E419">
        <v>0</v>
      </c>
      <c r="F419" t="s">
        <v>409</v>
      </c>
    </row>
    <row r="420" spans="1:6" hidden="1" x14ac:dyDescent="0.25">
      <c r="A420" t="s">
        <v>3</v>
      </c>
      <c r="B420" t="s">
        <v>414</v>
      </c>
      <c r="C420">
        <v>2021</v>
      </c>
      <c r="D420" t="s">
        <v>18</v>
      </c>
      <c r="E420">
        <v>0.188</v>
      </c>
      <c r="F420" t="s">
        <v>409</v>
      </c>
    </row>
    <row r="421" spans="1:6" hidden="1" x14ac:dyDescent="0.25">
      <c r="A421" t="s">
        <v>3</v>
      </c>
      <c r="B421" t="s">
        <v>414</v>
      </c>
      <c r="C421">
        <v>2022</v>
      </c>
      <c r="D421" t="s">
        <v>18</v>
      </c>
      <c r="E421">
        <v>3.4750000000000001</v>
      </c>
      <c r="F421" t="s">
        <v>409</v>
      </c>
    </row>
    <row r="422" spans="1:6" hidden="1" x14ac:dyDescent="0.25">
      <c r="A422" t="s">
        <v>3</v>
      </c>
      <c r="B422" t="s">
        <v>414</v>
      </c>
      <c r="C422">
        <v>2023</v>
      </c>
      <c r="D422" t="s">
        <v>18</v>
      </c>
      <c r="E422">
        <v>16.725999999999999</v>
      </c>
      <c r="F422" t="s">
        <v>409</v>
      </c>
    </row>
    <row r="423" spans="1:6" hidden="1" x14ac:dyDescent="0.25">
      <c r="A423" t="s">
        <v>3</v>
      </c>
      <c r="B423" t="s">
        <v>414</v>
      </c>
      <c r="C423">
        <v>2024</v>
      </c>
      <c r="D423" t="s">
        <v>18</v>
      </c>
      <c r="E423">
        <v>40.863999999999997</v>
      </c>
      <c r="F423" t="s">
        <v>409</v>
      </c>
    </row>
    <row r="424" spans="1:6" hidden="1" x14ac:dyDescent="0.25">
      <c r="A424" t="s">
        <v>3</v>
      </c>
      <c r="B424" t="s">
        <v>414</v>
      </c>
      <c r="C424">
        <v>2025</v>
      </c>
      <c r="D424" t="s">
        <v>18</v>
      </c>
      <c r="E424">
        <v>84.85</v>
      </c>
      <c r="F424" t="s">
        <v>409</v>
      </c>
    </row>
    <row r="425" spans="1:6" hidden="1" x14ac:dyDescent="0.25">
      <c r="A425" t="s">
        <v>3</v>
      </c>
      <c r="B425" t="s">
        <v>414</v>
      </c>
      <c r="C425">
        <v>2026</v>
      </c>
      <c r="D425" t="s">
        <v>18</v>
      </c>
      <c r="E425">
        <v>144.32900000000001</v>
      </c>
      <c r="F425" t="s">
        <v>409</v>
      </c>
    </row>
    <row r="426" spans="1:6" hidden="1" x14ac:dyDescent="0.25">
      <c r="A426" t="s">
        <v>3</v>
      </c>
      <c r="B426" t="s">
        <v>414</v>
      </c>
      <c r="C426">
        <v>2027</v>
      </c>
      <c r="D426" t="s">
        <v>18</v>
      </c>
      <c r="E426">
        <v>154.74599999999998</v>
      </c>
      <c r="F426" t="s">
        <v>409</v>
      </c>
    </row>
    <row r="427" spans="1:6" hidden="1" x14ac:dyDescent="0.25">
      <c r="A427" t="s">
        <v>3</v>
      </c>
      <c r="B427" t="s">
        <v>414</v>
      </c>
      <c r="C427">
        <v>2028</v>
      </c>
      <c r="D427" t="s">
        <v>18</v>
      </c>
      <c r="E427">
        <v>162.58100000000002</v>
      </c>
      <c r="F427" t="s">
        <v>409</v>
      </c>
    </row>
    <row r="428" spans="1:6" hidden="1" x14ac:dyDescent="0.25">
      <c r="A428" t="s">
        <v>3</v>
      </c>
      <c r="B428" t="s">
        <v>414</v>
      </c>
      <c r="C428">
        <v>2029</v>
      </c>
      <c r="D428" t="s">
        <v>18</v>
      </c>
      <c r="E428">
        <v>152.81399999999999</v>
      </c>
      <c r="F428" t="s">
        <v>409</v>
      </c>
    </row>
    <row r="429" spans="1:6" hidden="1" x14ac:dyDescent="0.25">
      <c r="A429" t="s">
        <v>3</v>
      </c>
      <c r="B429" t="s">
        <v>414</v>
      </c>
      <c r="C429">
        <v>2030</v>
      </c>
      <c r="D429" t="s">
        <v>18</v>
      </c>
      <c r="E429">
        <v>146.529</v>
      </c>
      <c r="F429" t="s">
        <v>409</v>
      </c>
    </row>
    <row r="430" spans="1:6" hidden="1" x14ac:dyDescent="0.25">
      <c r="A430" t="s">
        <v>3</v>
      </c>
      <c r="B430" t="s">
        <v>414</v>
      </c>
      <c r="C430">
        <v>2031</v>
      </c>
      <c r="D430" t="s">
        <v>18</v>
      </c>
      <c r="E430">
        <v>144.92399999999998</v>
      </c>
      <c r="F430" t="s">
        <v>409</v>
      </c>
    </row>
    <row r="431" spans="1:6" hidden="1" x14ac:dyDescent="0.25">
      <c r="A431" t="s">
        <v>3</v>
      </c>
      <c r="B431" t="s">
        <v>414</v>
      </c>
      <c r="C431">
        <v>2032</v>
      </c>
      <c r="D431" t="s">
        <v>18</v>
      </c>
      <c r="E431">
        <v>147.25700000000001</v>
      </c>
      <c r="F431" t="s">
        <v>409</v>
      </c>
    </row>
    <row r="432" spans="1:6" hidden="1" x14ac:dyDescent="0.25">
      <c r="A432" t="s">
        <v>3</v>
      </c>
      <c r="B432" t="s">
        <v>414</v>
      </c>
      <c r="C432">
        <v>2033</v>
      </c>
      <c r="D432" t="s">
        <v>18</v>
      </c>
      <c r="E432">
        <v>137.096</v>
      </c>
      <c r="F432" t="s">
        <v>409</v>
      </c>
    </row>
    <row r="433" spans="1:6" hidden="1" x14ac:dyDescent="0.25">
      <c r="A433" t="s">
        <v>3</v>
      </c>
      <c r="B433" t="s">
        <v>414</v>
      </c>
      <c r="C433">
        <v>2034</v>
      </c>
      <c r="D433" t="s">
        <v>18</v>
      </c>
      <c r="E433">
        <v>142.85900000000001</v>
      </c>
      <c r="F433" t="s">
        <v>409</v>
      </c>
    </row>
    <row r="434" spans="1:6" hidden="1" x14ac:dyDescent="0.25">
      <c r="A434" t="s">
        <v>3</v>
      </c>
      <c r="B434" t="s">
        <v>414</v>
      </c>
      <c r="C434">
        <v>2035</v>
      </c>
      <c r="D434" t="s">
        <v>18</v>
      </c>
      <c r="E434">
        <v>146.1213507094937</v>
      </c>
      <c r="F434" t="s">
        <v>409</v>
      </c>
    </row>
    <row r="435" spans="1:6" hidden="1" x14ac:dyDescent="0.25">
      <c r="A435" t="s">
        <v>3</v>
      </c>
      <c r="B435" t="s">
        <v>414</v>
      </c>
      <c r="C435">
        <v>2036</v>
      </c>
      <c r="D435" t="s">
        <v>18</v>
      </c>
      <c r="E435">
        <v>194.81312210065016</v>
      </c>
      <c r="F435" t="s">
        <v>409</v>
      </c>
    </row>
    <row r="436" spans="1:6" hidden="1" x14ac:dyDescent="0.25">
      <c r="A436" t="s">
        <v>3</v>
      </c>
      <c r="B436" t="s">
        <v>414</v>
      </c>
      <c r="C436">
        <v>2037</v>
      </c>
      <c r="D436" t="s">
        <v>18</v>
      </c>
      <c r="E436">
        <v>259.73037039642571</v>
      </c>
      <c r="F436" t="s">
        <v>409</v>
      </c>
    </row>
    <row r="437" spans="1:6" hidden="1" x14ac:dyDescent="0.25">
      <c r="A437" t="s">
        <v>3</v>
      </c>
      <c r="B437" t="s">
        <v>414</v>
      </c>
      <c r="C437">
        <v>2038</v>
      </c>
      <c r="D437" t="s">
        <v>18</v>
      </c>
      <c r="E437">
        <v>346.27988391568084</v>
      </c>
      <c r="F437" t="s">
        <v>409</v>
      </c>
    </row>
    <row r="438" spans="1:6" hidden="1" x14ac:dyDescent="0.25">
      <c r="A438" t="s">
        <v>3</v>
      </c>
      <c r="B438" t="s">
        <v>414</v>
      </c>
      <c r="C438">
        <v>2039</v>
      </c>
      <c r="D438" t="s">
        <v>18</v>
      </c>
      <c r="E438">
        <v>461.67014593495367</v>
      </c>
      <c r="F438" t="s">
        <v>409</v>
      </c>
    </row>
    <row r="439" spans="1:6" hidden="1" x14ac:dyDescent="0.25">
      <c r="A439" t="s">
        <v>3</v>
      </c>
      <c r="B439" t="s">
        <v>414</v>
      </c>
      <c r="C439">
        <v>2040</v>
      </c>
      <c r="D439" t="s">
        <v>18</v>
      </c>
      <c r="E439">
        <v>615.51171046222476</v>
      </c>
      <c r="F439" t="s">
        <v>409</v>
      </c>
    </row>
    <row r="440" spans="1:6" hidden="1" x14ac:dyDescent="0.25">
      <c r="A440" t="s">
        <v>3</v>
      </c>
      <c r="B440" t="s">
        <v>414</v>
      </c>
      <c r="C440" t="s">
        <v>410</v>
      </c>
      <c r="D440" t="s">
        <v>13</v>
      </c>
      <c r="E440">
        <v>9.1921708185053248</v>
      </c>
      <c r="F440" t="s">
        <v>409</v>
      </c>
    </row>
    <row r="441" spans="1:6" hidden="1" x14ac:dyDescent="0.25">
      <c r="A441" t="s">
        <v>3</v>
      </c>
      <c r="B441" t="s">
        <v>414</v>
      </c>
      <c r="C441" t="s">
        <v>410</v>
      </c>
      <c r="D441" t="s">
        <v>411</v>
      </c>
      <c r="E441">
        <v>89.903914590747007</v>
      </c>
      <c r="F441" t="s">
        <v>409</v>
      </c>
    </row>
    <row r="442" spans="1:6" hidden="1" x14ac:dyDescent="0.25">
      <c r="A442" t="s">
        <v>3</v>
      </c>
      <c r="B442" t="s">
        <v>414</v>
      </c>
      <c r="C442" t="s">
        <v>410</v>
      </c>
      <c r="D442" t="s">
        <v>412</v>
      </c>
      <c r="E442">
        <v>809.13523131672514</v>
      </c>
      <c r="F442" t="s">
        <v>409</v>
      </c>
    </row>
    <row r="443" spans="1:6" hidden="1" x14ac:dyDescent="0.25">
      <c r="A443" t="s">
        <v>5</v>
      </c>
      <c r="B443" t="s">
        <v>408</v>
      </c>
      <c r="C443">
        <v>2018</v>
      </c>
      <c r="D443" t="s">
        <v>17</v>
      </c>
      <c r="E443">
        <v>179.99</v>
      </c>
      <c r="F443" t="s">
        <v>409</v>
      </c>
    </row>
    <row r="444" spans="1:6" hidden="1" x14ac:dyDescent="0.25">
      <c r="A444" t="s">
        <v>5</v>
      </c>
      <c r="B444" t="s">
        <v>408</v>
      </c>
      <c r="C444">
        <v>2019</v>
      </c>
      <c r="D444" t="s">
        <v>17</v>
      </c>
      <c r="E444">
        <v>187.73</v>
      </c>
      <c r="F444" t="s">
        <v>409</v>
      </c>
    </row>
    <row r="445" spans="1:6" hidden="1" x14ac:dyDescent="0.25">
      <c r="A445" t="s">
        <v>5</v>
      </c>
      <c r="B445" t="s">
        <v>408</v>
      </c>
      <c r="C445">
        <v>2020</v>
      </c>
      <c r="D445" t="s">
        <v>17</v>
      </c>
      <c r="E445">
        <v>154.41399999999999</v>
      </c>
      <c r="F445" t="s">
        <v>409</v>
      </c>
    </row>
    <row r="446" spans="1:6" hidden="1" x14ac:dyDescent="0.25">
      <c r="A446" t="s">
        <v>5</v>
      </c>
      <c r="B446" t="s">
        <v>408</v>
      </c>
      <c r="C446">
        <v>2021</v>
      </c>
      <c r="D446" t="s">
        <v>17</v>
      </c>
      <c r="E446">
        <v>138.86600000000001</v>
      </c>
      <c r="F446" t="s">
        <v>409</v>
      </c>
    </row>
    <row r="447" spans="1:6" hidden="1" x14ac:dyDescent="0.25">
      <c r="A447" t="s">
        <v>5</v>
      </c>
      <c r="B447" t="s">
        <v>408</v>
      </c>
      <c r="C447">
        <v>2022</v>
      </c>
      <c r="D447" t="s">
        <v>17</v>
      </c>
      <c r="E447">
        <v>126.58199999999999</v>
      </c>
      <c r="F447" t="s">
        <v>409</v>
      </c>
    </row>
    <row r="448" spans="1:6" x14ac:dyDescent="0.25">
      <c r="A448" t="s">
        <v>5</v>
      </c>
      <c r="B448" t="s">
        <v>408</v>
      </c>
      <c r="C448">
        <v>2023</v>
      </c>
      <c r="D448" t="s">
        <v>17</v>
      </c>
      <c r="E448">
        <v>186.81299999999999</v>
      </c>
      <c r="F448" t="s">
        <v>409</v>
      </c>
    </row>
    <row r="449" spans="1:6" hidden="1" x14ac:dyDescent="0.25">
      <c r="A449" t="s">
        <v>5</v>
      </c>
      <c r="B449" t="s">
        <v>408</v>
      </c>
      <c r="C449">
        <v>2024</v>
      </c>
      <c r="D449" t="s">
        <v>17</v>
      </c>
      <c r="E449">
        <v>134.57900000000001</v>
      </c>
      <c r="F449" t="s">
        <v>409</v>
      </c>
    </row>
    <row r="450" spans="1:6" hidden="1" x14ac:dyDescent="0.25">
      <c r="A450" t="s">
        <v>5</v>
      </c>
      <c r="B450" t="s">
        <v>408</v>
      </c>
      <c r="C450">
        <v>2025</v>
      </c>
      <c r="D450" t="s">
        <v>17</v>
      </c>
      <c r="E450">
        <v>154.58600000000001</v>
      </c>
      <c r="F450" t="s">
        <v>409</v>
      </c>
    </row>
    <row r="451" spans="1:6" hidden="1" x14ac:dyDescent="0.25">
      <c r="A451" t="s">
        <v>5</v>
      </c>
      <c r="B451" t="s">
        <v>408</v>
      </c>
      <c r="C451">
        <v>2026</v>
      </c>
      <c r="D451" t="s">
        <v>17</v>
      </c>
      <c r="E451">
        <v>158.54400000000001</v>
      </c>
      <c r="F451" t="s">
        <v>409</v>
      </c>
    </row>
    <row r="452" spans="1:6" hidden="1" x14ac:dyDescent="0.25">
      <c r="A452" t="s">
        <v>5</v>
      </c>
      <c r="B452" t="s">
        <v>408</v>
      </c>
      <c r="C452">
        <v>2027</v>
      </c>
      <c r="D452" t="s">
        <v>17</v>
      </c>
      <c r="E452">
        <v>158.54400000000001</v>
      </c>
      <c r="F452" t="s">
        <v>409</v>
      </c>
    </row>
    <row r="453" spans="1:6" hidden="1" x14ac:dyDescent="0.25">
      <c r="A453" t="s">
        <v>5</v>
      </c>
      <c r="B453" t="s">
        <v>408</v>
      </c>
      <c r="C453">
        <v>2028</v>
      </c>
      <c r="D453" t="s">
        <v>17</v>
      </c>
      <c r="E453">
        <v>154.76400000000001</v>
      </c>
      <c r="F453" t="s">
        <v>409</v>
      </c>
    </row>
    <row r="454" spans="1:6" hidden="1" x14ac:dyDescent="0.25">
      <c r="A454" t="s">
        <v>5</v>
      </c>
      <c r="B454" t="s">
        <v>408</v>
      </c>
      <c r="C454">
        <v>2029</v>
      </c>
      <c r="D454" t="s">
        <v>17</v>
      </c>
      <c r="E454">
        <v>152.07400000000001</v>
      </c>
      <c r="F454" t="s">
        <v>409</v>
      </c>
    </row>
    <row r="455" spans="1:6" hidden="1" x14ac:dyDescent="0.25">
      <c r="A455" t="s">
        <v>5</v>
      </c>
      <c r="B455" t="s">
        <v>408</v>
      </c>
      <c r="C455">
        <v>2030</v>
      </c>
      <c r="D455" t="s">
        <v>17</v>
      </c>
      <c r="E455">
        <v>150.184</v>
      </c>
      <c r="F455" t="s">
        <v>409</v>
      </c>
    </row>
    <row r="456" spans="1:6" hidden="1" x14ac:dyDescent="0.25">
      <c r="A456" t="s">
        <v>5</v>
      </c>
      <c r="B456" t="s">
        <v>408</v>
      </c>
      <c r="C456">
        <v>2031</v>
      </c>
      <c r="D456" t="s">
        <v>17</v>
      </c>
      <c r="E456">
        <v>139.27799999999999</v>
      </c>
      <c r="F456" t="s">
        <v>409</v>
      </c>
    </row>
    <row r="457" spans="1:6" hidden="1" x14ac:dyDescent="0.25">
      <c r="A457" t="s">
        <v>5</v>
      </c>
      <c r="B457" t="s">
        <v>408</v>
      </c>
      <c r="C457">
        <v>2032</v>
      </c>
      <c r="D457" t="s">
        <v>17</v>
      </c>
      <c r="E457">
        <v>139.27799999999999</v>
      </c>
      <c r="F457" t="s">
        <v>409</v>
      </c>
    </row>
    <row r="458" spans="1:6" hidden="1" x14ac:dyDescent="0.25">
      <c r="A458" t="s">
        <v>5</v>
      </c>
      <c r="B458" t="s">
        <v>408</v>
      </c>
      <c r="C458">
        <v>2033</v>
      </c>
      <c r="D458" t="s">
        <v>17</v>
      </c>
      <c r="E458">
        <v>120.288</v>
      </c>
      <c r="F458" t="s">
        <v>409</v>
      </c>
    </row>
    <row r="459" spans="1:6" hidden="1" x14ac:dyDescent="0.25">
      <c r="A459" t="s">
        <v>5</v>
      </c>
      <c r="B459" t="s">
        <v>408</v>
      </c>
      <c r="C459">
        <v>2034</v>
      </c>
      <c r="D459" t="s">
        <v>17</v>
      </c>
      <c r="E459">
        <v>118</v>
      </c>
      <c r="F459" t="s">
        <v>409</v>
      </c>
    </row>
    <row r="460" spans="1:6" hidden="1" x14ac:dyDescent="0.25">
      <c r="A460" t="s">
        <v>5</v>
      </c>
      <c r="B460" t="s">
        <v>408</v>
      </c>
      <c r="C460">
        <v>2035</v>
      </c>
      <c r="D460" t="s">
        <v>17</v>
      </c>
      <c r="E460">
        <v>118</v>
      </c>
      <c r="F460" t="s">
        <v>409</v>
      </c>
    </row>
    <row r="461" spans="1:6" hidden="1" x14ac:dyDescent="0.25">
      <c r="A461" t="s">
        <v>5</v>
      </c>
      <c r="B461" t="s">
        <v>408</v>
      </c>
      <c r="C461">
        <v>2036</v>
      </c>
      <c r="D461" t="s">
        <v>17</v>
      </c>
      <c r="E461">
        <v>116.68</v>
      </c>
      <c r="F461" t="s">
        <v>409</v>
      </c>
    </row>
    <row r="462" spans="1:6" hidden="1" x14ac:dyDescent="0.25">
      <c r="A462" t="s">
        <v>5</v>
      </c>
      <c r="B462" t="s">
        <v>408</v>
      </c>
      <c r="C462">
        <v>2037</v>
      </c>
      <c r="D462" t="s">
        <v>17</v>
      </c>
      <c r="E462">
        <v>82.66</v>
      </c>
      <c r="F462" t="s">
        <v>409</v>
      </c>
    </row>
    <row r="463" spans="1:6" hidden="1" x14ac:dyDescent="0.25">
      <c r="A463" t="s">
        <v>5</v>
      </c>
      <c r="B463" t="s">
        <v>408</v>
      </c>
      <c r="C463">
        <v>2038</v>
      </c>
      <c r="D463" t="s">
        <v>17</v>
      </c>
      <c r="E463">
        <v>40.840000000000003</v>
      </c>
      <c r="F463" t="s">
        <v>409</v>
      </c>
    </row>
    <row r="464" spans="1:6" hidden="1" x14ac:dyDescent="0.25">
      <c r="A464" t="s">
        <v>5</v>
      </c>
      <c r="B464" t="s">
        <v>408</v>
      </c>
      <c r="C464">
        <v>2039</v>
      </c>
      <c r="D464" t="s">
        <v>17</v>
      </c>
      <c r="E464">
        <v>37</v>
      </c>
      <c r="F464" t="s">
        <v>409</v>
      </c>
    </row>
    <row r="465" spans="1:6" hidden="1" x14ac:dyDescent="0.25">
      <c r="A465" t="s">
        <v>5</v>
      </c>
      <c r="B465" t="s">
        <v>408</v>
      </c>
      <c r="C465">
        <v>2040</v>
      </c>
      <c r="D465" t="s">
        <v>17</v>
      </c>
      <c r="E465">
        <v>37</v>
      </c>
      <c r="F465" t="s">
        <v>409</v>
      </c>
    </row>
    <row r="466" spans="1:6" hidden="1" x14ac:dyDescent="0.25">
      <c r="A466" t="s">
        <v>5</v>
      </c>
      <c r="B466" t="s">
        <v>408</v>
      </c>
      <c r="C466">
        <v>2018</v>
      </c>
      <c r="D466" t="s">
        <v>18</v>
      </c>
      <c r="E466">
        <v>179.99</v>
      </c>
      <c r="F466" t="s">
        <v>409</v>
      </c>
    </row>
    <row r="467" spans="1:6" hidden="1" x14ac:dyDescent="0.25">
      <c r="A467" t="s">
        <v>5</v>
      </c>
      <c r="B467" t="s">
        <v>408</v>
      </c>
      <c r="C467">
        <v>2019</v>
      </c>
      <c r="D467" t="s">
        <v>18</v>
      </c>
      <c r="E467">
        <v>187.73</v>
      </c>
      <c r="F467" t="s">
        <v>409</v>
      </c>
    </row>
    <row r="468" spans="1:6" hidden="1" x14ac:dyDescent="0.25">
      <c r="A468" t="s">
        <v>5</v>
      </c>
      <c r="B468" t="s">
        <v>408</v>
      </c>
      <c r="C468">
        <v>2020</v>
      </c>
      <c r="D468" t="s">
        <v>18</v>
      </c>
      <c r="E468">
        <v>154.41399999999999</v>
      </c>
      <c r="F468" t="s">
        <v>409</v>
      </c>
    </row>
    <row r="469" spans="1:6" hidden="1" x14ac:dyDescent="0.25">
      <c r="A469" t="s">
        <v>5</v>
      </c>
      <c r="B469" t="s">
        <v>408</v>
      </c>
      <c r="C469">
        <v>2021</v>
      </c>
      <c r="D469" t="s">
        <v>18</v>
      </c>
      <c r="E469">
        <v>138.86600000000001</v>
      </c>
      <c r="F469" t="s">
        <v>409</v>
      </c>
    </row>
    <row r="470" spans="1:6" hidden="1" x14ac:dyDescent="0.25">
      <c r="A470" t="s">
        <v>5</v>
      </c>
      <c r="B470" t="s">
        <v>408</v>
      </c>
      <c r="C470">
        <v>2022</v>
      </c>
      <c r="D470" t="s">
        <v>18</v>
      </c>
      <c r="E470">
        <v>126.58199999999999</v>
      </c>
      <c r="F470" t="s">
        <v>409</v>
      </c>
    </row>
    <row r="471" spans="1:6" x14ac:dyDescent="0.25">
      <c r="A471" t="s">
        <v>5</v>
      </c>
      <c r="B471" t="s">
        <v>408</v>
      </c>
      <c r="C471">
        <v>2023</v>
      </c>
      <c r="D471" t="s">
        <v>18</v>
      </c>
      <c r="E471">
        <v>186.81299999999999</v>
      </c>
      <c r="F471" t="s">
        <v>409</v>
      </c>
    </row>
    <row r="472" spans="1:6" hidden="1" x14ac:dyDescent="0.25">
      <c r="A472" t="s">
        <v>5</v>
      </c>
      <c r="B472" t="s">
        <v>408</v>
      </c>
      <c r="C472">
        <v>2024</v>
      </c>
      <c r="D472" t="s">
        <v>18</v>
      </c>
      <c r="E472">
        <v>138.37165055414135</v>
      </c>
      <c r="F472" t="s">
        <v>409</v>
      </c>
    </row>
    <row r="473" spans="1:6" hidden="1" x14ac:dyDescent="0.25">
      <c r="A473" t="s">
        <v>5</v>
      </c>
      <c r="B473" t="s">
        <v>408</v>
      </c>
      <c r="C473">
        <v>2025</v>
      </c>
      <c r="D473" t="s">
        <v>18</v>
      </c>
      <c r="E473">
        <v>154.58600000000001</v>
      </c>
      <c r="F473" t="s">
        <v>409</v>
      </c>
    </row>
    <row r="474" spans="1:6" hidden="1" x14ac:dyDescent="0.25">
      <c r="A474" t="s">
        <v>5</v>
      </c>
      <c r="B474" t="s">
        <v>408</v>
      </c>
      <c r="C474">
        <v>2026</v>
      </c>
      <c r="D474" t="s">
        <v>18</v>
      </c>
      <c r="E474">
        <v>208.96100000000001</v>
      </c>
      <c r="F474" t="s">
        <v>409</v>
      </c>
    </row>
    <row r="475" spans="1:6" hidden="1" x14ac:dyDescent="0.25">
      <c r="A475" t="s">
        <v>5</v>
      </c>
      <c r="B475" t="s">
        <v>408</v>
      </c>
      <c r="C475">
        <v>2027</v>
      </c>
      <c r="D475" t="s">
        <v>18</v>
      </c>
      <c r="E475">
        <v>215.85400000000001</v>
      </c>
      <c r="F475" t="s">
        <v>409</v>
      </c>
    </row>
    <row r="476" spans="1:6" hidden="1" x14ac:dyDescent="0.25">
      <c r="A476" t="s">
        <v>5</v>
      </c>
      <c r="B476" t="s">
        <v>408</v>
      </c>
      <c r="C476">
        <v>2028</v>
      </c>
      <c r="D476" t="s">
        <v>18</v>
      </c>
      <c r="E476">
        <v>210.04700000000003</v>
      </c>
      <c r="F476" t="s">
        <v>409</v>
      </c>
    </row>
    <row r="477" spans="1:6" hidden="1" x14ac:dyDescent="0.25">
      <c r="A477" t="s">
        <v>5</v>
      </c>
      <c r="B477" t="s">
        <v>408</v>
      </c>
      <c r="C477">
        <v>2029</v>
      </c>
      <c r="D477" t="s">
        <v>18</v>
      </c>
      <c r="E477">
        <v>190.72400000000002</v>
      </c>
      <c r="F477" t="s">
        <v>409</v>
      </c>
    </row>
    <row r="478" spans="1:6" hidden="1" x14ac:dyDescent="0.25">
      <c r="A478" t="s">
        <v>5</v>
      </c>
      <c r="B478" t="s">
        <v>408</v>
      </c>
      <c r="C478">
        <v>2030</v>
      </c>
      <c r="D478" t="s">
        <v>18</v>
      </c>
      <c r="E478">
        <v>193.08099999999999</v>
      </c>
      <c r="F478" t="s">
        <v>409</v>
      </c>
    </row>
    <row r="479" spans="1:6" hidden="1" x14ac:dyDescent="0.25">
      <c r="A479" t="s">
        <v>5</v>
      </c>
      <c r="B479" t="s">
        <v>408</v>
      </c>
      <c r="C479">
        <v>2031</v>
      </c>
      <c r="D479" t="s">
        <v>18</v>
      </c>
      <c r="E479">
        <v>192.804</v>
      </c>
      <c r="F479" t="s">
        <v>409</v>
      </c>
    </row>
    <row r="480" spans="1:6" hidden="1" x14ac:dyDescent="0.25">
      <c r="A480" t="s">
        <v>5</v>
      </c>
      <c r="B480" t="s">
        <v>408</v>
      </c>
      <c r="C480">
        <v>2032</v>
      </c>
      <c r="D480" t="s">
        <v>18</v>
      </c>
      <c r="E480">
        <v>197.58218962964116</v>
      </c>
      <c r="F480" t="s">
        <v>409</v>
      </c>
    </row>
    <row r="481" spans="1:6" hidden="1" x14ac:dyDescent="0.25">
      <c r="A481" t="s">
        <v>5</v>
      </c>
      <c r="B481" t="s">
        <v>408</v>
      </c>
      <c r="C481">
        <v>2033</v>
      </c>
      <c r="D481" t="s">
        <v>18</v>
      </c>
      <c r="E481">
        <v>206.5786229524189</v>
      </c>
      <c r="F481" t="s">
        <v>409</v>
      </c>
    </row>
    <row r="482" spans="1:6" hidden="1" x14ac:dyDescent="0.25">
      <c r="A482" t="s">
        <v>5</v>
      </c>
      <c r="B482" t="s">
        <v>408</v>
      </c>
      <c r="C482">
        <v>2034</v>
      </c>
      <c r="D482" t="s">
        <v>18</v>
      </c>
      <c r="E482">
        <v>215.98468738963513</v>
      </c>
      <c r="F482" t="s">
        <v>409</v>
      </c>
    </row>
    <row r="483" spans="1:6" hidden="1" x14ac:dyDescent="0.25">
      <c r="A483" t="s">
        <v>5</v>
      </c>
      <c r="B483" t="s">
        <v>408</v>
      </c>
      <c r="C483">
        <v>2035</v>
      </c>
      <c r="D483" t="s">
        <v>18</v>
      </c>
      <c r="E483">
        <v>225.81903451618578</v>
      </c>
      <c r="F483" t="s">
        <v>409</v>
      </c>
    </row>
    <row r="484" spans="1:6" hidden="1" x14ac:dyDescent="0.25">
      <c r="A484" t="s">
        <v>5</v>
      </c>
      <c r="B484" t="s">
        <v>408</v>
      </c>
      <c r="C484">
        <v>2036</v>
      </c>
      <c r="D484" t="s">
        <v>18</v>
      </c>
      <c r="E484">
        <v>236.1011651619034</v>
      </c>
      <c r="F484" t="s">
        <v>409</v>
      </c>
    </row>
    <row r="485" spans="1:6" hidden="1" x14ac:dyDescent="0.25">
      <c r="A485" t="s">
        <v>5</v>
      </c>
      <c r="B485" t="s">
        <v>408</v>
      </c>
      <c r="C485">
        <v>2037</v>
      </c>
      <c r="D485" t="s">
        <v>18</v>
      </c>
      <c r="E485">
        <v>246.85146808035299</v>
      </c>
      <c r="F485" t="s">
        <v>409</v>
      </c>
    </row>
    <row r="486" spans="1:6" hidden="1" x14ac:dyDescent="0.25">
      <c r="A486" t="s">
        <v>5</v>
      </c>
      <c r="B486" t="s">
        <v>408</v>
      </c>
      <c r="C486">
        <v>2038</v>
      </c>
      <c r="D486" t="s">
        <v>18</v>
      </c>
      <c r="E486">
        <v>258.09126037831999</v>
      </c>
      <c r="F486" t="s">
        <v>409</v>
      </c>
    </row>
    <row r="487" spans="1:6" hidden="1" x14ac:dyDescent="0.25">
      <c r="A487" t="s">
        <v>5</v>
      </c>
      <c r="B487" t="s">
        <v>408</v>
      </c>
      <c r="C487">
        <v>2039</v>
      </c>
      <c r="D487" t="s">
        <v>18</v>
      </c>
      <c r="E487">
        <v>269.84282978615749</v>
      </c>
      <c r="F487" t="s">
        <v>409</v>
      </c>
    </row>
    <row r="488" spans="1:6" hidden="1" x14ac:dyDescent="0.25">
      <c r="A488" t="s">
        <v>5</v>
      </c>
      <c r="B488" t="s">
        <v>408</v>
      </c>
      <c r="C488">
        <v>2040</v>
      </c>
      <c r="D488" t="s">
        <v>18</v>
      </c>
      <c r="E488">
        <v>282.12947885281312</v>
      </c>
      <c r="F488" t="s">
        <v>409</v>
      </c>
    </row>
    <row r="489" spans="1:6" hidden="1" x14ac:dyDescent="0.25">
      <c r="A489" t="s">
        <v>5</v>
      </c>
      <c r="B489" t="s">
        <v>408</v>
      </c>
      <c r="C489" t="s">
        <v>410</v>
      </c>
      <c r="D489" t="s">
        <v>13</v>
      </c>
      <c r="E489">
        <v>73.870719776380142</v>
      </c>
      <c r="F489" t="s">
        <v>409</v>
      </c>
    </row>
    <row r="490" spans="1:6" hidden="1" x14ac:dyDescent="0.25">
      <c r="A490" t="s">
        <v>5</v>
      </c>
      <c r="B490" t="s">
        <v>408</v>
      </c>
      <c r="C490" t="s">
        <v>410</v>
      </c>
      <c r="D490" t="s">
        <v>411</v>
      </c>
      <c r="E490">
        <v>87.419287211740041</v>
      </c>
      <c r="F490" t="s">
        <v>409</v>
      </c>
    </row>
    <row r="491" spans="1:6" hidden="1" x14ac:dyDescent="0.25">
      <c r="A491" t="s">
        <v>5</v>
      </c>
      <c r="B491" t="s">
        <v>408</v>
      </c>
      <c r="C491" t="s">
        <v>410</v>
      </c>
      <c r="D491" t="s">
        <v>412</v>
      </c>
      <c r="E491">
        <v>786.7735849056603</v>
      </c>
      <c r="F491" t="s">
        <v>409</v>
      </c>
    </row>
    <row r="492" spans="1:6" hidden="1" x14ac:dyDescent="0.25">
      <c r="A492" t="s">
        <v>5</v>
      </c>
      <c r="B492" t="s">
        <v>413</v>
      </c>
      <c r="C492">
        <v>2018</v>
      </c>
      <c r="D492" t="s">
        <v>17</v>
      </c>
      <c r="E492">
        <v>179.99</v>
      </c>
      <c r="F492" t="s">
        <v>409</v>
      </c>
    </row>
    <row r="493" spans="1:6" hidden="1" x14ac:dyDescent="0.25">
      <c r="A493" t="s">
        <v>5</v>
      </c>
      <c r="B493" t="s">
        <v>413</v>
      </c>
      <c r="C493">
        <v>2019</v>
      </c>
      <c r="D493" t="s">
        <v>17</v>
      </c>
      <c r="E493">
        <v>187.73</v>
      </c>
      <c r="F493" t="s">
        <v>409</v>
      </c>
    </row>
    <row r="494" spans="1:6" hidden="1" x14ac:dyDescent="0.25">
      <c r="A494" t="s">
        <v>5</v>
      </c>
      <c r="B494" t="s">
        <v>413</v>
      </c>
      <c r="C494">
        <v>2020</v>
      </c>
      <c r="D494" t="s">
        <v>17</v>
      </c>
      <c r="E494">
        <v>154.41399999999999</v>
      </c>
      <c r="F494" t="s">
        <v>409</v>
      </c>
    </row>
    <row r="495" spans="1:6" hidden="1" x14ac:dyDescent="0.25">
      <c r="A495" t="s">
        <v>5</v>
      </c>
      <c r="B495" t="s">
        <v>413</v>
      </c>
      <c r="C495">
        <v>2021</v>
      </c>
      <c r="D495" t="s">
        <v>17</v>
      </c>
      <c r="E495">
        <v>138.86600000000001</v>
      </c>
      <c r="F495" t="s">
        <v>409</v>
      </c>
    </row>
    <row r="496" spans="1:6" hidden="1" x14ac:dyDescent="0.25">
      <c r="A496" t="s">
        <v>5</v>
      </c>
      <c r="B496" t="s">
        <v>413</v>
      </c>
      <c r="C496">
        <v>2022</v>
      </c>
      <c r="D496" t="s">
        <v>17</v>
      </c>
      <c r="E496">
        <v>126.58199999999999</v>
      </c>
      <c r="F496" t="s">
        <v>409</v>
      </c>
    </row>
    <row r="497" spans="1:6" hidden="1" x14ac:dyDescent="0.25">
      <c r="A497" t="s">
        <v>5</v>
      </c>
      <c r="B497" t="s">
        <v>413</v>
      </c>
      <c r="C497">
        <v>2023</v>
      </c>
      <c r="D497" t="s">
        <v>17</v>
      </c>
      <c r="E497">
        <v>186.81299999999999</v>
      </c>
      <c r="F497" t="s">
        <v>409</v>
      </c>
    </row>
    <row r="498" spans="1:6" hidden="1" x14ac:dyDescent="0.25">
      <c r="A498" t="s">
        <v>5</v>
      </c>
      <c r="B498" t="s">
        <v>413</v>
      </c>
      <c r="C498">
        <v>2024</v>
      </c>
      <c r="D498" t="s">
        <v>17</v>
      </c>
      <c r="E498">
        <v>134.57900000000001</v>
      </c>
      <c r="F498" t="s">
        <v>409</v>
      </c>
    </row>
    <row r="499" spans="1:6" hidden="1" x14ac:dyDescent="0.25">
      <c r="A499" t="s">
        <v>5</v>
      </c>
      <c r="B499" t="s">
        <v>413</v>
      </c>
      <c r="C499">
        <v>2025</v>
      </c>
      <c r="D499" t="s">
        <v>17</v>
      </c>
      <c r="E499">
        <v>154.58600000000001</v>
      </c>
      <c r="F499" t="s">
        <v>409</v>
      </c>
    </row>
    <row r="500" spans="1:6" hidden="1" x14ac:dyDescent="0.25">
      <c r="A500" t="s">
        <v>5</v>
      </c>
      <c r="B500" t="s">
        <v>413</v>
      </c>
      <c r="C500">
        <v>2026</v>
      </c>
      <c r="D500" t="s">
        <v>17</v>
      </c>
      <c r="E500">
        <v>158.54400000000001</v>
      </c>
      <c r="F500" t="s">
        <v>409</v>
      </c>
    </row>
    <row r="501" spans="1:6" hidden="1" x14ac:dyDescent="0.25">
      <c r="A501" t="s">
        <v>5</v>
      </c>
      <c r="B501" t="s">
        <v>413</v>
      </c>
      <c r="C501">
        <v>2027</v>
      </c>
      <c r="D501" t="s">
        <v>17</v>
      </c>
      <c r="E501">
        <v>158.54400000000001</v>
      </c>
      <c r="F501" t="s">
        <v>409</v>
      </c>
    </row>
    <row r="502" spans="1:6" hidden="1" x14ac:dyDescent="0.25">
      <c r="A502" t="s">
        <v>5</v>
      </c>
      <c r="B502" t="s">
        <v>413</v>
      </c>
      <c r="C502">
        <v>2028</v>
      </c>
      <c r="D502" t="s">
        <v>17</v>
      </c>
      <c r="E502">
        <v>154.76400000000001</v>
      </c>
      <c r="F502" t="s">
        <v>409</v>
      </c>
    </row>
    <row r="503" spans="1:6" hidden="1" x14ac:dyDescent="0.25">
      <c r="A503" t="s">
        <v>5</v>
      </c>
      <c r="B503" t="s">
        <v>413</v>
      </c>
      <c r="C503">
        <v>2029</v>
      </c>
      <c r="D503" t="s">
        <v>17</v>
      </c>
      <c r="E503">
        <v>152.07400000000001</v>
      </c>
      <c r="F503" t="s">
        <v>409</v>
      </c>
    </row>
    <row r="504" spans="1:6" hidden="1" x14ac:dyDescent="0.25">
      <c r="A504" t="s">
        <v>5</v>
      </c>
      <c r="B504" t="s">
        <v>413</v>
      </c>
      <c r="C504">
        <v>2030</v>
      </c>
      <c r="D504" t="s">
        <v>17</v>
      </c>
      <c r="E504">
        <v>150.184</v>
      </c>
      <c r="F504" t="s">
        <v>409</v>
      </c>
    </row>
    <row r="505" spans="1:6" hidden="1" x14ac:dyDescent="0.25">
      <c r="A505" t="s">
        <v>5</v>
      </c>
      <c r="B505" t="s">
        <v>413</v>
      </c>
      <c r="C505">
        <v>2031</v>
      </c>
      <c r="D505" t="s">
        <v>17</v>
      </c>
      <c r="E505">
        <v>139.27799999999999</v>
      </c>
      <c r="F505" t="s">
        <v>409</v>
      </c>
    </row>
    <row r="506" spans="1:6" hidden="1" x14ac:dyDescent="0.25">
      <c r="A506" t="s">
        <v>5</v>
      </c>
      <c r="B506" t="s">
        <v>413</v>
      </c>
      <c r="C506">
        <v>2032</v>
      </c>
      <c r="D506" t="s">
        <v>17</v>
      </c>
      <c r="E506">
        <v>139.27799999999999</v>
      </c>
      <c r="F506" t="s">
        <v>409</v>
      </c>
    </row>
    <row r="507" spans="1:6" hidden="1" x14ac:dyDescent="0.25">
      <c r="A507" t="s">
        <v>5</v>
      </c>
      <c r="B507" t="s">
        <v>413</v>
      </c>
      <c r="C507">
        <v>2033</v>
      </c>
      <c r="D507" t="s">
        <v>17</v>
      </c>
      <c r="E507">
        <v>120.288</v>
      </c>
      <c r="F507" t="s">
        <v>409</v>
      </c>
    </row>
    <row r="508" spans="1:6" hidden="1" x14ac:dyDescent="0.25">
      <c r="A508" t="s">
        <v>5</v>
      </c>
      <c r="B508" t="s">
        <v>413</v>
      </c>
      <c r="C508">
        <v>2034</v>
      </c>
      <c r="D508" t="s">
        <v>17</v>
      </c>
      <c r="E508">
        <v>118</v>
      </c>
      <c r="F508" t="s">
        <v>409</v>
      </c>
    </row>
    <row r="509" spans="1:6" hidden="1" x14ac:dyDescent="0.25">
      <c r="A509" t="s">
        <v>5</v>
      </c>
      <c r="B509" t="s">
        <v>413</v>
      </c>
      <c r="C509">
        <v>2035</v>
      </c>
      <c r="D509" t="s">
        <v>17</v>
      </c>
      <c r="E509">
        <v>118</v>
      </c>
      <c r="F509" t="s">
        <v>409</v>
      </c>
    </row>
    <row r="510" spans="1:6" hidden="1" x14ac:dyDescent="0.25">
      <c r="A510" t="s">
        <v>5</v>
      </c>
      <c r="B510" t="s">
        <v>413</v>
      </c>
      <c r="C510">
        <v>2036</v>
      </c>
      <c r="D510" t="s">
        <v>17</v>
      </c>
      <c r="E510">
        <v>116.68</v>
      </c>
      <c r="F510" t="s">
        <v>409</v>
      </c>
    </row>
    <row r="511" spans="1:6" hidden="1" x14ac:dyDescent="0.25">
      <c r="A511" t="s">
        <v>5</v>
      </c>
      <c r="B511" t="s">
        <v>413</v>
      </c>
      <c r="C511">
        <v>2037</v>
      </c>
      <c r="D511" t="s">
        <v>17</v>
      </c>
      <c r="E511">
        <v>82.66</v>
      </c>
      <c r="F511" t="s">
        <v>409</v>
      </c>
    </row>
    <row r="512" spans="1:6" hidden="1" x14ac:dyDescent="0.25">
      <c r="A512" t="s">
        <v>5</v>
      </c>
      <c r="B512" t="s">
        <v>413</v>
      </c>
      <c r="C512">
        <v>2038</v>
      </c>
      <c r="D512" t="s">
        <v>17</v>
      </c>
      <c r="E512">
        <v>40.840000000000003</v>
      </c>
      <c r="F512" t="s">
        <v>409</v>
      </c>
    </row>
    <row r="513" spans="1:6" hidden="1" x14ac:dyDescent="0.25">
      <c r="A513" t="s">
        <v>5</v>
      </c>
      <c r="B513" t="s">
        <v>413</v>
      </c>
      <c r="C513">
        <v>2039</v>
      </c>
      <c r="D513" t="s">
        <v>17</v>
      </c>
      <c r="E513">
        <v>37</v>
      </c>
      <c r="F513" t="s">
        <v>409</v>
      </c>
    </row>
    <row r="514" spans="1:6" hidden="1" x14ac:dyDescent="0.25">
      <c r="A514" t="s">
        <v>5</v>
      </c>
      <c r="B514" t="s">
        <v>413</v>
      </c>
      <c r="C514">
        <v>2040</v>
      </c>
      <c r="D514" t="s">
        <v>17</v>
      </c>
      <c r="E514">
        <v>37</v>
      </c>
      <c r="F514" t="s">
        <v>409</v>
      </c>
    </row>
    <row r="515" spans="1:6" hidden="1" x14ac:dyDescent="0.25">
      <c r="A515" t="s">
        <v>5</v>
      </c>
      <c r="B515" t="s">
        <v>413</v>
      </c>
      <c r="C515">
        <v>2018</v>
      </c>
      <c r="D515" t="s">
        <v>18</v>
      </c>
      <c r="E515">
        <v>179.99</v>
      </c>
      <c r="F515" t="s">
        <v>409</v>
      </c>
    </row>
    <row r="516" spans="1:6" hidden="1" x14ac:dyDescent="0.25">
      <c r="A516" t="s">
        <v>5</v>
      </c>
      <c r="B516" t="s">
        <v>413</v>
      </c>
      <c r="C516">
        <v>2019</v>
      </c>
      <c r="D516" t="s">
        <v>18</v>
      </c>
      <c r="E516">
        <v>187.73</v>
      </c>
      <c r="F516" t="s">
        <v>409</v>
      </c>
    </row>
    <row r="517" spans="1:6" hidden="1" x14ac:dyDescent="0.25">
      <c r="A517" t="s">
        <v>5</v>
      </c>
      <c r="B517" t="s">
        <v>413</v>
      </c>
      <c r="C517">
        <v>2020</v>
      </c>
      <c r="D517" t="s">
        <v>18</v>
      </c>
      <c r="E517">
        <v>154.41399999999999</v>
      </c>
      <c r="F517" t="s">
        <v>409</v>
      </c>
    </row>
    <row r="518" spans="1:6" hidden="1" x14ac:dyDescent="0.25">
      <c r="A518" t="s">
        <v>5</v>
      </c>
      <c r="B518" t="s">
        <v>413</v>
      </c>
      <c r="C518">
        <v>2021</v>
      </c>
      <c r="D518" t="s">
        <v>18</v>
      </c>
      <c r="E518">
        <v>138.86600000000001</v>
      </c>
      <c r="F518" t="s">
        <v>409</v>
      </c>
    </row>
    <row r="519" spans="1:6" hidden="1" x14ac:dyDescent="0.25">
      <c r="A519" t="s">
        <v>5</v>
      </c>
      <c r="B519" t="s">
        <v>413</v>
      </c>
      <c r="C519">
        <v>2022</v>
      </c>
      <c r="D519" t="s">
        <v>18</v>
      </c>
      <c r="E519">
        <v>126.58199999999999</v>
      </c>
      <c r="F519" t="s">
        <v>409</v>
      </c>
    </row>
    <row r="520" spans="1:6" hidden="1" x14ac:dyDescent="0.25">
      <c r="A520" t="s">
        <v>5</v>
      </c>
      <c r="B520" t="s">
        <v>413</v>
      </c>
      <c r="C520">
        <v>2023</v>
      </c>
      <c r="D520" t="s">
        <v>18</v>
      </c>
      <c r="E520">
        <v>186.81299999999999</v>
      </c>
      <c r="F520" t="s">
        <v>409</v>
      </c>
    </row>
    <row r="521" spans="1:6" hidden="1" x14ac:dyDescent="0.25">
      <c r="A521" t="s">
        <v>5</v>
      </c>
      <c r="B521" t="s">
        <v>413</v>
      </c>
      <c r="C521">
        <v>2024</v>
      </c>
      <c r="D521" t="s">
        <v>18</v>
      </c>
      <c r="E521">
        <v>138.37165055414135</v>
      </c>
      <c r="F521" t="s">
        <v>409</v>
      </c>
    </row>
    <row r="522" spans="1:6" hidden="1" x14ac:dyDescent="0.25">
      <c r="A522" t="s">
        <v>5</v>
      </c>
      <c r="B522" t="s">
        <v>413</v>
      </c>
      <c r="C522">
        <v>2025</v>
      </c>
      <c r="D522" t="s">
        <v>18</v>
      </c>
      <c r="E522">
        <v>154.58600000000001</v>
      </c>
      <c r="F522" t="s">
        <v>409</v>
      </c>
    </row>
    <row r="523" spans="1:6" hidden="1" x14ac:dyDescent="0.25">
      <c r="A523" t="s">
        <v>5</v>
      </c>
      <c r="B523" t="s">
        <v>413</v>
      </c>
      <c r="C523">
        <v>2026</v>
      </c>
      <c r="D523" t="s">
        <v>18</v>
      </c>
      <c r="E523">
        <v>208.96100000000001</v>
      </c>
      <c r="F523" t="s">
        <v>409</v>
      </c>
    </row>
    <row r="524" spans="1:6" hidden="1" x14ac:dyDescent="0.25">
      <c r="A524" t="s">
        <v>5</v>
      </c>
      <c r="B524" t="s">
        <v>413</v>
      </c>
      <c r="C524">
        <v>2027</v>
      </c>
      <c r="D524" t="s">
        <v>18</v>
      </c>
      <c r="E524">
        <v>215.85400000000001</v>
      </c>
      <c r="F524" t="s">
        <v>409</v>
      </c>
    </row>
    <row r="525" spans="1:6" hidden="1" x14ac:dyDescent="0.25">
      <c r="A525" t="s">
        <v>5</v>
      </c>
      <c r="B525" t="s">
        <v>413</v>
      </c>
      <c r="C525">
        <v>2028</v>
      </c>
      <c r="D525" t="s">
        <v>18</v>
      </c>
      <c r="E525">
        <v>210.04700000000003</v>
      </c>
      <c r="F525" t="s">
        <v>409</v>
      </c>
    </row>
    <row r="526" spans="1:6" hidden="1" x14ac:dyDescent="0.25">
      <c r="A526" t="s">
        <v>5</v>
      </c>
      <c r="B526" t="s">
        <v>413</v>
      </c>
      <c r="C526">
        <v>2029</v>
      </c>
      <c r="D526" t="s">
        <v>18</v>
      </c>
      <c r="E526">
        <v>190.72400000000002</v>
      </c>
      <c r="F526" t="s">
        <v>409</v>
      </c>
    </row>
    <row r="527" spans="1:6" hidden="1" x14ac:dyDescent="0.25">
      <c r="A527" t="s">
        <v>5</v>
      </c>
      <c r="B527" t="s">
        <v>413</v>
      </c>
      <c r="C527">
        <v>2030</v>
      </c>
      <c r="D527" t="s">
        <v>18</v>
      </c>
      <c r="E527">
        <v>193.08099999999999</v>
      </c>
      <c r="F527" t="s">
        <v>409</v>
      </c>
    </row>
    <row r="528" spans="1:6" hidden="1" x14ac:dyDescent="0.25">
      <c r="A528" t="s">
        <v>5</v>
      </c>
      <c r="B528" t="s">
        <v>413</v>
      </c>
      <c r="C528">
        <v>2031</v>
      </c>
      <c r="D528" t="s">
        <v>18</v>
      </c>
      <c r="E528">
        <v>192.804</v>
      </c>
      <c r="F528" t="s">
        <v>409</v>
      </c>
    </row>
    <row r="529" spans="1:6" hidden="1" x14ac:dyDescent="0.25">
      <c r="A529" t="s">
        <v>5</v>
      </c>
      <c r="B529" t="s">
        <v>413</v>
      </c>
      <c r="C529">
        <v>2032</v>
      </c>
      <c r="D529" t="s">
        <v>18</v>
      </c>
      <c r="E529">
        <v>197.58218962964116</v>
      </c>
      <c r="F529" t="s">
        <v>409</v>
      </c>
    </row>
    <row r="530" spans="1:6" hidden="1" x14ac:dyDescent="0.25">
      <c r="A530" t="s">
        <v>5</v>
      </c>
      <c r="B530" t="s">
        <v>413</v>
      </c>
      <c r="C530">
        <v>2033</v>
      </c>
      <c r="D530" t="s">
        <v>18</v>
      </c>
      <c r="E530">
        <v>206.5786229524189</v>
      </c>
      <c r="F530" t="s">
        <v>409</v>
      </c>
    </row>
    <row r="531" spans="1:6" hidden="1" x14ac:dyDescent="0.25">
      <c r="A531" t="s">
        <v>5</v>
      </c>
      <c r="B531" t="s">
        <v>413</v>
      </c>
      <c r="C531">
        <v>2034</v>
      </c>
      <c r="D531" t="s">
        <v>18</v>
      </c>
      <c r="E531">
        <v>215.98468738963513</v>
      </c>
      <c r="F531" t="s">
        <v>409</v>
      </c>
    </row>
    <row r="532" spans="1:6" hidden="1" x14ac:dyDescent="0.25">
      <c r="A532" t="s">
        <v>5</v>
      </c>
      <c r="B532" t="s">
        <v>413</v>
      </c>
      <c r="C532">
        <v>2035</v>
      </c>
      <c r="D532" t="s">
        <v>18</v>
      </c>
      <c r="E532">
        <v>225.81903451618578</v>
      </c>
      <c r="F532" t="s">
        <v>409</v>
      </c>
    </row>
    <row r="533" spans="1:6" hidden="1" x14ac:dyDescent="0.25">
      <c r="A533" t="s">
        <v>5</v>
      </c>
      <c r="B533" t="s">
        <v>413</v>
      </c>
      <c r="C533">
        <v>2036</v>
      </c>
      <c r="D533" t="s">
        <v>18</v>
      </c>
      <c r="E533">
        <v>236.1011651619034</v>
      </c>
      <c r="F533" t="s">
        <v>409</v>
      </c>
    </row>
    <row r="534" spans="1:6" hidden="1" x14ac:dyDescent="0.25">
      <c r="A534" t="s">
        <v>5</v>
      </c>
      <c r="B534" t="s">
        <v>413</v>
      </c>
      <c r="C534">
        <v>2037</v>
      </c>
      <c r="D534" t="s">
        <v>18</v>
      </c>
      <c r="E534">
        <v>246.85146808035299</v>
      </c>
      <c r="F534" t="s">
        <v>409</v>
      </c>
    </row>
    <row r="535" spans="1:6" hidden="1" x14ac:dyDescent="0.25">
      <c r="A535" t="s">
        <v>5</v>
      </c>
      <c r="B535" t="s">
        <v>413</v>
      </c>
      <c r="C535">
        <v>2038</v>
      </c>
      <c r="D535" t="s">
        <v>18</v>
      </c>
      <c r="E535">
        <v>258.09126037831999</v>
      </c>
      <c r="F535" t="s">
        <v>409</v>
      </c>
    </row>
    <row r="536" spans="1:6" hidden="1" x14ac:dyDescent="0.25">
      <c r="A536" t="s">
        <v>5</v>
      </c>
      <c r="B536" t="s">
        <v>413</v>
      </c>
      <c r="C536">
        <v>2039</v>
      </c>
      <c r="D536" t="s">
        <v>18</v>
      </c>
      <c r="E536">
        <v>269.84282978615749</v>
      </c>
      <c r="F536" t="s">
        <v>409</v>
      </c>
    </row>
    <row r="537" spans="1:6" hidden="1" x14ac:dyDescent="0.25">
      <c r="A537" t="s">
        <v>5</v>
      </c>
      <c r="B537" t="s">
        <v>413</v>
      </c>
      <c r="C537">
        <v>2040</v>
      </c>
      <c r="D537" t="s">
        <v>18</v>
      </c>
      <c r="E537">
        <v>282.12947885281312</v>
      </c>
      <c r="F537" t="s">
        <v>409</v>
      </c>
    </row>
    <row r="538" spans="1:6" hidden="1" x14ac:dyDescent="0.25">
      <c r="A538" t="s">
        <v>5</v>
      </c>
      <c r="B538" t="s">
        <v>413</v>
      </c>
      <c r="C538" t="s">
        <v>410</v>
      </c>
      <c r="D538" t="s">
        <v>13</v>
      </c>
      <c r="E538">
        <v>73.870719776380142</v>
      </c>
      <c r="F538" t="s">
        <v>409</v>
      </c>
    </row>
    <row r="539" spans="1:6" hidden="1" x14ac:dyDescent="0.25">
      <c r="A539" t="s">
        <v>5</v>
      </c>
      <c r="B539" t="s">
        <v>413</v>
      </c>
      <c r="C539" t="s">
        <v>410</v>
      </c>
      <c r="D539" t="s">
        <v>411</v>
      </c>
      <c r="E539">
        <v>441.46740041928717</v>
      </c>
      <c r="F539" t="s">
        <v>409</v>
      </c>
    </row>
    <row r="540" spans="1:6" hidden="1" x14ac:dyDescent="0.25">
      <c r="A540" t="s">
        <v>5</v>
      </c>
      <c r="B540" t="s">
        <v>413</v>
      </c>
      <c r="C540" t="s">
        <v>410</v>
      </c>
      <c r="D540" t="s">
        <v>412</v>
      </c>
      <c r="E540">
        <v>432.72547169811321</v>
      </c>
      <c r="F540" t="s">
        <v>409</v>
      </c>
    </row>
    <row r="541" spans="1:6" hidden="1" x14ac:dyDescent="0.25">
      <c r="A541" t="s">
        <v>5</v>
      </c>
      <c r="B541" t="s">
        <v>414</v>
      </c>
      <c r="C541">
        <v>2018</v>
      </c>
      <c r="D541" t="s">
        <v>17</v>
      </c>
      <c r="E541">
        <v>179.99</v>
      </c>
      <c r="F541" t="s">
        <v>409</v>
      </c>
    </row>
    <row r="542" spans="1:6" hidden="1" x14ac:dyDescent="0.25">
      <c r="A542" t="s">
        <v>5</v>
      </c>
      <c r="B542" t="s">
        <v>414</v>
      </c>
      <c r="C542">
        <v>2019</v>
      </c>
      <c r="D542" t="s">
        <v>17</v>
      </c>
      <c r="E542">
        <v>187.73</v>
      </c>
      <c r="F542" t="s">
        <v>409</v>
      </c>
    </row>
    <row r="543" spans="1:6" hidden="1" x14ac:dyDescent="0.25">
      <c r="A543" t="s">
        <v>5</v>
      </c>
      <c r="B543" t="s">
        <v>414</v>
      </c>
      <c r="C543">
        <v>2020</v>
      </c>
      <c r="D543" t="s">
        <v>17</v>
      </c>
      <c r="E543">
        <v>154.41399999999999</v>
      </c>
      <c r="F543" t="s">
        <v>409</v>
      </c>
    </row>
    <row r="544" spans="1:6" hidden="1" x14ac:dyDescent="0.25">
      <c r="A544" t="s">
        <v>5</v>
      </c>
      <c r="B544" t="s">
        <v>414</v>
      </c>
      <c r="C544">
        <v>2021</v>
      </c>
      <c r="D544" t="s">
        <v>17</v>
      </c>
      <c r="E544">
        <v>138.86600000000001</v>
      </c>
      <c r="F544" t="s">
        <v>409</v>
      </c>
    </row>
    <row r="545" spans="1:6" hidden="1" x14ac:dyDescent="0.25">
      <c r="A545" t="s">
        <v>5</v>
      </c>
      <c r="B545" t="s">
        <v>414</v>
      </c>
      <c r="C545">
        <v>2022</v>
      </c>
      <c r="D545" t="s">
        <v>17</v>
      </c>
      <c r="E545">
        <v>126.58199999999999</v>
      </c>
      <c r="F545" t="s">
        <v>409</v>
      </c>
    </row>
    <row r="546" spans="1:6" hidden="1" x14ac:dyDescent="0.25">
      <c r="A546" t="s">
        <v>5</v>
      </c>
      <c r="B546" t="s">
        <v>414</v>
      </c>
      <c r="C546">
        <v>2023</v>
      </c>
      <c r="D546" t="s">
        <v>17</v>
      </c>
      <c r="E546">
        <v>186.81299999999999</v>
      </c>
      <c r="F546" t="s">
        <v>409</v>
      </c>
    </row>
    <row r="547" spans="1:6" hidden="1" x14ac:dyDescent="0.25">
      <c r="A547" t="s">
        <v>5</v>
      </c>
      <c r="B547" t="s">
        <v>414</v>
      </c>
      <c r="C547">
        <v>2024</v>
      </c>
      <c r="D547" t="s">
        <v>17</v>
      </c>
      <c r="E547">
        <v>134.57900000000001</v>
      </c>
      <c r="F547" t="s">
        <v>409</v>
      </c>
    </row>
    <row r="548" spans="1:6" hidden="1" x14ac:dyDescent="0.25">
      <c r="A548" t="s">
        <v>5</v>
      </c>
      <c r="B548" t="s">
        <v>414</v>
      </c>
      <c r="C548">
        <v>2025</v>
      </c>
      <c r="D548" t="s">
        <v>17</v>
      </c>
      <c r="E548">
        <v>154.58600000000001</v>
      </c>
      <c r="F548" t="s">
        <v>409</v>
      </c>
    </row>
    <row r="549" spans="1:6" hidden="1" x14ac:dyDescent="0.25">
      <c r="A549" t="s">
        <v>5</v>
      </c>
      <c r="B549" t="s">
        <v>414</v>
      </c>
      <c r="C549">
        <v>2026</v>
      </c>
      <c r="D549" t="s">
        <v>17</v>
      </c>
      <c r="E549">
        <v>158.54400000000001</v>
      </c>
      <c r="F549" t="s">
        <v>409</v>
      </c>
    </row>
    <row r="550" spans="1:6" hidden="1" x14ac:dyDescent="0.25">
      <c r="A550" t="s">
        <v>5</v>
      </c>
      <c r="B550" t="s">
        <v>414</v>
      </c>
      <c r="C550">
        <v>2027</v>
      </c>
      <c r="D550" t="s">
        <v>17</v>
      </c>
      <c r="E550">
        <v>158.54400000000001</v>
      </c>
      <c r="F550" t="s">
        <v>409</v>
      </c>
    </row>
    <row r="551" spans="1:6" hidden="1" x14ac:dyDescent="0.25">
      <c r="A551" t="s">
        <v>5</v>
      </c>
      <c r="B551" t="s">
        <v>414</v>
      </c>
      <c r="C551">
        <v>2028</v>
      </c>
      <c r="D551" t="s">
        <v>17</v>
      </c>
      <c r="E551">
        <v>154.76400000000001</v>
      </c>
      <c r="F551" t="s">
        <v>409</v>
      </c>
    </row>
    <row r="552" spans="1:6" hidden="1" x14ac:dyDescent="0.25">
      <c r="A552" t="s">
        <v>5</v>
      </c>
      <c r="B552" t="s">
        <v>414</v>
      </c>
      <c r="C552">
        <v>2029</v>
      </c>
      <c r="D552" t="s">
        <v>17</v>
      </c>
      <c r="E552">
        <v>152.07400000000001</v>
      </c>
      <c r="F552" t="s">
        <v>409</v>
      </c>
    </row>
    <row r="553" spans="1:6" hidden="1" x14ac:dyDescent="0.25">
      <c r="A553" t="s">
        <v>5</v>
      </c>
      <c r="B553" t="s">
        <v>414</v>
      </c>
      <c r="C553">
        <v>2030</v>
      </c>
      <c r="D553" t="s">
        <v>17</v>
      </c>
      <c r="E553">
        <v>150.184</v>
      </c>
      <c r="F553" t="s">
        <v>409</v>
      </c>
    </row>
    <row r="554" spans="1:6" hidden="1" x14ac:dyDescent="0.25">
      <c r="A554" t="s">
        <v>5</v>
      </c>
      <c r="B554" t="s">
        <v>414</v>
      </c>
      <c r="C554">
        <v>2031</v>
      </c>
      <c r="D554" t="s">
        <v>17</v>
      </c>
      <c r="E554">
        <v>139.27799999999999</v>
      </c>
      <c r="F554" t="s">
        <v>409</v>
      </c>
    </row>
    <row r="555" spans="1:6" hidden="1" x14ac:dyDescent="0.25">
      <c r="A555" t="s">
        <v>5</v>
      </c>
      <c r="B555" t="s">
        <v>414</v>
      </c>
      <c r="C555">
        <v>2032</v>
      </c>
      <c r="D555" t="s">
        <v>17</v>
      </c>
      <c r="E555">
        <v>139.27799999999999</v>
      </c>
      <c r="F555" t="s">
        <v>409</v>
      </c>
    </row>
    <row r="556" spans="1:6" hidden="1" x14ac:dyDescent="0.25">
      <c r="A556" t="s">
        <v>5</v>
      </c>
      <c r="B556" t="s">
        <v>414</v>
      </c>
      <c r="C556">
        <v>2033</v>
      </c>
      <c r="D556" t="s">
        <v>17</v>
      </c>
      <c r="E556">
        <v>120.288</v>
      </c>
      <c r="F556" t="s">
        <v>409</v>
      </c>
    </row>
    <row r="557" spans="1:6" hidden="1" x14ac:dyDescent="0.25">
      <c r="A557" t="s">
        <v>5</v>
      </c>
      <c r="B557" t="s">
        <v>414</v>
      </c>
      <c r="C557">
        <v>2034</v>
      </c>
      <c r="D557" t="s">
        <v>17</v>
      </c>
      <c r="E557">
        <v>118</v>
      </c>
      <c r="F557" t="s">
        <v>409</v>
      </c>
    </row>
    <row r="558" spans="1:6" hidden="1" x14ac:dyDescent="0.25">
      <c r="A558" t="s">
        <v>5</v>
      </c>
      <c r="B558" t="s">
        <v>414</v>
      </c>
      <c r="C558">
        <v>2035</v>
      </c>
      <c r="D558" t="s">
        <v>17</v>
      </c>
      <c r="E558">
        <v>118</v>
      </c>
      <c r="F558" t="s">
        <v>409</v>
      </c>
    </row>
    <row r="559" spans="1:6" hidden="1" x14ac:dyDescent="0.25">
      <c r="A559" t="s">
        <v>5</v>
      </c>
      <c r="B559" t="s">
        <v>414</v>
      </c>
      <c r="C559">
        <v>2036</v>
      </c>
      <c r="D559" t="s">
        <v>17</v>
      </c>
      <c r="E559">
        <v>116.68</v>
      </c>
      <c r="F559" t="s">
        <v>409</v>
      </c>
    </row>
    <row r="560" spans="1:6" hidden="1" x14ac:dyDescent="0.25">
      <c r="A560" t="s">
        <v>5</v>
      </c>
      <c r="B560" t="s">
        <v>414</v>
      </c>
      <c r="C560">
        <v>2037</v>
      </c>
      <c r="D560" t="s">
        <v>17</v>
      </c>
      <c r="E560">
        <v>82.66</v>
      </c>
      <c r="F560" t="s">
        <v>409</v>
      </c>
    </row>
    <row r="561" spans="1:6" hidden="1" x14ac:dyDescent="0.25">
      <c r="A561" t="s">
        <v>5</v>
      </c>
      <c r="B561" t="s">
        <v>414</v>
      </c>
      <c r="C561">
        <v>2038</v>
      </c>
      <c r="D561" t="s">
        <v>17</v>
      </c>
      <c r="E561">
        <v>40.840000000000003</v>
      </c>
      <c r="F561" t="s">
        <v>409</v>
      </c>
    </row>
    <row r="562" spans="1:6" hidden="1" x14ac:dyDescent="0.25">
      <c r="A562" t="s">
        <v>5</v>
      </c>
      <c r="B562" t="s">
        <v>414</v>
      </c>
      <c r="C562">
        <v>2039</v>
      </c>
      <c r="D562" t="s">
        <v>17</v>
      </c>
      <c r="E562">
        <v>37</v>
      </c>
      <c r="F562" t="s">
        <v>409</v>
      </c>
    </row>
    <row r="563" spans="1:6" hidden="1" x14ac:dyDescent="0.25">
      <c r="A563" t="s">
        <v>5</v>
      </c>
      <c r="B563" t="s">
        <v>414</v>
      </c>
      <c r="C563">
        <v>2040</v>
      </c>
      <c r="D563" t="s">
        <v>17</v>
      </c>
      <c r="E563">
        <v>37</v>
      </c>
      <c r="F563" t="s">
        <v>409</v>
      </c>
    </row>
    <row r="564" spans="1:6" hidden="1" x14ac:dyDescent="0.25">
      <c r="A564" t="s">
        <v>5</v>
      </c>
      <c r="B564" t="s">
        <v>414</v>
      </c>
      <c r="C564">
        <v>2018</v>
      </c>
      <c r="D564" t="s">
        <v>18</v>
      </c>
      <c r="E564">
        <v>179.99</v>
      </c>
      <c r="F564" t="s">
        <v>409</v>
      </c>
    </row>
    <row r="565" spans="1:6" hidden="1" x14ac:dyDescent="0.25">
      <c r="A565" t="s">
        <v>5</v>
      </c>
      <c r="B565" t="s">
        <v>414</v>
      </c>
      <c r="C565">
        <v>2019</v>
      </c>
      <c r="D565" t="s">
        <v>18</v>
      </c>
      <c r="E565">
        <v>187.73</v>
      </c>
      <c r="F565" t="s">
        <v>409</v>
      </c>
    </row>
    <row r="566" spans="1:6" hidden="1" x14ac:dyDescent="0.25">
      <c r="A566" t="s">
        <v>5</v>
      </c>
      <c r="B566" t="s">
        <v>414</v>
      </c>
      <c r="C566">
        <v>2020</v>
      </c>
      <c r="D566" t="s">
        <v>18</v>
      </c>
      <c r="E566">
        <v>154.41399999999999</v>
      </c>
      <c r="F566" t="s">
        <v>409</v>
      </c>
    </row>
    <row r="567" spans="1:6" hidden="1" x14ac:dyDescent="0.25">
      <c r="A567" t="s">
        <v>5</v>
      </c>
      <c r="B567" t="s">
        <v>414</v>
      </c>
      <c r="C567">
        <v>2021</v>
      </c>
      <c r="D567" t="s">
        <v>18</v>
      </c>
      <c r="E567">
        <v>138.86600000000001</v>
      </c>
      <c r="F567" t="s">
        <v>409</v>
      </c>
    </row>
    <row r="568" spans="1:6" hidden="1" x14ac:dyDescent="0.25">
      <c r="A568" t="s">
        <v>5</v>
      </c>
      <c r="B568" t="s">
        <v>414</v>
      </c>
      <c r="C568">
        <v>2022</v>
      </c>
      <c r="D568" t="s">
        <v>18</v>
      </c>
      <c r="E568">
        <v>126.58199999999999</v>
      </c>
      <c r="F568" t="s">
        <v>409</v>
      </c>
    </row>
    <row r="569" spans="1:6" hidden="1" x14ac:dyDescent="0.25">
      <c r="A569" t="s">
        <v>5</v>
      </c>
      <c r="B569" t="s">
        <v>414</v>
      </c>
      <c r="C569">
        <v>2023</v>
      </c>
      <c r="D569" t="s">
        <v>18</v>
      </c>
      <c r="E569">
        <v>186.81299999999999</v>
      </c>
      <c r="F569" t="s">
        <v>409</v>
      </c>
    </row>
    <row r="570" spans="1:6" hidden="1" x14ac:dyDescent="0.25">
      <c r="A570" t="s">
        <v>5</v>
      </c>
      <c r="B570" t="s">
        <v>414</v>
      </c>
      <c r="C570">
        <v>2024</v>
      </c>
      <c r="D570" t="s">
        <v>18</v>
      </c>
      <c r="E570">
        <v>138.37165055414135</v>
      </c>
      <c r="F570" t="s">
        <v>409</v>
      </c>
    </row>
    <row r="571" spans="1:6" hidden="1" x14ac:dyDescent="0.25">
      <c r="A571" t="s">
        <v>5</v>
      </c>
      <c r="B571" t="s">
        <v>414</v>
      </c>
      <c r="C571">
        <v>2025</v>
      </c>
      <c r="D571" t="s">
        <v>18</v>
      </c>
      <c r="E571">
        <v>154.58600000000001</v>
      </c>
      <c r="F571" t="s">
        <v>409</v>
      </c>
    </row>
    <row r="572" spans="1:6" hidden="1" x14ac:dyDescent="0.25">
      <c r="A572" t="s">
        <v>5</v>
      </c>
      <c r="B572" t="s">
        <v>414</v>
      </c>
      <c r="C572">
        <v>2026</v>
      </c>
      <c r="D572" t="s">
        <v>18</v>
      </c>
      <c r="E572">
        <v>208.96100000000001</v>
      </c>
      <c r="F572" t="s">
        <v>409</v>
      </c>
    </row>
    <row r="573" spans="1:6" hidden="1" x14ac:dyDescent="0.25">
      <c r="A573" t="s">
        <v>5</v>
      </c>
      <c r="B573" t="s">
        <v>414</v>
      </c>
      <c r="C573">
        <v>2027</v>
      </c>
      <c r="D573" t="s">
        <v>18</v>
      </c>
      <c r="E573">
        <v>215.85400000000001</v>
      </c>
      <c r="F573" t="s">
        <v>409</v>
      </c>
    </row>
    <row r="574" spans="1:6" hidden="1" x14ac:dyDescent="0.25">
      <c r="A574" t="s">
        <v>5</v>
      </c>
      <c r="B574" t="s">
        <v>414</v>
      </c>
      <c r="C574">
        <v>2028</v>
      </c>
      <c r="D574" t="s">
        <v>18</v>
      </c>
      <c r="E574">
        <v>210.04700000000003</v>
      </c>
      <c r="F574" t="s">
        <v>409</v>
      </c>
    </row>
    <row r="575" spans="1:6" hidden="1" x14ac:dyDescent="0.25">
      <c r="A575" t="s">
        <v>5</v>
      </c>
      <c r="B575" t="s">
        <v>414</v>
      </c>
      <c r="C575">
        <v>2029</v>
      </c>
      <c r="D575" t="s">
        <v>18</v>
      </c>
      <c r="E575">
        <v>190.72400000000002</v>
      </c>
      <c r="F575" t="s">
        <v>409</v>
      </c>
    </row>
    <row r="576" spans="1:6" hidden="1" x14ac:dyDescent="0.25">
      <c r="A576" t="s">
        <v>5</v>
      </c>
      <c r="B576" t="s">
        <v>414</v>
      </c>
      <c r="C576">
        <v>2030</v>
      </c>
      <c r="D576" t="s">
        <v>18</v>
      </c>
      <c r="E576">
        <v>193.08099999999999</v>
      </c>
      <c r="F576" t="s">
        <v>409</v>
      </c>
    </row>
    <row r="577" spans="1:6" hidden="1" x14ac:dyDescent="0.25">
      <c r="A577" t="s">
        <v>5</v>
      </c>
      <c r="B577" t="s">
        <v>414</v>
      </c>
      <c r="C577">
        <v>2031</v>
      </c>
      <c r="D577" t="s">
        <v>18</v>
      </c>
      <c r="E577">
        <v>192.804</v>
      </c>
      <c r="F577" t="s">
        <v>409</v>
      </c>
    </row>
    <row r="578" spans="1:6" hidden="1" x14ac:dyDescent="0.25">
      <c r="A578" t="s">
        <v>5</v>
      </c>
      <c r="B578" t="s">
        <v>414</v>
      </c>
      <c r="C578">
        <v>2032</v>
      </c>
      <c r="D578" t="s">
        <v>18</v>
      </c>
      <c r="E578">
        <v>197.58218962964116</v>
      </c>
      <c r="F578" t="s">
        <v>409</v>
      </c>
    </row>
    <row r="579" spans="1:6" hidden="1" x14ac:dyDescent="0.25">
      <c r="A579" t="s">
        <v>5</v>
      </c>
      <c r="B579" t="s">
        <v>414</v>
      </c>
      <c r="C579">
        <v>2033</v>
      </c>
      <c r="D579" t="s">
        <v>18</v>
      </c>
      <c r="E579">
        <v>206.5786229524189</v>
      </c>
      <c r="F579" t="s">
        <v>409</v>
      </c>
    </row>
    <row r="580" spans="1:6" hidden="1" x14ac:dyDescent="0.25">
      <c r="A580" t="s">
        <v>5</v>
      </c>
      <c r="B580" t="s">
        <v>414</v>
      </c>
      <c r="C580">
        <v>2034</v>
      </c>
      <c r="D580" t="s">
        <v>18</v>
      </c>
      <c r="E580">
        <v>215.98468738963513</v>
      </c>
      <c r="F580" t="s">
        <v>409</v>
      </c>
    </row>
    <row r="581" spans="1:6" hidden="1" x14ac:dyDescent="0.25">
      <c r="A581" t="s">
        <v>5</v>
      </c>
      <c r="B581" t="s">
        <v>414</v>
      </c>
      <c r="C581">
        <v>2035</v>
      </c>
      <c r="D581" t="s">
        <v>18</v>
      </c>
      <c r="E581">
        <v>225.81903451618578</v>
      </c>
      <c r="F581" t="s">
        <v>409</v>
      </c>
    </row>
    <row r="582" spans="1:6" hidden="1" x14ac:dyDescent="0.25">
      <c r="A582" t="s">
        <v>5</v>
      </c>
      <c r="B582" t="s">
        <v>414</v>
      </c>
      <c r="C582">
        <v>2036</v>
      </c>
      <c r="D582" t="s">
        <v>18</v>
      </c>
      <c r="E582">
        <v>236.1011651619034</v>
      </c>
      <c r="F582" t="s">
        <v>409</v>
      </c>
    </row>
    <row r="583" spans="1:6" hidden="1" x14ac:dyDescent="0.25">
      <c r="A583" t="s">
        <v>5</v>
      </c>
      <c r="B583" t="s">
        <v>414</v>
      </c>
      <c r="C583">
        <v>2037</v>
      </c>
      <c r="D583" t="s">
        <v>18</v>
      </c>
      <c r="E583">
        <v>246.85146808035299</v>
      </c>
      <c r="F583" t="s">
        <v>409</v>
      </c>
    </row>
    <row r="584" spans="1:6" hidden="1" x14ac:dyDescent="0.25">
      <c r="A584" t="s">
        <v>5</v>
      </c>
      <c r="B584" t="s">
        <v>414</v>
      </c>
      <c r="C584">
        <v>2038</v>
      </c>
      <c r="D584" t="s">
        <v>18</v>
      </c>
      <c r="E584">
        <v>258.09126037831999</v>
      </c>
      <c r="F584" t="s">
        <v>409</v>
      </c>
    </row>
    <row r="585" spans="1:6" hidden="1" x14ac:dyDescent="0.25">
      <c r="A585" t="s">
        <v>5</v>
      </c>
      <c r="B585" t="s">
        <v>414</v>
      </c>
      <c r="C585">
        <v>2039</v>
      </c>
      <c r="D585" t="s">
        <v>18</v>
      </c>
      <c r="E585">
        <v>269.84282978615749</v>
      </c>
      <c r="F585" t="s">
        <v>409</v>
      </c>
    </row>
    <row r="586" spans="1:6" hidden="1" x14ac:dyDescent="0.25">
      <c r="A586" t="s">
        <v>5</v>
      </c>
      <c r="B586" t="s">
        <v>414</v>
      </c>
      <c r="C586">
        <v>2040</v>
      </c>
      <c r="D586" t="s">
        <v>18</v>
      </c>
      <c r="E586">
        <v>282.12947885281312</v>
      </c>
      <c r="F586" t="s">
        <v>409</v>
      </c>
    </row>
    <row r="587" spans="1:6" hidden="1" x14ac:dyDescent="0.25">
      <c r="A587" t="s">
        <v>5</v>
      </c>
      <c r="B587" t="s">
        <v>414</v>
      </c>
      <c r="C587" t="s">
        <v>410</v>
      </c>
      <c r="D587" t="s">
        <v>13</v>
      </c>
      <c r="E587">
        <v>55.403039832285067</v>
      </c>
      <c r="F587" t="s">
        <v>409</v>
      </c>
    </row>
    <row r="588" spans="1:6" hidden="1" x14ac:dyDescent="0.25">
      <c r="A588" t="s">
        <v>5</v>
      </c>
      <c r="B588" t="s">
        <v>414</v>
      </c>
      <c r="C588" t="s">
        <v>410</v>
      </c>
      <c r="D588" t="s">
        <v>411</v>
      </c>
      <c r="E588">
        <v>65.564465408805006</v>
      </c>
      <c r="F588" t="s">
        <v>409</v>
      </c>
    </row>
    <row r="589" spans="1:6" hidden="1" x14ac:dyDescent="0.25">
      <c r="A589" t="s">
        <v>5</v>
      </c>
      <c r="B589" t="s">
        <v>414</v>
      </c>
      <c r="C589" t="s">
        <v>410</v>
      </c>
      <c r="D589" t="s">
        <v>412</v>
      </c>
      <c r="E589">
        <v>590.08018867924568</v>
      </c>
      <c r="F589" t="s">
        <v>409</v>
      </c>
    </row>
    <row r="590" spans="1:6" hidden="1" x14ac:dyDescent="0.25">
      <c r="A590" t="s">
        <v>2</v>
      </c>
      <c r="B590" t="s">
        <v>408</v>
      </c>
      <c r="C590">
        <v>2018</v>
      </c>
      <c r="D590" t="s">
        <v>17</v>
      </c>
      <c r="E590">
        <v>13.493</v>
      </c>
      <c r="F590" t="s">
        <v>409</v>
      </c>
    </row>
    <row r="591" spans="1:6" hidden="1" x14ac:dyDescent="0.25">
      <c r="A591" t="s">
        <v>2</v>
      </c>
      <c r="B591" t="s">
        <v>408</v>
      </c>
      <c r="C591">
        <v>2019</v>
      </c>
      <c r="D591" t="s">
        <v>17</v>
      </c>
      <c r="E591">
        <v>13.91</v>
      </c>
      <c r="F591" t="s">
        <v>409</v>
      </c>
    </row>
    <row r="592" spans="1:6" hidden="1" x14ac:dyDescent="0.25">
      <c r="A592" t="s">
        <v>2</v>
      </c>
      <c r="B592" t="s">
        <v>408</v>
      </c>
      <c r="C592">
        <v>2020</v>
      </c>
      <c r="D592" t="s">
        <v>17</v>
      </c>
      <c r="E592">
        <v>8.1709999999999994</v>
      </c>
      <c r="F592" t="s">
        <v>409</v>
      </c>
    </row>
    <row r="593" spans="1:6" hidden="1" x14ac:dyDescent="0.25">
      <c r="A593" t="s">
        <v>2</v>
      </c>
      <c r="B593" t="s">
        <v>408</v>
      </c>
      <c r="C593">
        <v>2021</v>
      </c>
      <c r="D593" t="s">
        <v>17</v>
      </c>
      <c r="E593">
        <v>4.18</v>
      </c>
      <c r="F593" t="s">
        <v>409</v>
      </c>
    </row>
    <row r="594" spans="1:6" hidden="1" x14ac:dyDescent="0.25">
      <c r="A594" t="s">
        <v>2</v>
      </c>
      <c r="B594" t="s">
        <v>408</v>
      </c>
      <c r="C594">
        <v>2022</v>
      </c>
      <c r="D594" t="s">
        <v>17</v>
      </c>
      <c r="E594">
        <v>13.563000000000001</v>
      </c>
      <c r="F594" t="s">
        <v>409</v>
      </c>
    </row>
    <row r="595" spans="1:6" x14ac:dyDescent="0.25">
      <c r="A595" t="s">
        <v>2</v>
      </c>
      <c r="B595" t="s">
        <v>408</v>
      </c>
      <c r="C595">
        <v>2023</v>
      </c>
      <c r="D595" t="s">
        <v>17</v>
      </c>
      <c r="E595">
        <v>4.194</v>
      </c>
      <c r="F595" t="s">
        <v>409</v>
      </c>
    </row>
    <row r="596" spans="1:6" hidden="1" x14ac:dyDescent="0.25">
      <c r="A596" t="s">
        <v>2</v>
      </c>
      <c r="B596" t="s">
        <v>408</v>
      </c>
      <c r="C596">
        <v>2024</v>
      </c>
      <c r="D596" t="s">
        <v>17</v>
      </c>
      <c r="E596">
        <v>6.3</v>
      </c>
      <c r="F596" t="s">
        <v>409</v>
      </c>
    </row>
    <row r="597" spans="1:6" hidden="1" x14ac:dyDescent="0.25">
      <c r="A597" t="s">
        <v>2</v>
      </c>
      <c r="B597" t="s">
        <v>408</v>
      </c>
      <c r="C597">
        <v>2025</v>
      </c>
      <c r="D597" t="s">
        <v>17</v>
      </c>
      <c r="E597">
        <v>0</v>
      </c>
      <c r="F597" t="s">
        <v>409</v>
      </c>
    </row>
    <row r="598" spans="1:6" hidden="1" x14ac:dyDescent="0.25">
      <c r="A598" t="s">
        <v>2</v>
      </c>
      <c r="B598" t="s">
        <v>408</v>
      </c>
      <c r="C598">
        <v>2026</v>
      </c>
      <c r="D598" t="s">
        <v>17</v>
      </c>
      <c r="E598">
        <v>0</v>
      </c>
      <c r="F598" t="s">
        <v>409</v>
      </c>
    </row>
    <row r="599" spans="1:6" hidden="1" x14ac:dyDescent="0.25">
      <c r="A599" t="s">
        <v>2</v>
      </c>
      <c r="B599" t="s">
        <v>408</v>
      </c>
      <c r="C599">
        <v>2027</v>
      </c>
      <c r="D599" t="s">
        <v>17</v>
      </c>
      <c r="E599">
        <v>0</v>
      </c>
      <c r="F599" t="s">
        <v>409</v>
      </c>
    </row>
    <row r="600" spans="1:6" hidden="1" x14ac:dyDescent="0.25">
      <c r="A600" t="s">
        <v>2</v>
      </c>
      <c r="B600" t="s">
        <v>408</v>
      </c>
      <c r="C600">
        <v>2028</v>
      </c>
      <c r="D600" t="s">
        <v>17</v>
      </c>
      <c r="E600">
        <v>0</v>
      </c>
      <c r="F600" t="s">
        <v>409</v>
      </c>
    </row>
    <row r="601" spans="1:6" hidden="1" x14ac:dyDescent="0.25">
      <c r="A601" t="s">
        <v>2</v>
      </c>
      <c r="B601" t="s">
        <v>408</v>
      </c>
      <c r="C601">
        <v>2029</v>
      </c>
      <c r="D601" t="s">
        <v>17</v>
      </c>
      <c r="E601">
        <v>0</v>
      </c>
      <c r="F601" t="s">
        <v>409</v>
      </c>
    </row>
    <row r="602" spans="1:6" hidden="1" x14ac:dyDescent="0.25">
      <c r="A602" t="s">
        <v>2</v>
      </c>
      <c r="B602" t="s">
        <v>408</v>
      </c>
      <c r="C602">
        <v>2030</v>
      </c>
      <c r="D602" t="s">
        <v>17</v>
      </c>
      <c r="E602">
        <v>0</v>
      </c>
      <c r="F602" t="s">
        <v>409</v>
      </c>
    </row>
    <row r="603" spans="1:6" hidden="1" x14ac:dyDescent="0.25">
      <c r="A603" t="s">
        <v>2</v>
      </c>
      <c r="B603" t="s">
        <v>408</v>
      </c>
      <c r="C603">
        <v>2031</v>
      </c>
      <c r="D603" t="s">
        <v>17</v>
      </c>
      <c r="E603">
        <v>0</v>
      </c>
      <c r="F603" t="s">
        <v>409</v>
      </c>
    </row>
    <row r="604" spans="1:6" hidden="1" x14ac:dyDescent="0.25">
      <c r="A604" t="s">
        <v>2</v>
      </c>
      <c r="B604" t="s">
        <v>408</v>
      </c>
      <c r="C604">
        <v>2032</v>
      </c>
      <c r="D604" t="s">
        <v>17</v>
      </c>
      <c r="E604">
        <v>0</v>
      </c>
      <c r="F604" t="s">
        <v>409</v>
      </c>
    </row>
    <row r="605" spans="1:6" hidden="1" x14ac:dyDescent="0.25">
      <c r="A605" t="s">
        <v>2</v>
      </c>
      <c r="B605" t="s">
        <v>408</v>
      </c>
      <c r="C605">
        <v>2033</v>
      </c>
      <c r="D605" t="s">
        <v>17</v>
      </c>
      <c r="E605">
        <v>0</v>
      </c>
      <c r="F605" t="s">
        <v>409</v>
      </c>
    </row>
    <row r="606" spans="1:6" hidden="1" x14ac:dyDescent="0.25">
      <c r="A606" t="s">
        <v>2</v>
      </c>
      <c r="B606" t="s">
        <v>408</v>
      </c>
      <c r="C606">
        <v>2034</v>
      </c>
      <c r="D606" t="s">
        <v>17</v>
      </c>
      <c r="E606">
        <v>0</v>
      </c>
      <c r="F606" t="s">
        <v>409</v>
      </c>
    </row>
    <row r="607" spans="1:6" hidden="1" x14ac:dyDescent="0.25">
      <c r="A607" t="s">
        <v>2</v>
      </c>
      <c r="B607" t="s">
        <v>408</v>
      </c>
      <c r="C607">
        <v>2035</v>
      </c>
      <c r="D607" t="s">
        <v>17</v>
      </c>
      <c r="E607">
        <v>0</v>
      </c>
      <c r="F607" t="s">
        <v>409</v>
      </c>
    </row>
    <row r="608" spans="1:6" hidden="1" x14ac:dyDescent="0.25">
      <c r="A608" t="s">
        <v>2</v>
      </c>
      <c r="B608" t="s">
        <v>408</v>
      </c>
      <c r="C608">
        <v>2036</v>
      </c>
      <c r="D608" t="s">
        <v>17</v>
      </c>
      <c r="E608">
        <v>0</v>
      </c>
      <c r="F608" t="s">
        <v>409</v>
      </c>
    </row>
    <row r="609" spans="1:6" hidden="1" x14ac:dyDescent="0.25">
      <c r="A609" t="s">
        <v>2</v>
      </c>
      <c r="B609" t="s">
        <v>408</v>
      </c>
      <c r="C609">
        <v>2037</v>
      </c>
      <c r="D609" t="s">
        <v>17</v>
      </c>
      <c r="E609">
        <v>0</v>
      </c>
      <c r="F609" t="s">
        <v>409</v>
      </c>
    </row>
    <row r="610" spans="1:6" hidden="1" x14ac:dyDescent="0.25">
      <c r="A610" t="s">
        <v>2</v>
      </c>
      <c r="B610" t="s">
        <v>408</v>
      </c>
      <c r="C610">
        <v>2038</v>
      </c>
      <c r="D610" t="s">
        <v>17</v>
      </c>
      <c r="E610">
        <v>0</v>
      </c>
      <c r="F610" t="s">
        <v>409</v>
      </c>
    </row>
    <row r="611" spans="1:6" hidden="1" x14ac:dyDescent="0.25">
      <c r="A611" t="s">
        <v>2</v>
      </c>
      <c r="B611" t="s">
        <v>408</v>
      </c>
      <c r="C611">
        <v>2039</v>
      </c>
      <c r="D611" t="s">
        <v>17</v>
      </c>
      <c r="E611">
        <v>0</v>
      </c>
      <c r="F611" t="s">
        <v>409</v>
      </c>
    </row>
    <row r="612" spans="1:6" hidden="1" x14ac:dyDescent="0.25">
      <c r="A612" t="s">
        <v>2</v>
      </c>
      <c r="B612" t="s">
        <v>408</v>
      </c>
      <c r="C612">
        <v>2040</v>
      </c>
      <c r="D612" t="s">
        <v>17</v>
      </c>
      <c r="E612">
        <v>0</v>
      </c>
      <c r="F612" t="s">
        <v>409</v>
      </c>
    </row>
    <row r="613" spans="1:6" hidden="1" x14ac:dyDescent="0.25">
      <c r="A613" t="s">
        <v>2</v>
      </c>
      <c r="B613" t="s">
        <v>408</v>
      </c>
      <c r="C613">
        <v>2018</v>
      </c>
      <c r="D613" t="s">
        <v>18</v>
      </c>
      <c r="E613">
        <v>13.493</v>
      </c>
      <c r="F613" t="s">
        <v>409</v>
      </c>
    </row>
    <row r="614" spans="1:6" hidden="1" x14ac:dyDescent="0.25">
      <c r="A614" t="s">
        <v>2</v>
      </c>
      <c r="B614" t="s">
        <v>408</v>
      </c>
      <c r="C614">
        <v>2019</v>
      </c>
      <c r="D614" t="s">
        <v>18</v>
      </c>
      <c r="E614">
        <v>13.91</v>
      </c>
      <c r="F614" t="s">
        <v>409</v>
      </c>
    </row>
    <row r="615" spans="1:6" hidden="1" x14ac:dyDescent="0.25">
      <c r="A615" t="s">
        <v>2</v>
      </c>
      <c r="B615" t="s">
        <v>408</v>
      </c>
      <c r="C615">
        <v>2020</v>
      </c>
      <c r="D615" t="s">
        <v>18</v>
      </c>
      <c r="E615">
        <v>8.1709999999999994</v>
      </c>
      <c r="F615" t="s">
        <v>409</v>
      </c>
    </row>
    <row r="616" spans="1:6" hidden="1" x14ac:dyDescent="0.25">
      <c r="A616" t="s">
        <v>2</v>
      </c>
      <c r="B616" t="s">
        <v>408</v>
      </c>
      <c r="C616">
        <v>2021</v>
      </c>
      <c r="D616" t="s">
        <v>18</v>
      </c>
      <c r="E616">
        <v>4.18</v>
      </c>
      <c r="F616" t="s">
        <v>409</v>
      </c>
    </row>
    <row r="617" spans="1:6" hidden="1" x14ac:dyDescent="0.25">
      <c r="A617" t="s">
        <v>2</v>
      </c>
      <c r="B617" t="s">
        <v>408</v>
      </c>
      <c r="C617">
        <v>2022</v>
      </c>
      <c r="D617" t="s">
        <v>18</v>
      </c>
      <c r="E617">
        <v>13.563000000000001</v>
      </c>
      <c r="F617" t="s">
        <v>409</v>
      </c>
    </row>
    <row r="618" spans="1:6" x14ac:dyDescent="0.25">
      <c r="A618" t="s">
        <v>2</v>
      </c>
      <c r="B618" t="s">
        <v>408</v>
      </c>
      <c r="C618">
        <v>2023</v>
      </c>
      <c r="D618" t="s">
        <v>18</v>
      </c>
      <c r="E618">
        <v>103.93600000000001</v>
      </c>
      <c r="F618" t="s">
        <v>409</v>
      </c>
    </row>
    <row r="619" spans="1:6" hidden="1" x14ac:dyDescent="0.25">
      <c r="A619" t="s">
        <v>2</v>
      </c>
      <c r="B619" t="s">
        <v>408</v>
      </c>
      <c r="C619">
        <v>2024</v>
      </c>
      <c r="D619" t="s">
        <v>18</v>
      </c>
      <c r="E619">
        <v>106.03099999999999</v>
      </c>
      <c r="F619" t="s">
        <v>409</v>
      </c>
    </row>
    <row r="620" spans="1:6" hidden="1" x14ac:dyDescent="0.25">
      <c r="A620" t="s">
        <v>2</v>
      </c>
      <c r="B620" t="s">
        <v>408</v>
      </c>
      <c r="C620">
        <v>2025</v>
      </c>
      <c r="D620" t="s">
        <v>18</v>
      </c>
      <c r="E620">
        <v>99.546999999999997</v>
      </c>
      <c r="F620" t="s">
        <v>409</v>
      </c>
    </row>
    <row r="621" spans="1:6" hidden="1" x14ac:dyDescent="0.25">
      <c r="A621" t="s">
        <v>2</v>
      </c>
      <c r="B621" t="s">
        <v>408</v>
      </c>
      <c r="C621">
        <v>2026</v>
      </c>
      <c r="D621" t="s">
        <v>18</v>
      </c>
      <c r="E621">
        <v>99.67</v>
      </c>
      <c r="F621" t="s">
        <v>409</v>
      </c>
    </row>
    <row r="622" spans="1:6" hidden="1" x14ac:dyDescent="0.25">
      <c r="A622" t="s">
        <v>2</v>
      </c>
      <c r="B622" t="s">
        <v>408</v>
      </c>
      <c r="C622">
        <v>2027</v>
      </c>
      <c r="D622" t="s">
        <v>18</v>
      </c>
      <c r="E622">
        <v>99.778000000000006</v>
      </c>
      <c r="F622" t="s">
        <v>409</v>
      </c>
    </row>
    <row r="623" spans="1:6" hidden="1" x14ac:dyDescent="0.25">
      <c r="A623" t="s">
        <v>2</v>
      </c>
      <c r="B623" t="s">
        <v>408</v>
      </c>
      <c r="C623">
        <v>2028</v>
      </c>
      <c r="D623" t="s">
        <v>18</v>
      </c>
      <c r="E623">
        <v>99.734999999999999</v>
      </c>
      <c r="F623" t="s">
        <v>409</v>
      </c>
    </row>
    <row r="624" spans="1:6" hidden="1" x14ac:dyDescent="0.25">
      <c r="A624" t="s">
        <v>2</v>
      </c>
      <c r="B624" t="s">
        <v>408</v>
      </c>
      <c r="C624">
        <v>2029</v>
      </c>
      <c r="D624" t="s">
        <v>18</v>
      </c>
      <c r="E624">
        <v>99.513999999999996</v>
      </c>
      <c r="F624" t="s">
        <v>409</v>
      </c>
    </row>
    <row r="625" spans="1:6" hidden="1" x14ac:dyDescent="0.25">
      <c r="A625" t="s">
        <v>2</v>
      </c>
      <c r="B625" t="s">
        <v>408</v>
      </c>
      <c r="C625">
        <v>2030</v>
      </c>
      <c r="D625" t="s">
        <v>18</v>
      </c>
      <c r="E625">
        <v>99.712000000000003</v>
      </c>
      <c r="F625" t="s">
        <v>409</v>
      </c>
    </row>
    <row r="626" spans="1:6" hidden="1" x14ac:dyDescent="0.25">
      <c r="A626" t="s">
        <v>2</v>
      </c>
      <c r="B626" t="s">
        <v>408</v>
      </c>
      <c r="C626">
        <v>2031</v>
      </c>
      <c r="D626" t="s">
        <v>18</v>
      </c>
      <c r="E626">
        <v>99.847999999999999</v>
      </c>
      <c r="F626" t="s">
        <v>409</v>
      </c>
    </row>
    <row r="627" spans="1:6" hidden="1" x14ac:dyDescent="0.25">
      <c r="A627" t="s">
        <v>2</v>
      </c>
      <c r="B627" t="s">
        <v>408</v>
      </c>
      <c r="C627">
        <v>2032</v>
      </c>
      <c r="D627" t="s">
        <v>18</v>
      </c>
      <c r="E627">
        <v>88.9360447423349</v>
      </c>
      <c r="F627" t="s">
        <v>409</v>
      </c>
    </row>
    <row r="628" spans="1:6" hidden="1" x14ac:dyDescent="0.25">
      <c r="A628" t="s">
        <v>2</v>
      </c>
      <c r="B628" t="s">
        <v>408</v>
      </c>
      <c r="C628">
        <v>2033</v>
      </c>
      <c r="D628" t="s">
        <v>18</v>
      </c>
      <c r="E628">
        <v>107.33713919856019</v>
      </c>
      <c r="F628" t="s">
        <v>409</v>
      </c>
    </row>
    <row r="629" spans="1:6" hidden="1" x14ac:dyDescent="0.25">
      <c r="A629" t="s">
        <v>2</v>
      </c>
      <c r="B629" t="s">
        <v>408</v>
      </c>
      <c r="C629">
        <v>2034</v>
      </c>
      <c r="D629" t="s">
        <v>18</v>
      </c>
      <c r="E629">
        <v>129.54546702307746</v>
      </c>
      <c r="F629" t="s">
        <v>409</v>
      </c>
    </row>
    <row r="630" spans="1:6" hidden="1" x14ac:dyDescent="0.25">
      <c r="A630" t="s">
        <v>2</v>
      </c>
      <c r="B630" t="s">
        <v>408</v>
      </c>
      <c r="C630">
        <v>2035</v>
      </c>
      <c r="D630" t="s">
        <v>18</v>
      </c>
      <c r="E630">
        <v>156.34875450875035</v>
      </c>
      <c r="F630" t="s">
        <v>409</v>
      </c>
    </row>
    <row r="631" spans="1:6" hidden="1" x14ac:dyDescent="0.25">
      <c r="A631" t="s">
        <v>2</v>
      </c>
      <c r="B631" t="s">
        <v>408</v>
      </c>
      <c r="C631">
        <v>2036</v>
      </c>
      <c r="D631" t="s">
        <v>18</v>
      </c>
      <c r="E631">
        <v>188.69771052724536</v>
      </c>
      <c r="F631" t="s">
        <v>409</v>
      </c>
    </row>
    <row r="632" spans="1:6" hidden="1" x14ac:dyDescent="0.25">
      <c r="A632" t="s">
        <v>2</v>
      </c>
      <c r="B632" t="s">
        <v>408</v>
      </c>
      <c r="C632">
        <v>2037</v>
      </c>
      <c r="D632" t="s">
        <v>18</v>
      </c>
      <c r="E632">
        <v>227.73974804021404</v>
      </c>
      <c r="F632" t="s">
        <v>409</v>
      </c>
    </row>
    <row r="633" spans="1:6" hidden="1" x14ac:dyDescent="0.25">
      <c r="A633" t="s">
        <v>2</v>
      </c>
      <c r="B633" t="s">
        <v>408</v>
      </c>
      <c r="C633">
        <v>2038</v>
      </c>
      <c r="D633" t="s">
        <v>18</v>
      </c>
      <c r="E633">
        <v>274.85968267713315</v>
      </c>
      <c r="F633" t="s">
        <v>409</v>
      </c>
    </row>
    <row r="634" spans="1:6" hidden="1" x14ac:dyDescent="0.25">
      <c r="A634" t="s">
        <v>2</v>
      </c>
      <c r="B634" t="s">
        <v>408</v>
      </c>
      <c r="C634">
        <v>2039</v>
      </c>
      <c r="D634" t="s">
        <v>18</v>
      </c>
      <c r="E634">
        <v>331.72885195268657</v>
      </c>
      <c r="F634" t="s">
        <v>409</v>
      </c>
    </row>
    <row r="635" spans="1:6" hidden="1" x14ac:dyDescent="0.25">
      <c r="A635" t="s">
        <v>2</v>
      </c>
      <c r="B635" t="s">
        <v>408</v>
      </c>
      <c r="C635">
        <v>2040</v>
      </c>
      <c r="D635" t="s">
        <v>18</v>
      </c>
      <c r="E635">
        <v>400.36439737548505</v>
      </c>
      <c r="F635" t="s">
        <v>409</v>
      </c>
    </row>
    <row r="636" spans="1:6" hidden="1" x14ac:dyDescent="0.25">
      <c r="A636" t="s">
        <v>2</v>
      </c>
      <c r="B636" t="s">
        <v>408</v>
      </c>
      <c r="C636" t="s">
        <v>410</v>
      </c>
      <c r="D636" t="s">
        <v>13</v>
      </c>
      <c r="E636">
        <v>159.81365163981917</v>
      </c>
      <c r="F636" t="s">
        <v>409</v>
      </c>
    </row>
    <row r="637" spans="1:6" hidden="1" x14ac:dyDescent="0.25">
      <c r="A637" t="s">
        <v>2</v>
      </c>
      <c r="B637" t="s">
        <v>408</v>
      </c>
      <c r="C637" t="s">
        <v>410</v>
      </c>
      <c r="D637" t="s">
        <v>411</v>
      </c>
      <c r="E637">
        <v>254.2701355892919</v>
      </c>
      <c r="F637" t="s">
        <v>409</v>
      </c>
    </row>
    <row r="638" spans="1:6" hidden="1" x14ac:dyDescent="0.25">
      <c r="A638" t="s">
        <v>2</v>
      </c>
      <c r="B638" t="s">
        <v>408</v>
      </c>
      <c r="C638" t="s">
        <v>410</v>
      </c>
      <c r="D638" t="s">
        <v>412</v>
      </c>
      <c r="E638">
        <v>2288.4312203036275</v>
      </c>
      <c r="F638" t="s">
        <v>409</v>
      </c>
    </row>
    <row r="639" spans="1:6" hidden="1" x14ac:dyDescent="0.25">
      <c r="A639" t="s">
        <v>2</v>
      </c>
      <c r="B639" t="s">
        <v>413</v>
      </c>
      <c r="C639">
        <v>2018</v>
      </c>
      <c r="D639" t="s">
        <v>17</v>
      </c>
      <c r="E639">
        <v>13.493</v>
      </c>
      <c r="F639" t="s">
        <v>409</v>
      </c>
    </row>
    <row r="640" spans="1:6" hidden="1" x14ac:dyDescent="0.25">
      <c r="A640" t="s">
        <v>2</v>
      </c>
      <c r="B640" t="s">
        <v>413</v>
      </c>
      <c r="C640">
        <v>2019</v>
      </c>
      <c r="D640" t="s">
        <v>17</v>
      </c>
      <c r="E640">
        <v>13.91</v>
      </c>
      <c r="F640" t="s">
        <v>409</v>
      </c>
    </row>
    <row r="641" spans="1:6" hidden="1" x14ac:dyDescent="0.25">
      <c r="A641" t="s">
        <v>2</v>
      </c>
      <c r="B641" t="s">
        <v>413</v>
      </c>
      <c r="C641">
        <v>2020</v>
      </c>
      <c r="D641" t="s">
        <v>17</v>
      </c>
      <c r="E641">
        <v>8.1709999999999994</v>
      </c>
      <c r="F641" t="s">
        <v>409</v>
      </c>
    </row>
    <row r="642" spans="1:6" hidden="1" x14ac:dyDescent="0.25">
      <c r="A642" t="s">
        <v>2</v>
      </c>
      <c r="B642" t="s">
        <v>413</v>
      </c>
      <c r="C642">
        <v>2021</v>
      </c>
      <c r="D642" t="s">
        <v>17</v>
      </c>
      <c r="E642">
        <v>4.18</v>
      </c>
      <c r="F642" t="s">
        <v>409</v>
      </c>
    </row>
    <row r="643" spans="1:6" hidden="1" x14ac:dyDescent="0.25">
      <c r="A643" t="s">
        <v>2</v>
      </c>
      <c r="B643" t="s">
        <v>413</v>
      </c>
      <c r="C643">
        <v>2022</v>
      </c>
      <c r="D643" t="s">
        <v>17</v>
      </c>
      <c r="E643">
        <v>13.563000000000001</v>
      </c>
      <c r="F643" t="s">
        <v>409</v>
      </c>
    </row>
    <row r="644" spans="1:6" hidden="1" x14ac:dyDescent="0.25">
      <c r="A644" t="s">
        <v>2</v>
      </c>
      <c r="B644" t="s">
        <v>413</v>
      </c>
      <c r="C644">
        <v>2023</v>
      </c>
      <c r="D644" t="s">
        <v>17</v>
      </c>
      <c r="E644">
        <v>4.194</v>
      </c>
      <c r="F644" t="s">
        <v>409</v>
      </c>
    </row>
    <row r="645" spans="1:6" hidden="1" x14ac:dyDescent="0.25">
      <c r="A645" t="s">
        <v>2</v>
      </c>
      <c r="B645" t="s">
        <v>413</v>
      </c>
      <c r="C645">
        <v>2024</v>
      </c>
      <c r="D645" t="s">
        <v>17</v>
      </c>
      <c r="E645">
        <v>6.3</v>
      </c>
      <c r="F645" t="s">
        <v>409</v>
      </c>
    </row>
    <row r="646" spans="1:6" hidden="1" x14ac:dyDescent="0.25">
      <c r="A646" t="s">
        <v>2</v>
      </c>
      <c r="B646" t="s">
        <v>413</v>
      </c>
      <c r="C646">
        <v>2025</v>
      </c>
      <c r="D646" t="s">
        <v>17</v>
      </c>
      <c r="E646">
        <v>0</v>
      </c>
      <c r="F646" t="s">
        <v>409</v>
      </c>
    </row>
    <row r="647" spans="1:6" hidden="1" x14ac:dyDescent="0.25">
      <c r="A647" t="s">
        <v>2</v>
      </c>
      <c r="B647" t="s">
        <v>413</v>
      </c>
      <c r="C647">
        <v>2026</v>
      </c>
      <c r="D647" t="s">
        <v>17</v>
      </c>
      <c r="E647">
        <v>0</v>
      </c>
      <c r="F647" t="s">
        <v>409</v>
      </c>
    </row>
    <row r="648" spans="1:6" hidden="1" x14ac:dyDescent="0.25">
      <c r="A648" t="s">
        <v>2</v>
      </c>
      <c r="B648" t="s">
        <v>413</v>
      </c>
      <c r="C648">
        <v>2027</v>
      </c>
      <c r="D648" t="s">
        <v>17</v>
      </c>
      <c r="E648">
        <v>0</v>
      </c>
      <c r="F648" t="s">
        <v>409</v>
      </c>
    </row>
    <row r="649" spans="1:6" hidden="1" x14ac:dyDescent="0.25">
      <c r="A649" t="s">
        <v>2</v>
      </c>
      <c r="B649" t="s">
        <v>413</v>
      </c>
      <c r="C649">
        <v>2028</v>
      </c>
      <c r="D649" t="s">
        <v>17</v>
      </c>
      <c r="E649">
        <v>0</v>
      </c>
      <c r="F649" t="s">
        <v>409</v>
      </c>
    </row>
    <row r="650" spans="1:6" hidden="1" x14ac:dyDescent="0.25">
      <c r="A650" t="s">
        <v>2</v>
      </c>
      <c r="B650" t="s">
        <v>413</v>
      </c>
      <c r="C650">
        <v>2029</v>
      </c>
      <c r="D650" t="s">
        <v>17</v>
      </c>
      <c r="E650">
        <v>0</v>
      </c>
      <c r="F650" t="s">
        <v>409</v>
      </c>
    </row>
    <row r="651" spans="1:6" hidden="1" x14ac:dyDescent="0.25">
      <c r="A651" t="s">
        <v>2</v>
      </c>
      <c r="B651" t="s">
        <v>413</v>
      </c>
      <c r="C651">
        <v>2030</v>
      </c>
      <c r="D651" t="s">
        <v>17</v>
      </c>
      <c r="E651">
        <v>0</v>
      </c>
      <c r="F651" t="s">
        <v>409</v>
      </c>
    </row>
    <row r="652" spans="1:6" hidden="1" x14ac:dyDescent="0.25">
      <c r="A652" t="s">
        <v>2</v>
      </c>
      <c r="B652" t="s">
        <v>413</v>
      </c>
      <c r="C652">
        <v>2031</v>
      </c>
      <c r="D652" t="s">
        <v>17</v>
      </c>
      <c r="E652">
        <v>0</v>
      </c>
      <c r="F652" t="s">
        <v>409</v>
      </c>
    </row>
    <row r="653" spans="1:6" hidden="1" x14ac:dyDescent="0.25">
      <c r="A653" t="s">
        <v>2</v>
      </c>
      <c r="B653" t="s">
        <v>413</v>
      </c>
      <c r="C653">
        <v>2032</v>
      </c>
      <c r="D653" t="s">
        <v>17</v>
      </c>
      <c r="E653">
        <v>0</v>
      </c>
      <c r="F653" t="s">
        <v>409</v>
      </c>
    </row>
    <row r="654" spans="1:6" hidden="1" x14ac:dyDescent="0.25">
      <c r="A654" t="s">
        <v>2</v>
      </c>
      <c r="B654" t="s">
        <v>413</v>
      </c>
      <c r="C654">
        <v>2033</v>
      </c>
      <c r="D654" t="s">
        <v>17</v>
      </c>
      <c r="E654">
        <v>0</v>
      </c>
      <c r="F654" t="s">
        <v>409</v>
      </c>
    </row>
    <row r="655" spans="1:6" hidden="1" x14ac:dyDescent="0.25">
      <c r="A655" t="s">
        <v>2</v>
      </c>
      <c r="B655" t="s">
        <v>413</v>
      </c>
      <c r="C655">
        <v>2034</v>
      </c>
      <c r="D655" t="s">
        <v>17</v>
      </c>
      <c r="E655">
        <v>0</v>
      </c>
      <c r="F655" t="s">
        <v>409</v>
      </c>
    </row>
    <row r="656" spans="1:6" hidden="1" x14ac:dyDescent="0.25">
      <c r="A656" t="s">
        <v>2</v>
      </c>
      <c r="B656" t="s">
        <v>413</v>
      </c>
      <c r="C656">
        <v>2035</v>
      </c>
      <c r="D656" t="s">
        <v>17</v>
      </c>
      <c r="E656">
        <v>0</v>
      </c>
      <c r="F656" t="s">
        <v>409</v>
      </c>
    </row>
    <row r="657" spans="1:6" hidden="1" x14ac:dyDescent="0.25">
      <c r="A657" t="s">
        <v>2</v>
      </c>
      <c r="B657" t="s">
        <v>413</v>
      </c>
      <c r="C657">
        <v>2036</v>
      </c>
      <c r="D657" t="s">
        <v>17</v>
      </c>
      <c r="E657">
        <v>0</v>
      </c>
      <c r="F657" t="s">
        <v>409</v>
      </c>
    </row>
    <row r="658" spans="1:6" hidden="1" x14ac:dyDescent="0.25">
      <c r="A658" t="s">
        <v>2</v>
      </c>
      <c r="B658" t="s">
        <v>413</v>
      </c>
      <c r="C658">
        <v>2037</v>
      </c>
      <c r="D658" t="s">
        <v>17</v>
      </c>
      <c r="E658">
        <v>0</v>
      </c>
      <c r="F658" t="s">
        <v>409</v>
      </c>
    </row>
    <row r="659" spans="1:6" hidden="1" x14ac:dyDescent="0.25">
      <c r="A659" t="s">
        <v>2</v>
      </c>
      <c r="B659" t="s">
        <v>413</v>
      </c>
      <c r="C659">
        <v>2038</v>
      </c>
      <c r="D659" t="s">
        <v>17</v>
      </c>
      <c r="E659">
        <v>0</v>
      </c>
      <c r="F659" t="s">
        <v>409</v>
      </c>
    </row>
    <row r="660" spans="1:6" hidden="1" x14ac:dyDescent="0.25">
      <c r="A660" t="s">
        <v>2</v>
      </c>
      <c r="B660" t="s">
        <v>413</v>
      </c>
      <c r="C660">
        <v>2039</v>
      </c>
      <c r="D660" t="s">
        <v>17</v>
      </c>
      <c r="E660">
        <v>0</v>
      </c>
      <c r="F660" t="s">
        <v>409</v>
      </c>
    </row>
    <row r="661" spans="1:6" hidden="1" x14ac:dyDescent="0.25">
      <c r="A661" t="s">
        <v>2</v>
      </c>
      <c r="B661" t="s">
        <v>413</v>
      </c>
      <c r="C661">
        <v>2040</v>
      </c>
      <c r="D661" t="s">
        <v>17</v>
      </c>
      <c r="E661">
        <v>0</v>
      </c>
      <c r="F661" t="s">
        <v>409</v>
      </c>
    </row>
    <row r="662" spans="1:6" hidden="1" x14ac:dyDescent="0.25">
      <c r="A662" t="s">
        <v>2</v>
      </c>
      <c r="B662" t="s">
        <v>413</v>
      </c>
      <c r="C662">
        <v>2018</v>
      </c>
      <c r="D662" t="s">
        <v>18</v>
      </c>
      <c r="E662">
        <v>13.493</v>
      </c>
      <c r="F662" t="s">
        <v>409</v>
      </c>
    </row>
    <row r="663" spans="1:6" hidden="1" x14ac:dyDescent="0.25">
      <c r="A663" t="s">
        <v>2</v>
      </c>
      <c r="B663" t="s">
        <v>413</v>
      </c>
      <c r="C663">
        <v>2019</v>
      </c>
      <c r="D663" t="s">
        <v>18</v>
      </c>
      <c r="E663">
        <v>13.91</v>
      </c>
      <c r="F663" t="s">
        <v>409</v>
      </c>
    </row>
    <row r="664" spans="1:6" hidden="1" x14ac:dyDescent="0.25">
      <c r="A664" t="s">
        <v>2</v>
      </c>
      <c r="B664" t="s">
        <v>413</v>
      </c>
      <c r="C664">
        <v>2020</v>
      </c>
      <c r="D664" t="s">
        <v>18</v>
      </c>
      <c r="E664">
        <v>8.1709999999999994</v>
      </c>
      <c r="F664" t="s">
        <v>409</v>
      </c>
    </row>
    <row r="665" spans="1:6" hidden="1" x14ac:dyDescent="0.25">
      <c r="A665" t="s">
        <v>2</v>
      </c>
      <c r="B665" t="s">
        <v>413</v>
      </c>
      <c r="C665">
        <v>2021</v>
      </c>
      <c r="D665" t="s">
        <v>18</v>
      </c>
      <c r="E665">
        <v>4.18</v>
      </c>
      <c r="F665" t="s">
        <v>409</v>
      </c>
    </row>
    <row r="666" spans="1:6" hidden="1" x14ac:dyDescent="0.25">
      <c r="A666" t="s">
        <v>2</v>
      </c>
      <c r="B666" t="s">
        <v>413</v>
      </c>
      <c r="C666">
        <v>2022</v>
      </c>
      <c r="D666" t="s">
        <v>18</v>
      </c>
      <c r="E666">
        <v>13.563000000000001</v>
      </c>
      <c r="F666" t="s">
        <v>409</v>
      </c>
    </row>
    <row r="667" spans="1:6" hidden="1" x14ac:dyDescent="0.25">
      <c r="A667" t="s">
        <v>2</v>
      </c>
      <c r="B667" t="s">
        <v>413</v>
      </c>
      <c r="C667">
        <v>2023</v>
      </c>
      <c r="D667" t="s">
        <v>18</v>
      </c>
      <c r="E667">
        <v>103.93600000000001</v>
      </c>
      <c r="F667" t="s">
        <v>409</v>
      </c>
    </row>
    <row r="668" spans="1:6" hidden="1" x14ac:dyDescent="0.25">
      <c r="A668" t="s">
        <v>2</v>
      </c>
      <c r="B668" t="s">
        <v>413</v>
      </c>
      <c r="C668">
        <v>2024</v>
      </c>
      <c r="D668" t="s">
        <v>18</v>
      </c>
      <c r="E668">
        <v>106.03099999999999</v>
      </c>
      <c r="F668" t="s">
        <v>409</v>
      </c>
    </row>
    <row r="669" spans="1:6" hidden="1" x14ac:dyDescent="0.25">
      <c r="A669" t="s">
        <v>2</v>
      </c>
      <c r="B669" t="s">
        <v>413</v>
      </c>
      <c r="C669">
        <v>2025</v>
      </c>
      <c r="D669" t="s">
        <v>18</v>
      </c>
      <c r="E669">
        <v>99.546999999999997</v>
      </c>
      <c r="F669" t="s">
        <v>409</v>
      </c>
    </row>
    <row r="670" spans="1:6" hidden="1" x14ac:dyDescent="0.25">
      <c r="A670" t="s">
        <v>2</v>
      </c>
      <c r="B670" t="s">
        <v>413</v>
      </c>
      <c r="C670">
        <v>2026</v>
      </c>
      <c r="D670" t="s">
        <v>18</v>
      </c>
      <c r="E670">
        <v>99.67</v>
      </c>
      <c r="F670" t="s">
        <v>409</v>
      </c>
    </row>
    <row r="671" spans="1:6" hidden="1" x14ac:dyDescent="0.25">
      <c r="A671" t="s">
        <v>2</v>
      </c>
      <c r="B671" t="s">
        <v>413</v>
      </c>
      <c r="C671">
        <v>2027</v>
      </c>
      <c r="D671" t="s">
        <v>18</v>
      </c>
      <c r="E671">
        <v>99.778000000000006</v>
      </c>
      <c r="F671" t="s">
        <v>409</v>
      </c>
    </row>
    <row r="672" spans="1:6" hidden="1" x14ac:dyDescent="0.25">
      <c r="A672" t="s">
        <v>2</v>
      </c>
      <c r="B672" t="s">
        <v>413</v>
      </c>
      <c r="C672">
        <v>2028</v>
      </c>
      <c r="D672" t="s">
        <v>18</v>
      </c>
      <c r="E672">
        <v>99.734999999999999</v>
      </c>
      <c r="F672" t="s">
        <v>409</v>
      </c>
    </row>
    <row r="673" spans="1:6" hidden="1" x14ac:dyDescent="0.25">
      <c r="A673" t="s">
        <v>2</v>
      </c>
      <c r="B673" t="s">
        <v>413</v>
      </c>
      <c r="C673">
        <v>2029</v>
      </c>
      <c r="D673" t="s">
        <v>18</v>
      </c>
      <c r="E673">
        <v>99.513999999999996</v>
      </c>
      <c r="F673" t="s">
        <v>409</v>
      </c>
    </row>
    <row r="674" spans="1:6" hidden="1" x14ac:dyDescent="0.25">
      <c r="A674" t="s">
        <v>2</v>
      </c>
      <c r="B674" t="s">
        <v>413</v>
      </c>
      <c r="C674">
        <v>2030</v>
      </c>
      <c r="D674" t="s">
        <v>18</v>
      </c>
      <c r="E674">
        <v>99.712000000000003</v>
      </c>
      <c r="F674" t="s">
        <v>409</v>
      </c>
    </row>
    <row r="675" spans="1:6" hidden="1" x14ac:dyDescent="0.25">
      <c r="A675" t="s">
        <v>2</v>
      </c>
      <c r="B675" t="s">
        <v>413</v>
      </c>
      <c r="C675">
        <v>2031</v>
      </c>
      <c r="D675" t="s">
        <v>18</v>
      </c>
      <c r="E675">
        <v>99.847999999999999</v>
      </c>
      <c r="F675" t="s">
        <v>409</v>
      </c>
    </row>
    <row r="676" spans="1:6" hidden="1" x14ac:dyDescent="0.25">
      <c r="A676" t="s">
        <v>2</v>
      </c>
      <c r="B676" t="s">
        <v>413</v>
      </c>
      <c r="C676">
        <v>2032</v>
      </c>
      <c r="D676" t="s">
        <v>18</v>
      </c>
      <c r="E676">
        <v>88.9360447423349</v>
      </c>
      <c r="F676" t="s">
        <v>409</v>
      </c>
    </row>
    <row r="677" spans="1:6" hidden="1" x14ac:dyDescent="0.25">
      <c r="A677" t="s">
        <v>2</v>
      </c>
      <c r="B677" t="s">
        <v>413</v>
      </c>
      <c r="C677">
        <v>2033</v>
      </c>
      <c r="D677" t="s">
        <v>18</v>
      </c>
      <c r="E677">
        <v>107.33713919856019</v>
      </c>
      <c r="F677" t="s">
        <v>409</v>
      </c>
    </row>
    <row r="678" spans="1:6" hidden="1" x14ac:dyDescent="0.25">
      <c r="A678" t="s">
        <v>2</v>
      </c>
      <c r="B678" t="s">
        <v>413</v>
      </c>
      <c r="C678">
        <v>2034</v>
      </c>
      <c r="D678" t="s">
        <v>18</v>
      </c>
      <c r="E678">
        <v>129.54546702307746</v>
      </c>
      <c r="F678" t="s">
        <v>409</v>
      </c>
    </row>
    <row r="679" spans="1:6" hidden="1" x14ac:dyDescent="0.25">
      <c r="A679" t="s">
        <v>2</v>
      </c>
      <c r="B679" t="s">
        <v>413</v>
      </c>
      <c r="C679">
        <v>2035</v>
      </c>
      <c r="D679" t="s">
        <v>18</v>
      </c>
      <c r="E679">
        <v>156.34875450875035</v>
      </c>
      <c r="F679" t="s">
        <v>409</v>
      </c>
    </row>
    <row r="680" spans="1:6" hidden="1" x14ac:dyDescent="0.25">
      <c r="A680" t="s">
        <v>2</v>
      </c>
      <c r="B680" t="s">
        <v>413</v>
      </c>
      <c r="C680">
        <v>2036</v>
      </c>
      <c r="D680" t="s">
        <v>18</v>
      </c>
      <c r="E680">
        <v>188.69771052724536</v>
      </c>
      <c r="F680" t="s">
        <v>409</v>
      </c>
    </row>
    <row r="681" spans="1:6" hidden="1" x14ac:dyDescent="0.25">
      <c r="A681" t="s">
        <v>2</v>
      </c>
      <c r="B681" t="s">
        <v>413</v>
      </c>
      <c r="C681">
        <v>2037</v>
      </c>
      <c r="D681" t="s">
        <v>18</v>
      </c>
      <c r="E681">
        <v>227.73974804021404</v>
      </c>
      <c r="F681" t="s">
        <v>409</v>
      </c>
    </row>
    <row r="682" spans="1:6" hidden="1" x14ac:dyDescent="0.25">
      <c r="A682" t="s">
        <v>2</v>
      </c>
      <c r="B682" t="s">
        <v>413</v>
      </c>
      <c r="C682">
        <v>2038</v>
      </c>
      <c r="D682" t="s">
        <v>18</v>
      </c>
      <c r="E682">
        <v>274.85968267713315</v>
      </c>
      <c r="F682" t="s">
        <v>409</v>
      </c>
    </row>
    <row r="683" spans="1:6" hidden="1" x14ac:dyDescent="0.25">
      <c r="A683" t="s">
        <v>2</v>
      </c>
      <c r="B683" t="s">
        <v>413</v>
      </c>
      <c r="C683">
        <v>2039</v>
      </c>
      <c r="D683" t="s">
        <v>18</v>
      </c>
      <c r="E683">
        <v>331.72885195268657</v>
      </c>
      <c r="F683" t="s">
        <v>409</v>
      </c>
    </row>
    <row r="684" spans="1:6" hidden="1" x14ac:dyDescent="0.25">
      <c r="A684" t="s">
        <v>2</v>
      </c>
      <c r="B684" t="s">
        <v>413</v>
      </c>
      <c r="C684">
        <v>2040</v>
      </c>
      <c r="D684" t="s">
        <v>18</v>
      </c>
      <c r="E684">
        <v>400.36439737548505</v>
      </c>
      <c r="F684" t="s">
        <v>409</v>
      </c>
    </row>
    <row r="685" spans="1:6" hidden="1" x14ac:dyDescent="0.25">
      <c r="A685" t="s">
        <v>2</v>
      </c>
      <c r="B685" t="s">
        <v>413</v>
      </c>
      <c r="C685" t="s">
        <v>410</v>
      </c>
      <c r="D685" t="s">
        <v>13</v>
      </c>
      <c r="E685">
        <v>159.81365163981917</v>
      </c>
      <c r="F685" t="s">
        <v>409</v>
      </c>
    </row>
    <row r="686" spans="1:6" hidden="1" x14ac:dyDescent="0.25">
      <c r="A686" t="s">
        <v>2</v>
      </c>
      <c r="B686" t="s">
        <v>413</v>
      </c>
      <c r="C686" t="s">
        <v>410</v>
      </c>
      <c r="D686" t="s">
        <v>411</v>
      </c>
      <c r="E686">
        <v>643.30344304090863</v>
      </c>
      <c r="F686" t="s">
        <v>409</v>
      </c>
    </row>
    <row r="687" spans="1:6" hidden="1" x14ac:dyDescent="0.25">
      <c r="A687" t="s">
        <v>2</v>
      </c>
      <c r="B687" t="s">
        <v>413</v>
      </c>
      <c r="C687" t="s">
        <v>410</v>
      </c>
      <c r="D687" t="s">
        <v>412</v>
      </c>
      <c r="E687">
        <v>1899.3979128520102</v>
      </c>
      <c r="F687" t="s">
        <v>409</v>
      </c>
    </row>
    <row r="688" spans="1:6" hidden="1" x14ac:dyDescent="0.25">
      <c r="A688" t="s">
        <v>2</v>
      </c>
      <c r="B688" t="s">
        <v>414</v>
      </c>
      <c r="C688">
        <v>2018</v>
      </c>
      <c r="D688" t="s">
        <v>17</v>
      </c>
      <c r="E688">
        <v>13.493</v>
      </c>
      <c r="F688" t="s">
        <v>409</v>
      </c>
    </row>
    <row r="689" spans="1:6" hidden="1" x14ac:dyDescent="0.25">
      <c r="A689" t="s">
        <v>2</v>
      </c>
      <c r="B689" t="s">
        <v>414</v>
      </c>
      <c r="C689">
        <v>2019</v>
      </c>
      <c r="D689" t="s">
        <v>17</v>
      </c>
      <c r="E689">
        <v>13.91</v>
      </c>
      <c r="F689" t="s">
        <v>409</v>
      </c>
    </row>
    <row r="690" spans="1:6" hidden="1" x14ac:dyDescent="0.25">
      <c r="A690" t="s">
        <v>2</v>
      </c>
      <c r="B690" t="s">
        <v>414</v>
      </c>
      <c r="C690">
        <v>2020</v>
      </c>
      <c r="D690" t="s">
        <v>17</v>
      </c>
      <c r="E690">
        <v>8.1709999999999994</v>
      </c>
      <c r="F690" t="s">
        <v>409</v>
      </c>
    </row>
    <row r="691" spans="1:6" hidden="1" x14ac:dyDescent="0.25">
      <c r="A691" t="s">
        <v>2</v>
      </c>
      <c r="B691" t="s">
        <v>414</v>
      </c>
      <c r="C691">
        <v>2021</v>
      </c>
      <c r="D691" t="s">
        <v>17</v>
      </c>
      <c r="E691">
        <v>4.18</v>
      </c>
      <c r="F691" t="s">
        <v>409</v>
      </c>
    </row>
    <row r="692" spans="1:6" hidden="1" x14ac:dyDescent="0.25">
      <c r="A692" t="s">
        <v>2</v>
      </c>
      <c r="B692" t="s">
        <v>414</v>
      </c>
      <c r="C692">
        <v>2022</v>
      </c>
      <c r="D692" t="s">
        <v>17</v>
      </c>
      <c r="E692">
        <v>13.563000000000001</v>
      </c>
      <c r="F692" t="s">
        <v>409</v>
      </c>
    </row>
    <row r="693" spans="1:6" hidden="1" x14ac:dyDescent="0.25">
      <c r="A693" t="s">
        <v>2</v>
      </c>
      <c r="B693" t="s">
        <v>414</v>
      </c>
      <c r="C693">
        <v>2023</v>
      </c>
      <c r="D693" t="s">
        <v>17</v>
      </c>
      <c r="E693">
        <v>4.194</v>
      </c>
      <c r="F693" t="s">
        <v>409</v>
      </c>
    </row>
    <row r="694" spans="1:6" hidden="1" x14ac:dyDescent="0.25">
      <c r="A694" t="s">
        <v>2</v>
      </c>
      <c r="B694" t="s">
        <v>414</v>
      </c>
      <c r="C694">
        <v>2024</v>
      </c>
      <c r="D694" t="s">
        <v>17</v>
      </c>
      <c r="E694">
        <v>6.3</v>
      </c>
      <c r="F694" t="s">
        <v>409</v>
      </c>
    </row>
    <row r="695" spans="1:6" hidden="1" x14ac:dyDescent="0.25">
      <c r="A695" t="s">
        <v>2</v>
      </c>
      <c r="B695" t="s">
        <v>414</v>
      </c>
      <c r="C695">
        <v>2025</v>
      </c>
      <c r="D695" t="s">
        <v>17</v>
      </c>
      <c r="E695">
        <v>0</v>
      </c>
      <c r="F695" t="s">
        <v>409</v>
      </c>
    </row>
    <row r="696" spans="1:6" hidden="1" x14ac:dyDescent="0.25">
      <c r="A696" t="s">
        <v>2</v>
      </c>
      <c r="B696" t="s">
        <v>414</v>
      </c>
      <c r="C696">
        <v>2026</v>
      </c>
      <c r="D696" t="s">
        <v>17</v>
      </c>
      <c r="E696">
        <v>0</v>
      </c>
      <c r="F696" t="s">
        <v>409</v>
      </c>
    </row>
    <row r="697" spans="1:6" hidden="1" x14ac:dyDescent="0.25">
      <c r="A697" t="s">
        <v>2</v>
      </c>
      <c r="B697" t="s">
        <v>414</v>
      </c>
      <c r="C697">
        <v>2027</v>
      </c>
      <c r="D697" t="s">
        <v>17</v>
      </c>
      <c r="E697">
        <v>0</v>
      </c>
      <c r="F697" t="s">
        <v>409</v>
      </c>
    </row>
    <row r="698" spans="1:6" hidden="1" x14ac:dyDescent="0.25">
      <c r="A698" t="s">
        <v>2</v>
      </c>
      <c r="B698" t="s">
        <v>414</v>
      </c>
      <c r="C698">
        <v>2028</v>
      </c>
      <c r="D698" t="s">
        <v>17</v>
      </c>
      <c r="E698">
        <v>0</v>
      </c>
      <c r="F698" t="s">
        <v>409</v>
      </c>
    </row>
    <row r="699" spans="1:6" hidden="1" x14ac:dyDescent="0.25">
      <c r="A699" t="s">
        <v>2</v>
      </c>
      <c r="B699" t="s">
        <v>414</v>
      </c>
      <c r="C699">
        <v>2029</v>
      </c>
      <c r="D699" t="s">
        <v>17</v>
      </c>
      <c r="E699">
        <v>0</v>
      </c>
      <c r="F699" t="s">
        <v>409</v>
      </c>
    </row>
    <row r="700" spans="1:6" hidden="1" x14ac:dyDescent="0.25">
      <c r="A700" t="s">
        <v>2</v>
      </c>
      <c r="B700" t="s">
        <v>414</v>
      </c>
      <c r="C700">
        <v>2030</v>
      </c>
      <c r="D700" t="s">
        <v>17</v>
      </c>
      <c r="E700">
        <v>0</v>
      </c>
      <c r="F700" t="s">
        <v>409</v>
      </c>
    </row>
    <row r="701" spans="1:6" hidden="1" x14ac:dyDescent="0.25">
      <c r="A701" t="s">
        <v>2</v>
      </c>
      <c r="B701" t="s">
        <v>414</v>
      </c>
      <c r="C701">
        <v>2031</v>
      </c>
      <c r="D701" t="s">
        <v>17</v>
      </c>
      <c r="E701">
        <v>0</v>
      </c>
      <c r="F701" t="s">
        <v>409</v>
      </c>
    </row>
    <row r="702" spans="1:6" hidden="1" x14ac:dyDescent="0.25">
      <c r="A702" t="s">
        <v>2</v>
      </c>
      <c r="B702" t="s">
        <v>414</v>
      </c>
      <c r="C702">
        <v>2032</v>
      </c>
      <c r="D702" t="s">
        <v>17</v>
      </c>
      <c r="E702">
        <v>0</v>
      </c>
      <c r="F702" t="s">
        <v>409</v>
      </c>
    </row>
    <row r="703" spans="1:6" hidden="1" x14ac:dyDescent="0.25">
      <c r="A703" t="s">
        <v>2</v>
      </c>
      <c r="B703" t="s">
        <v>414</v>
      </c>
      <c r="C703">
        <v>2033</v>
      </c>
      <c r="D703" t="s">
        <v>17</v>
      </c>
      <c r="E703">
        <v>0</v>
      </c>
      <c r="F703" t="s">
        <v>409</v>
      </c>
    </row>
    <row r="704" spans="1:6" hidden="1" x14ac:dyDescent="0.25">
      <c r="A704" t="s">
        <v>2</v>
      </c>
      <c r="B704" t="s">
        <v>414</v>
      </c>
      <c r="C704">
        <v>2034</v>
      </c>
      <c r="D704" t="s">
        <v>17</v>
      </c>
      <c r="E704">
        <v>0</v>
      </c>
      <c r="F704" t="s">
        <v>409</v>
      </c>
    </row>
    <row r="705" spans="1:6" hidden="1" x14ac:dyDescent="0.25">
      <c r="A705" t="s">
        <v>2</v>
      </c>
      <c r="B705" t="s">
        <v>414</v>
      </c>
      <c r="C705">
        <v>2035</v>
      </c>
      <c r="D705" t="s">
        <v>17</v>
      </c>
      <c r="E705">
        <v>0</v>
      </c>
      <c r="F705" t="s">
        <v>409</v>
      </c>
    </row>
    <row r="706" spans="1:6" hidden="1" x14ac:dyDescent="0.25">
      <c r="A706" t="s">
        <v>2</v>
      </c>
      <c r="B706" t="s">
        <v>414</v>
      </c>
      <c r="C706">
        <v>2036</v>
      </c>
      <c r="D706" t="s">
        <v>17</v>
      </c>
      <c r="E706">
        <v>0</v>
      </c>
      <c r="F706" t="s">
        <v>409</v>
      </c>
    </row>
    <row r="707" spans="1:6" hidden="1" x14ac:dyDescent="0.25">
      <c r="A707" t="s">
        <v>2</v>
      </c>
      <c r="B707" t="s">
        <v>414</v>
      </c>
      <c r="C707">
        <v>2037</v>
      </c>
      <c r="D707" t="s">
        <v>17</v>
      </c>
      <c r="E707">
        <v>0</v>
      </c>
      <c r="F707" t="s">
        <v>409</v>
      </c>
    </row>
    <row r="708" spans="1:6" hidden="1" x14ac:dyDescent="0.25">
      <c r="A708" t="s">
        <v>2</v>
      </c>
      <c r="B708" t="s">
        <v>414</v>
      </c>
      <c r="C708">
        <v>2038</v>
      </c>
      <c r="D708" t="s">
        <v>17</v>
      </c>
      <c r="E708">
        <v>0</v>
      </c>
      <c r="F708" t="s">
        <v>409</v>
      </c>
    </row>
    <row r="709" spans="1:6" hidden="1" x14ac:dyDescent="0.25">
      <c r="A709" t="s">
        <v>2</v>
      </c>
      <c r="B709" t="s">
        <v>414</v>
      </c>
      <c r="C709">
        <v>2039</v>
      </c>
      <c r="D709" t="s">
        <v>17</v>
      </c>
      <c r="E709">
        <v>0</v>
      </c>
      <c r="F709" t="s">
        <v>409</v>
      </c>
    </row>
    <row r="710" spans="1:6" hidden="1" x14ac:dyDescent="0.25">
      <c r="A710" t="s">
        <v>2</v>
      </c>
      <c r="B710" t="s">
        <v>414</v>
      </c>
      <c r="C710">
        <v>2040</v>
      </c>
      <c r="D710" t="s">
        <v>17</v>
      </c>
      <c r="E710">
        <v>0</v>
      </c>
      <c r="F710" t="s">
        <v>409</v>
      </c>
    </row>
    <row r="711" spans="1:6" hidden="1" x14ac:dyDescent="0.25">
      <c r="A711" t="s">
        <v>2</v>
      </c>
      <c r="B711" t="s">
        <v>414</v>
      </c>
      <c r="C711">
        <v>2018</v>
      </c>
      <c r="D711" t="s">
        <v>18</v>
      </c>
      <c r="E711">
        <v>13.493</v>
      </c>
      <c r="F711" t="s">
        <v>409</v>
      </c>
    </row>
    <row r="712" spans="1:6" hidden="1" x14ac:dyDescent="0.25">
      <c r="A712" t="s">
        <v>2</v>
      </c>
      <c r="B712" t="s">
        <v>414</v>
      </c>
      <c r="C712">
        <v>2019</v>
      </c>
      <c r="D712" t="s">
        <v>18</v>
      </c>
      <c r="E712">
        <v>13.91</v>
      </c>
      <c r="F712" t="s">
        <v>409</v>
      </c>
    </row>
    <row r="713" spans="1:6" hidden="1" x14ac:dyDescent="0.25">
      <c r="A713" t="s">
        <v>2</v>
      </c>
      <c r="B713" t="s">
        <v>414</v>
      </c>
      <c r="C713">
        <v>2020</v>
      </c>
      <c r="D713" t="s">
        <v>18</v>
      </c>
      <c r="E713">
        <v>8.1709999999999994</v>
      </c>
      <c r="F713" t="s">
        <v>409</v>
      </c>
    </row>
    <row r="714" spans="1:6" hidden="1" x14ac:dyDescent="0.25">
      <c r="A714" t="s">
        <v>2</v>
      </c>
      <c r="B714" t="s">
        <v>414</v>
      </c>
      <c r="C714">
        <v>2021</v>
      </c>
      <c r="D714" t="s">
        <v>18</v>
      </c>
      <c r="E714">
        <v>4.18</v>
      </c>
      <c r="F714" t="s">
        <v>409</v>
      </c>
    </row>
    <row r="715" spans="1:6" hidden="1" x14ac:dyDescent="0.25">
      <c r="A715" t="s">
        <v>2</v>
      </c>
      <c r="B715" t="s">
        <v>414</v>
      </c>
      <c r="C715">
        <v>2022</v>
      </c>
      <c r="D715" t="s">
        <v>18</v>
      </c>
      <c r="E715">
        <v>13.563000000000001</v>
      </c>
      <c r="F715" t="s">
        <v>409</v>
      </c>
    </row>
    <row r="716" spans="1:6" hidden="1" x14ac:dyDescent="0.25">
      <c r="A716" t="s">
        <v>2</v>
      </c>
      <c r="B716" t="s">
        <v>414</v>
      </c>
      <c r="C716">
        <v>2023</v>
      </c>
      <c r="D716" t="s">
        <v>18</v>
      </c>
      <c r="E716">
        <v>103.93600000000001</v>
      </c>
      <c r="F716" t="s">
        <v>409</v>
      </c>
    </row>
    <row r="717" spans="1:6" hidden="1" x14ac:dyDescent="0.25">
      <c r="A717" t="s">
        <v>2</v>
      </c>
      <c r="B717" t="s">
        <v>414</v>
      </c>
      <c r="C717">
        <v>2024</v>
      </c>
      <c r="D717" t="s">
        <v>18</v>
      </c>
      <c r="E717">
        <v>106.03099999999999</v>
      </c>
      <c r="F717" t="s">
        <v>409</v>
      </c>
    </row>
    <row r="718" spans="1:6" hidden="1" x14ac:dyDescent="0.25">
      <c r="A718" t="s">
        <v>2</v>
      </c>
      <c r="B718" t="s">
        <v>414</v>
      </c>
      <c r="C718">
        <v>2025</v>
      </c>
      <c r="D718" t="s">
        <v>18</v>
      </c>
      <c r="E718">
        <v>99.546999999999997</v>
      </c>
      <c r="F718" t="s">
        <v>409</v>
      </c>
    </row>
    <row r="719" spans="1:6" hidden="1" x14ac:dyDescent="0.25">
      <c r="A719" t="s">
        <v>2</v>
      </c>
      <c r="B719" t="s">
        <v>414</v>
      </c>
      <c r="C719">
        <v>2026</v>
      </c>
      <c r="D719" t="s">
        <v>18</v>
      </c>
      <c r="E719">
        <v>99.67</v>
      </c>
      <c r="F719" t="s">
        <v>409</v>
      </c>
    </row>
    <row r="720" spans="1:6" hidden="1" x14ac:dyDescent="0.25">
      <c r="A720" t="s">
        <v>2</v>
      </c>
      <c r="B720" t="s">
        <v>414</v>
      </c>
      <c r="C720">
        <v>2027</v>
      </c>
      <c r="D720" t="s">
        <v>18</v>
      </c>
      <c r="E720">
        <v>99.778000000000006</v>
      </c>
      <c r="F720" t="s">
        <v>409</v>
      </c>
    </row>
    <row r="721" spans="1:6" hidden="1" x14ac:dyDescent="0.25">
      <c r="A721" t="s">
        <v>2</v>
      </c>
      <c r="B721" t="s">
        <v>414</v>
      </c>
      <c r="C721">
        <v>2028</v>
      </c>
      <c r="D721" t="s">
        <v>18</v>
      </c>
      <c r="E721">
        <v>99.734999999999999</v>
      </c>
      <c r="F721" t="s">
        <v>409</v>
      </c>
    </row>
    <row r="722" spans="1:6" hidden="1" x14ac:dyDescent="0.25">
      <c r="A722" t="s">
        <v>2</v>
      </c>
      <c r="B722" t="s">
        <v>414</v>
      </c>
      <c r="C722">
        <v>2029</v>
      </c>
      <c r="D722" t="s">
        <v>18</v>
      </c>
      <c r="E722">
        <v>99.513999999999996</v>
      </c>
      <c r="F722" t="s">
        <v>409</v>
      </c>
    </row>
    <row r="723" spans="1:6" hidden="1" x14ac:dyDescent="0.25">
      <c r="A723" t="s">
        <v>2</v>
      </c>
      <c r="B723" t="s">
        <v>414</v>
      </c>
      <c r="C723">
        <v>2030</v>
      </c>
      <c r="D723" t="s">
        <v>18</v>
      </c>
      <c r="E723">
        <v>99.712000000000003</v>
      </c>
      <c r="F723" t="s">
        <v>409</v>
      </c>
    </row>
    <row r="724" spans="1:6" hidden="1" x14ac:dyDescent="0.25">
      <c r="A724" t="s">
        <v>2</v>
      </c>
      <c r="B724" t="s">
        <v>414</v>
      </c>
      <c r="C724">
        <v>2031</v>
      </c>
      <c r="D724" t="s">
        <v>18</v>
      </c>
      <c r="E724">
        <v>99.847999999999999</v>
      </c>
      <c r="F724" t="s">
        <v>409</v>
      </c>
    </row>
    <row r="725" spans="1:6" hidden="1" x14ac:dyDescent="0.25">
      <c r="A725" t="s">
        <v>2</v>
      </c>
      <c r="B725" t="s">
        <v>414</v>
      </c>
      <c r="C725">
        <v>2032</v>
      </c>
      <c r="D725" t="s">
        <v>18</v>
      </c>
      <c r="E725">
        <v>88.9360447423349</v>
      </c>
      <c r="F725" t="s">
        <v>409</v>
      </c>
    </row>
    <row r="726" spans="1:6" hidden="1" x14ac:dyDescent="0.25">
      <c r="A726" t="s">
        <v>2</v>
      </c>
      <c r="B726" t="s">
        <v>414</v>
      </c>
      <c r="C726">
        <v>2033</v>
      </c>
      <c r="D726" t="s">
        <v>18</v>
      </c>
      <c r="E726">
        <v>107.33713919856019</v>
      </c>
      <c r="F726" t="s">
        <v>409</v>
      </c>
    </row>
    <row r="727" spans="1:6" hidden="1" x14ac:dyDescent="0.25">
      <c r="A727" t="s">
        <v>2</v>
      </c>
      <c r="B727" t="s">
        <v>414</v>
      </c>
      <c r="C727">
        <v>2034</v>
      </c>
      <c r="D727" t="s">
        <v>18</v>
      </c>
      <c r="E727">
        <v>129.54546702307746</v>
      </c>
      <c r="F727" t="s">
        <v>409</v>
      </c>
    </row>
    <row r="728" spans="1:6" hidden="1" x14ac:dyDescent="0.25">
      <c r="A728" t="s">
        <v>2</v>
      </c>
      <c r="B728" t="s">
        <v>414</v>
      </c>
      <c r="C728">
        <v>2035</v>
      </c>
      <c r="D728" t="s">
        <v>18</v>
      </c>
      <c r="E728">
        <v>156.34875450875035</v>
      </c>
      <c r="F728" t="s">
        <v>409</v>
      </c>
    </row>
    <row r="729" spans="1:6" hidden="1" x14ac:dyDescent="0.25">
      <c r="A729" t="s">
        <v>2</v>
      </c>
      <c r="B729" t="s">
        <v>414</v>
      </c>
      <c r="C729">
        <v>2036</v>
      </c>
      <c r="D729" t="s">
        <v>18</v>
      </c>
      <c r="E729">
        <v>188.69771052724536</v>
      </c>
      <c r="F729" t="s">
        <v>409</v>
      </c>
    </row>
    <row r="730" spans="1:6" hidden="1" x14ac:dyDescent="0.25">
      <c r="A730" t="s">
        <v>2</v>
      </c>
      <c r="B730" t="s">
        <v>414</v>
      </c>
      <c r="C730">
        <v>2037</v>
      </c>
      <c r="D730" t="s">
        <v>18</v>
      </c>
      <c r="E730">
        <v>227.73974804021404</v>
      </c>
      <c r="F730" t="s">
        <v>409</v>
      </c>
    </row>
    <row r="731" spans="1:6" hidden="1" x14ac:dyDescent="0.25">
      <c r="A731" t="s">
        <v>2</v>
      </c>
      <c r="B731" t="s">
        <v>414</v>
      </c>
      <c r="C731">
        <v>2038</v>
      </c>
      <c r="D731" t="s">
        <v>18</v>
      </c>
      <c r="E731">
        <v>274.85968267713315</v>
      </c>
      <c r="F731" t="s">
        <v>409</v>
      </c>
    </row>
    <row r="732" spans="1:6" hidden="1" x14ac:dyDescent="0.25">
      <c r="A732" t="s">
        <v>2</v>
      </c>
      <c r="B732" t="s">
        <v>414</v>
      </c>
      <c r="C732">
        <v>2039</v>
      </c>
      <c r="D732" t="s">
        <v>18</v>
      </c>
      <c r="E732">
        <v>331.72885195268657</v>
      </c>
      <c r="F732" t="s">
        <v>409</v>
      </c>
    </row>
    <row r="733" spans="1:6" hidden="1" x14ac:dyDescent="0.25">
      <c r="A733" t="s">
        <v>2</v>
      </c>
      <c r="B733" t="s">
        <v>414</v>
      </c>
      <c r="C733">
        <v>2040</v>
      </c>
      <c r="D733" t="s">
        <v>18</v>
      </c>
      <c r="E733">
        <v>400.36439737548505</v>
      </c>
      <c r="F733" t="s">
        <v>409</v>
      </c>
    </row>
    <row r="734" spans="1:6" hidden="1" x14ac:dyDescent="0.25">
      <c r="A734" t="s">
        <v>2</v>
      </c>
      <c r="B734" t="s">
        <v>414</v>
      </c>
      <c r="C734" t="s">
        <v>410</v>
      </c>
      <c r="D734" t="s">
        <v>13</v>
      </c>
      <c r="E734">
        <v>119.86023872986424</v>
      </c>
      <c r="F734" t="s">
        <v>409</v>
      </c>
    </row>
    <row r="735" spans="1:6" hidden="1" x14ac:dyDescent="0.25">
      <c r="A735" t="s">
        <v>2</v>
      </c>
      <c r="B735" t="s">
        <v>414</v>
      </c>
      <c r="C735" t="s">
        <v>410</v>
      </c>
      <c r="D735" t="s">
        <v>411</v>
      </c>
      <c r="E735">
        <v>190.70260169196899</v>
      </c>
      <c r="F735" t="s">
        <v>409</v>
      </c>
    </row>
    <row r="736" spans="1:6" hidden="1" x14ac:dyDescent="0.25">
      <c r="A736" t="s">
        <v>2</v>
      </c>
      <c r="B736" t="s">
        <v>414</v>
      </c>
      <c r="C736" t="s">
        <v>410</v>
      </c>
      <c r="D736" t="s">
        <v>412</v>
      </c>
      <c r="E736">
        <v>1716.3234152277219</v>
      </c>
      <c r="F736" t="s">
        <v>409</v>
      </c>
    </row>
    <row r="737" spans="1:6" hidden="1" x14ac:dyDescent="0.25">
      <c r="A737" t="s">
        <v>4</v>
      </c>
      <c r="B737" t="s">
        <v>408</v>
      </c>
      <c r="C737">
        <v>2018</v>
      </c>
      <c r="D737" t="s">
        <v>17</v>
      </c>
      <c r="E737">
        <v>0</v>
      </c>
      <c r="F737" t="s">
        <v>409</v>
      </c>
    </row>
    <row r="738" spans="1:6" hidden="1" x14ac:dyDescent="0.25">
      <c r="A738" t="s">
        <v>4</v>
      </c>
      <c r="B738" t="s">
        <v>408</v>
      </c>
      <c r="C738">
        <v>2019</v>
      </c>
      <c r="D738" t="s">
        <v>17</v>
      </c>
      <c r="E738">
        <v>0</v>
      </c>
      <c r="F738" t="s">
        <v>409</v>
      </c>
    </row>
    <row r="739" spans="1:6" hidden="1" x14ac:dyDescent="0.25">
      <c r="A739" t="s">
        <v>4</v>
      </c>
      <c r="B739" t="s">
        <v>408</v>
      </c>
      <c r="C739">
        <v>2020</v>
      </c>
      <c r="D739" t="s">
        <v>17</v>
      </c>
      <c r="E739">
        <v>0</v>
      </c>
      <c r="F739" t="s">
        <v>409</v>
      </c>
    </row>
    <row r="740" spans="1:6" hidden="1" x14ac:dyDescent="0.25">
      <c r="A740" t="s">
        <v>4</v>
      </c>
      <c r="B740" t="s">
        <v>408</v>
      </c>
      <c r="C740">
        <v>2021</v>
      </c>
      <c r="D740" t="s">
        <v>17</v>
      </c>
      <c r="E740">
        <v>0</v>
      </c>
      <c r="F740" t="s">
        <v>409</v>
      </c>
    </row>
    <row r="741" spans="1:6" hidden="1" x14ac:dyDescent="0.25">
      <c r="A741" t="s">
        <v>4</v>
      </c>
      <c r="B741" t="s">
        <v>408</v>
      </c>
      <c r="C741">
        <v>2022</v>
      </c>
      <c r="D741" t="s">
        <v>17</v>
      </c>
      <c r="E741">
        <v>0</v>
      </c>
      <c r="F741" t="s">
        <v>409</v>
      </c>
    </row>
    <row r="742" spans="1:6" x14ac:dyDescent="0.25">
      <c r="A742" t="s">
        <v>4</v>
      </c>
      <c r="B742" t="s">
        <v>408</v>
      </c>
      <c r="C742">
        <v>2023</v>
      </c>
      <c r="D742" t="s">
        <v>17</v>
      </c>
      <c r="E742">
        <v>0</v>
      </c>
      <c r="F742" t="s">
        <v>409</v>
      </c>
    </row>
    <row r="743" spans="1:6" hidden="1" x14ac:dyDescent="0.25">
      <c r="A743" t="s">
        <v>4</v>
      </c>
      <c r="B743" t="s">
        <v>408</v>
      </c>
      <c r="C743">
        <v>2024</v>
      </c>
      <c r="D743" t="s">
        <v>17</v>
      </c>
      <c r="E743">
        <v>0</v>
      </c>
      <c r="F743" t="s">
        <v>409</v>
      </c>
    </row>
    <row r="744" spans="1:6" hidden="1" x14ac:dyDescent="0.25">
      <c r="A744" t="s">
        <v>4</v>
      </c>
      <c r="B744" t="s">
        <v>408</v>
      </c>
      <c r="C744">
        <v>2025</v>
      </c>
      <c r="D744" t="s">
        <v>17</v>
      </c>
      <c r="E744">
        <v>0</v>
      </c>
      <c r="F744" t="s">
        <v>409</v>
      </c>
    </row>
    <row r="745" spans="1:6" hidden="1" x14ac:dyDescent="0.25">
      <c r="A745" t="s">
        <v>4</v>
      </c>
      <c r="B745" t="s">
        <v>408</v>
      </c>
      <c r="C745">
        <v>2026</v>
      </c>
      <c r="D745" t="s">
        <v>17</v>
      </c>
      <c r="E745">
        <v>0</v>
      </c>
      <c r="F745" t="s">
        <v>409</v>
      </c>
    </row>
    <row r="746" spans="1:6" hidden="1" x14ac:dyDescent="0.25">
      <c r="A746" t="s">
        <v>4</v>
      </c>
      <c r="B746" t="s">
        <v>408</v>
      </c>
      <c r="C746">
        <v>2027</v>
      </c>
      <c r="D746" t="s">
        <v>17</v>
      </c>
      <c r="E746">
        <v>0</v>
      </c>
      <c r="F746" t="s">
        <v>409</v>
      </c>
    </row>
    <row r="747" spans="1:6" hidden="1" x14ac:dyDescent="0.25">
      <c r="A747" t="s">
        <v>4</v>
      </c>
      <c r="B747" t="s">
        <v>408</v>
      </c>
      <c r="C747">
        <v>2028</v>
      </c>
      <c r="D747" t="s">
        <v>17</v>
      </c>
      <c r="E747">
        <v>0</v>
      </c>
      <c r="F747" t="s">
        <v>409</v>
      </c>
    </row>
    <row r="748" spans="1:6" hidden="1" x14ac:dyDescent="0.25">
      <c r="A748" t="s">
        <v>4</v>
      </c>
      <c r="B748" t="s">
        <v>408</v>
      </c>
      <c r="C748">
        <v>2029</v>
      </c>
      <c r="D748" t="s">
        <v>17</v>
      </c>
      <c r="E748">
        <v>0</v>
      </c>
      <c r="F748" t="s">
        <v>409</v>
      </c>
    </row>
    <row r="749" spans="1:6" hidden="1" x14ac:dyDescent="0.25">
      <c r="A749" t="s">
        <v>4</v>
      </c>
      <c r="B749" t="s">
        <v>408</v>
      </c>
      <c r="C749">
        <v>2030</v>
      </c>
      <c r="D749" t="s">
        <v>17</v>
      </c>
      <c r="E749">
        <v>0</v>
      </c>
      <c r="F749" t="s">
        <v>409</v>
      </c>
    </row>
    <row r="750" spans="1:6" hidden="1" x14ac:dyDescent="0.25">
      <c r="A750" t="s">
        <v>4</v>
      </c>
      <c r="B750" t="s">
        <v>408</v>
      </c>
      <c r="C750">
        <v>2031</v>
      </c>
      <c r="D750" t="s">
        <v>17</v>
      </c>
      <c r="E750">
        <v>0</v>
      </c>
      <c r="F750" t="s">
        <v>409</v>
      </c>
    </row>
    <row r="751" spans="1:6" hidden="1" x14ac:dyDescent="0.25">
      <c r="A751" t="s">
        <v>4</v>
      </c>
      <c r="B751" t="s">
        <v>408</v>
      </c>
      <c r="C751">
        <v>2032</v>
      </c>
      <c r="D751" t="s">
        <v>17</v>
      </c>
      <c r="E751">
        <v>0</v>
      </c>
      <c r="F751" t="s">
        <v>409</v>
      </c>
    </row>
    <row r="752" spans="1:6" hidden="1" x14ac:dyDescent="0.25">
      <c r="A752" t="s">
        <v>4</v>
      </c>
      <c r="B752" t="s">
        <v>408</v>
      </c>
      <c r="C752">
        <v>2033</v>
      </c>
      <c r="D752" t="s">
        <v>17</v>
      </c>
      <c r="E752">
        <v>0</v>
      </c>
      <c r="F752" t="s">
        <v>409</v>
      </c>
    </row>
    <row r="753" spans="1:6" hidden="1" x14ac:dyDescent="0.25">
      <c r="A753" t="s">
        <v>4</v>
      </c>
      <c r="B753" t="s">
        <v>408</v>
      </c>
      <c r="C753">
        <v>2034</v>
      </c>
      <c r="D753" t="s">
        <v>17</v>
      </c>
      <c r="E753">
        <v>0</v>
      </c>
      <c r="F753" t="s">
        <v>409</v>
      </c>
    </row>
    <row r="754" spans="1:6" hidden="1" x14ac:dyDescent="0.25">
      <c r="A754" t="s">
        <v>4</v>
      </c>
      <c r="B754" t="s">
        <v>408</v>
      </c>
      <c r="C754">
        <v>2035</v>
      </c>
      <c r="D754" t="s">
        <v>17</v>
      </c>
      <c r="E754">
        <v>0</v>
      </c>
      <c r="F754" t="s">
        <v>409</v>
      </c>
    </row>
    <row r="755" spans="1:6" hidden="1" x14ac:dyDescent="0.25">
      <c r="A755" t="s">
        <v>4</v>
      </c>
      <c r="B755" t="s">
        <v>408</v>
      </c>
      <c r="C755">
        <v>2036</v>
      </c>
      <c r="D755" t="s">
        <v>17</v>
      </c>
      <c r="E755">
        <v>0</v>
      </c>
      <c r="F755" t="s">
        <v>409</v>
      </c>
    </row>
    <row r="756" spans="1:6" hidden="1" x14ac:dyDescent="0.25">
      <c r="A756" t="s">
        <v>4</v>
      </c>
      <c r="B756" t="s">
        <v>408</v>
      </c>
      <c r="C756">
        <v>2037</v>
      </c>
      <c r="D756" t="s">
        <v>17</v>
      </c>
      <c r="E756">
        <v>0</v>
      </c>
      <c r="F756" t="s">
        <v>409</v>
      </c>
    </row>
    <row r="757" spans="1:6" hidden="1" x14ac:dyDescent="0.25">
      <c r="A757" t="s">
        <v>4</v>
      </c>
      <c r="B757" t="s">
        <v>408</v>
      </c>
      <c r="C757">
        <v>2038</v>
      </c>
      <c r="D757" t="s">
        <v>17</v>
      </c>
      <c r="E757">
        <v>0</v>
      </c>
      <c r="F757" t="s">
        <v>409</v>
      </c>
    </row>
    <row r="758" spans="1:6" hidden="1" x14ac:dyDescent="0.25">
      <c r="A758" t="s">
        <v>4</v>
      </c>
      <c r="B758" t="s">
        <v>408</v>
      </c>
      <c r="C758">
        <v>2039</v>
      </c>
      <c r="D758" t="s">
        <v>17</v>
      </c>
      <c r="E758">
        <v>0</v>
      </c>
      <c r="F758" t="s">
        <v>409</v>
      </c>
    </row>
    <row r="759" spans="1:6" hidden="1" x14ac:dyDescent="0.25">
      <c r="A759" t="s">
        <v>4</v>
      </c>
      <c r="B759" t="s">
        <v>408</v>
      </c>
      <c r="C759">
        <v>2040</v>
      </c>
      <c r="D759" t="s">
        <v>17</v>
      </c>
      <c r="E759">
        <v>0</v>
      </c>
      <c r="F759" t="s">
        <v>409</v>
      </c>
    </row>
    <row r="760" spans="1:6" hidden="1" x14ac:dyDescent="0.25">
      <c r="A760" t="s">
        <v>4</v>
      </c>
      <c r="B760" t="s">
        <v>408</v>
      </c>
      <c r="C760">
        <v>2018</v>
      </c>
      <c r="D760" t="s">
        <v>18</v>
      </c>
      <c r="E760">
        <v>0</v>
      </c>
      <c r="F760" t="s">
        <v>409</v>
      </c>
    </row>
    <row r="761" spans="1:6" hidden="1" x14ac:dyDescent="0.25">
      <c r="A761" t="s">
        <v>4</v>
      </c>
      <c r="B761" t="s">
        <v>408</v>
      </c>
      <c r="C761">
        <v>2019</v>
      </c>
      <c r="D761" t="s">
        <v>18</v>
      </c>
      <c r="E761">
        <v>0</v>
      </c>
      <c r="F761" t="s">
        <v>409</v>
      </c>
    </row>
    <row r="762" spans="1:6" hidden="1" x14ac:dyDescent="0.25">
      <c r="A762" t="s">
        <v>4</v>
      </c>
      <c r="B762" t="s">
        <v>408</v>
      </c>
      <c r="C762">
        <v>2020</v>
      </c>
      <c r="D762" t="s">
        <v>18</v>
      </c>
      <c r="E762">
        <v>0</v>
      </c>
      <c r="F762" t="s">
        <v>409</v>
      </c>
    </row>
    <row r="763" spans="1:6" hidden="1" x14ac:dyDescent="0.25">
      <c r="A763" t="s">
        <v>4</v>
      </c>
      <c r="B763" t="s">
        <v>408</v>
      </c>
      <c r="C763">
        <v>2021</v>
      </c>
      <c r="D763" t="s">
        <v>18</v>
      </c>
      <c r="E763">
        <v>0</v>
      </c>
      <c r="F763" t="s">
        <v>409</v>
      </c>
    </row>
    <row r="764" spans="1:6" hidden="1" x14ac:dyDescent="0.25">
      <c r="A764" t="s">
        <v>4</v>
      </c>
      <c r="B764" t="s">
        <v>408</v>
      </c>
      <c r="C764">
        <v>2022</v>
      </c>
      <c r="D764" t="s">
        <v>18</v>
      </c>
      <c r="E764">
        <v>0</v>
      </c>
      <c r="F764" t="s">
        <v>409</v>
      </c>
    </row>
    <row r="765" spans="1:6" x14ac:dyDescent="0.25">
      <c r="A765" t="s">
        <v>4</v>
      </c>
      <c r="B765" t="s">
        <v>408</v>
      </c>
      <c r="C765">
        <v>2023</v>
      </c>
      <c r="D765" t="s">
        <v>18</v>
      </c>
      <c r="E765">
        <v>1.4008889791940259E-3</v>
      </c>
      <c r="F765" t="s">
        <v>409</v>
      </c>
    </row>
    <row r="766" spans="1:6" hidden="1" x14ac:dyDescent="0.25">
      <c r="A766" t="s">
        <v>4</v>
      </c>
      <c r="B766" t="s">
        <v>408</v>
      </c>
      <c r="C766">
        <v>2024</v>
      </c>
      <c r="D766" t="s">
        <v>18</v>
      </c>
      <c r="E766">
        <v>1.9624899320272796E-3</v>
      </c>
      <c r="F766" t="s">
        <v>409</v>
      </c>
    </row>
    <row r="767" spans="1:6" hidden="1" x14ac:dyDescent="0.25">
      <c r="A767" t="s">
        <v>4</v>
      </c>
      <c r="B767" t="s">
        <v>408</v>
      </c>
      <c r="C767">
        <v>2025</v>
      </c>
      <c r="D767" t="s">
        <v>18</v>
      </c>
      <c r="E767">
        <v>2.7492305175562488E-3</v>
      </c>
      <c r="F767" t="s">
        <v>409</v>
      </c>
    </row>
    <row r="768" spans="1:6" hidden="1" x14ac:dyDescent="0.25">
      <c r="A768" t="s">
        <v>4</v>
      </c>
      <c r="B768" t="s">
        <v>408</v>
      </c>
      <c r="C768">
        <v>2026</v>
      </c>
      <c r="D768" t="s">
        <v>18</v>
      </c>
      <c r="E768">
        <v>3.8513667333084363E-3</v>
      </c>
      <c r="F768" t="s">
        <v>409</v>
      </c>
    </row>
    <row r="769" spans="1:6" hidden="1" x14ac:dyDescent="0.25">
      <c r="A769" t="s">
        <v>4</v>
      </c>
      <c r="B769" t="s">
        <v>408</v>
      </c>
      <c r="C769">
        <v>2027</v>
      </c>
      <c r="D769" t="s">
        <v>18</v>
      </c>
      <c r="E769">
        <v>5.3953372115262853E-3</v>
      </c>
      <c r="F769" t="s">
        <v>409</v>
      </c>
    </row>
    <row r="770" spans="1:6" hidden="1" x14ac:dyDescent="0.25">
      <c r="A770" t="s">
        <v>4</v>
      </c>
      <c r="B770" t="s">
        <v>408</v>
      </c>
      <c r="C770">
        <v>2028</v>
      </c>
      <c r="D770" t="s">
        <v>18</v>
      </c>
      <c r="E770">
        <v>7.5582684386625984E-3</v>
      </c>
      <c r="F770" t="s">
        <v>409</v>
      </c>
    </row>
    <row r="771" spans="1:6" hidden="1" x14ac:dyDescent="0.25">
      <c r="A771" t="s">
        <v>4</v>
      </c>
      <c r="B771" t="s">
        <v>408</v>
      </c>
      <c r="C771">
        <v>2029</v>
      </c>
      <c r="D771" t="s">
        <v>18</v>
      </c>
      <c r="E771">
        <v>1.0588294957512472E-2</v>
      </c>
      <c r="F771" t="s">
        <v>409</v>
      </c>
    </row>
    <row r="772" spans="1:6" hidden="1" x14ac:dyDescent="0.25">
      <c r="A772" t="s">
        <v>4</v>
      </c>
      <c r="B772" t="s">
        <v>408</v>
      </c>
      <c r="C772">
        <v>2030</v>
      </c>
      <c r="D772" t="s">
        <v>18</v>
      </c>
      <c r="E772">
        <v>1.4833025714434896E-2</v>
      </c>
      <c r="F772" t="s">
        <v>409</v>
      </c>
    </row>
    <row r="773" spans="1:6" hidden="1" x14ac:dyDescent="0.25">
      <c r="A773" t="s">
        <v>4</v>
      </c>
      <c r="B773" t="s">
        <v>408</v>
      </c>
      <c r="C773">
        <v>2031</v>
      </c>
      <c r="D773" t="s">
        <v>18</v>
      </c>
      <c r="E773">
        <v>2.0779422251453437E-2</v>
      </c>
      <c r="F773" t="s">
        <v>409</v>
      </c>
    </row>
    <row r="774" spans="1:6" hidden="1" x14ac:dyDescent="0.25">
      <c r="A774" t="s">
        <v>4</v>
      </c>
      <c r="B774" t="s">
        <v>408</v>
      </c>
      <c r="C774">
        <v>2032</v>
      </c>
      <c r="D774" t="s">
        <v>18</v>
      </c>
      <c r="E774">
        <v>2.9109663626080227E-2</v>
      </c>
      <c r="F774" t="s">
        <v>409</v>
      </c>
    </row>
    <row r="775" spans="1:6" hidden="1" x14ac:dyDescent="0.25">
      <c r="A775" t="s">
        <v>4</v>
      </c>
      <c r="B775" t="s">
        <v>408</v>
      </c>
      <c r="C775">
        <v>2033</v>
      </c>
      <c r="D775" t="s">
        <v>18</v>
      </c>
      <c r="E775">
        <v>4.0779406961820995E-2</v>
      </c>
      <c r="F775" t="s">
        <v>409</v>
      </c>
    </row>
    <row r="776" spans="1:6" hidden="1" x14ac:dyDescent="0.25">
      <c r="A776" t="s">
        <v>4</v>
      </c>
      <c r="B776" t="s">
        <v>408</v>
      </c>
      <c r="C776">
        <v>2034</v>
      </c>
      <c r="D776" t="s">
        <v>18</v>
      </c>
      <c r="E776">
        <v>5.7127421790883162E-2</v>
      </c>
      <c r="F776" t="s">
        <v>409</v>
      </c>
    </row>
    <row r="777" spans="1:6" hidden="1" x14ac:dyDescent="0.25">
      <c r="A777" t="s">
        <v>4</v>
      </c>
      <c r="B777" t="s">
        <v>408</v>
      </c>
      <c r="C777">
        <v>2035</v>
      </c>
      <c r="D777" t="s">
        <v>18</v>
      </c>
      <c r="E777">
        <v>8.0029175596616847E-2</v>
      </c>
      <c r="F777" t="s">
        <v>409</v>
      </c>
    </row>
    <row r="778" spans="1:6" hidden="1" x14ac:dyDescent="0.25">
      <c r="A778" t="s">
        <v>4</v>
      </c>
      <c r="B778" t="s">
        <v>408</v>
      </c>
      <c r="C778">
        <v>2036</v>
      </c>
      <c r="D778" t="s">
        <v>18</v>
      </c>
      <c r="E778">
        <v>0.11211199010728401</v>
      </c>
      <c r="F778" t="s">
        <v>409</v>
      </c>
    </row>
    <row r="779" spans="1:6" hidden="1" x14ac:dyDescent="0.25">
      <c r="A779" t="s">
        <v>4</v>
      </c>
      <c r="B779" t="s">
        <v>408</v>
      </c>
      <c r="C779">
        <v>2037</v>
      </c>
      <c r="D779" t="s">
        <v>18</v>
      </c>
      <c r="E779">
        <v>0.15705645137680382</v>
      </c>
      <c r="F779" t="s">
        <v>409</v>
      </c>
    </row>
    <row r="780" spans="1:6" hidden="1" x14ac:dyDescent="0.25">
      <c r="A780" t="s">
        <v>4</v>
      </c>
      <c r="B780" t="s">
        <v>408</v>
      </c>
      <c r="C780">
        <v>2038</v>
      </c>
      <c r="D780" t="s">
        <v>18</v>
      </c>
      <c r="E780">
        <v>0.22001865184508684</v>
      </c>
      <c r="F780" t="s">
        <v>409</v>
      </c>
    </row>
    <row r="781" spans="1:6" hidden="1" x14ac:dyDescent="0.25">
      <c r="A781" t="s">
        <v>4</v>
      </c>
      <c r="B781" t="s">
        <v>408</v>
      </c>
      <c r="C781">
        <v>2039</v>
      </c>
      <c r="D781" t="s">
        <v>18</v>
      </c>
      <c r="E781">
        <v>0.30822170458690951</v>
      </c>
      <c r="F781" t="s">
        <v>409</v>
      </c>
    </row>
    <row r="782" spans="1:6" hidden="1" x14ac:dyDescent="0.25">
      <c r="A782" t="s">
        <v>4</v>
      </c>
      <c r="B782" t="s">
        <v>408</v>
      </c>
      <c r="C782">
        <v>2040</v>
      </c>
      <c r="D782" t="s">
        <v>18</v>
      </c>
      <c r="E782">
        <v>0.4317843891041982</v>
      </c>
      <c r="F782" t="s">
        <v>409</v>
      </c>
    </row>
    <row r="783" spans="1:6" hidden="1" x14ac:dyDescent="0.25">
      <c r="A783" t="s">
        <v>4</v>
      </c>
      <c r="B783" t="s">
        <v>408</v>
      </c>
      <c r="C783" t="s">
        <v>410</v>
      </c>
      <c r="D783" t="s">
        <v>13</v>
      </c>
      <c r="E783">
        <v>1.3784615384615384</v>
      </c>
      <c r="F783" t="s">
        <v>409</v>
      </c>
    </row>
    <row r="784" spans="1:6" hidden="1" x14ac:dyDescent="0.25">
      <c r="A784" t="s">
        <v>4</v>
      </c>
      <c r="B784" t="s">
        <v>408</v>
      </c>
      <c r="C784" t="s">
        <v>410</v>
      </c>
      <c r="D784" t="s">
        <v>411</v>
      </c>
      <c r="E784">
        <v>1.3292307692307692</v>
      </c>
      <c r="F784" t="s">
        <v>409</v>
      </c>
    </row>
    <row r="785" spans="1:6" hidden="1" x14ac:dyDescent="0.25">
      <c r="A785" t="s">
        <v>4</v>
      </c>
      <c r="B785" t="s">
        <v>408</v>
      </c>
      <c r="C785" t="s">
        <v>410</v>
      </c>
      <c r="D785" t="s">
        <v>412</v>
      </c>
      <c r="E785">
        <v>11.963076923076924</v>
      </c>
      <c r="F785" t="s">
        <v>409</v>
      </c>
    </row>
    <row r="786" spans="1:6" hidden="1" x14ac:dyDescent="0.25">
      <c r="A786" t="s">
        <v>4</v>
      </c>
      <c r="B786" t="s">
        <v>413</v>
      </c>
      <c r="C786">
        <v>2018</v>
      </c>
      <c r="D786" t="s">
        <v>17</v>
      </c>
      <c r="E786">
        <v>0</v>
      </c>
      <c r="F786" t="s">
        <v>409</v>
      </c>
    </row>
    <row r="787" spans="1:6" hidden="1" x14ac:dyDescent="0.25">
      <c r="A787" t="s">
        <v>4</v>
      </c>
      <c r="B787" t="s">
        <v>413</v>
      </c>
      <c r="C787">
        <v>2019</v>
      </c>
      <c r="D787" t="s">
        <v>17</v>
      </c>
      <c r="E787">
        <v>0</v>
      </c>
      <c r="F787" t="s">
        <v>409</v>
      </c>
    </row>
    <row r="788" spans="1:6" hidden="1" x14ac:dyDescent="0.25">
      <c r="A788" t="s">
        <v>4</v>
      </c>
      <c r="B788" t="s">
        <v>413</v>
      </c>
      <c r="C788">
        <v>2020</v>
      </c>
      <c r="D788" t="s">
        <v>17</v>
      </c>
      <c r="E788">
        <v>0</v>
      </c>
      <c r="F788" t="s">
        <v>409</v>
      </c>
    </row>
    <row r="789" spans="1:6" hidden="1" x14ac:dyDescent="0.25">
      <c r="A789" t="s">
        <v>4</v>
      </c>
      <c r="B789" t="s">
        <v>413</v>
      </c>
      <c r="C789">
        <v>2021</v>
      </c>
      <c r="D789" t="s">
        <v>17</v>
      </c>
      <c r="E789">
        <v>0</v>
      </c>
      <c r="F789" t="s">
        <v>409</v>
      </c>
    </row>
    <row r="790" spans="1:6" hidden="1" x14ac:dyDescent="0.25">
      <c r="A790" t="s">
        <v>4</v>
      </c>
      <c r="B790" t="s">
        <v>413</v>
      </c>
      <c r="C790">
        <v>2022</v>
      </c>
      <c r="D790" t="s">
        <v>17</v>
      </c>
      <c r="E790">
        <v>0</v>
      </c>
      <c r="F790" t="s">
        <v>409</v>
      </c>
    </row>
    <row r="791" spans="1:6" hidden="1" x14ac:dyDescent="0.25">
      <c r="A791" t="s">
        <v>4</v>
      </c>
      <c r="B791" t="s">
        <v>413</v>
      </c>
      <c r="C791">
        <v>2023</v>
      </c>
      <c r="D791" t="s">
        <v>17</v>
      </c>
      <c r="E791">
        <v>0</v>
      </c>
      <c r="F791" t="s">
        <v>409</v>
      </c>
    </row>
    <row r="792" spans="1:6" hidden="1" x14ac:dyDescent="0.25">
      <c r="A792" t="s">
        <v>4</v>
      </c>
      <c r="B792" t="s">
        <v>413</v>
      </c>
      <c r="C792">
        <v>2024</v>
      </c>
      <c r="D792" t="s">
        <v>17</v>
      </c>
      <c r="E792">
        <v>0</v>
      </c>
      <c r="F792" t="s">
        <v>409</v>
      </c>
    </row>
    <row r="793" spans="1:6" hidden="1" x14ac:dyDescent="0.25">
      <c r="A793" t="s">
        <v>4</v>
      </c>
      <c r="B793" t="s">
        <v>413</v>
      </c>
      <c r="C793">
        <v>2025</v>
      </c>
      <c r="D793" t="s">
        <v>17</v>
      </c>
      <c r="E793">
        <v>0</v>
      </c>
      <c r="F793" t="s">
        <v>409</v>
      </c>
    </row>
    <row r="794" spans="1:6" hidden="1" x14ac:dyDescent="0.25">
      <c r="A794" t="s">
        <v>4</v>
      </c>
      <c r="B794" t="s">
        <v>413</v>
      </c>
      <c r="C794">
        <v>2026</v>
      </c>
      <c r="D794" t="s">
        <v>17</v>
      </c>
      <c r="E794">
        <v>0</v>
      </c>
      <c r="F794" t="s">
        <v>409</v>
      </c>
    </row>
    <row r="795" spans="1:6" hidden="1" x14ac:dyDescent="0.25">
      <c r="A795" t="s">
        <v>4</v>
      </c>
      <c r="B795" t="s">
        <v>413</v>
      </c>
      <c r="C795">
        <v>2027</v>
      </c>
      <c r="D795" t="s">
        <v>17</v>
      </c>
      <c r="E795">
        <v>0</v>
      </c>
      <c r="F795" t="s">
        <v>409</v>
      </c>
    </row>
    <row r="796" spans="1:6" hidden="1" x14ac:dyDescent="0.25">
      <c r="A796" t="s">
        <v>4</v>
      </c>
      <c r="B796" t="s">
        <v>413</v>
      </c>
      <c r="C796">
        <v>2028</v>
      </c>
      <c r="D796" t="s">
        <v>17</v>
      </c>
      <c r="E796">
        <v>0</v>
      </c>
      <c r="F796" t="s">
        <v>409</v>
      </c>
    </row>
    <row r="797" spans="1:6" hidden="1" x14ac:dyDescent="0.25">
      <c r="A797" t="s">
        <v>4</v>
      </c>
      <c r="B797" t="s">
        <v>413</v>
      </c>
      <c r="C797">
        <v>2029</v>
      </c>
      <c r="D797" t="s">
        <v>17</v>
      </c>
      <c r="E797">
        <v>0</v>
      </c>
      <c r="F797" t="s">
        <v>409</v>
      </c>
    </row>
    <row r="798" spans="1:6" hidden="1" x14ac:dyDescent="0.25">
      <c r="A798" t="s">
        <v>4</v>
      </c>
      <c r="B798" t="s">
        <v>413</v>
      </c>
      <c r="C798">
        <v>2030</v>
      </c>
      <c r="D798" t="s">
        <v>17</v>
      </c>
      <c r="E798">
        <v>0</v>
      </c>
      <c r="F798" t="s">
        <v>409</v>
      </c>
    </row>
    <row r="799" spans="1:6" hidden="1" x14ac:dyDescent="0.25">
      <c r="A799" t="s">
        <v>4</v>
      </c>
      <c r="B799" t="s">
        <v>413</v>
      </c>
      <c r="C799">
        <v>2031</v>
      </c>
      <c r="D799" t="s">
        <v>17</v>
      </c>
      <c r="E799">
        <v>0</v>
      </c>
      <c r="F799" t="s">
        <v>409</v>
      </c>
    </row>
    <row r="800" spans="1:6" hidden="1" x14ac:dyDescent="0.25">
      <c r="A800" t="s">
        <v>4</v>
      </c>
      <c r="B800" t="s">
        <v>413</v>
      </c>
      <c r="C800">
        <v>2032</v>
      </c>
      <c r="D800" t="s">
        <v>17</v>
      </c>
      <c r="E800">
        <v>0</v>
      </c>
      <c r="F800" t="s">
        <v>409</v>
      </c>
    </row>
    <row r="801" spans="1:6" hidden="1" x14ac:dyDescent="0.25">
      <c r="A801" t="s">
        <v>4</v>
      </c>
      <c r="B801" t="s">
        <v>413</v>
      </c>
      <c r="C801">
        <v>2033</v>
      </c>
      <c r="D801" t="s">
        <v>17</v>
      </c>
      <c r="E801">
        <v>0</v>
      </c>
      <c r="F801" t="s">
        <v>409</v>
      </c>
    </row>
    <row r="802" spans="1:6" hidden="1" x14ac:dyDescent="0.25">
      <c r="A802" t="s">
        <v>4</v>
      </c>
      <c r="B802" t="s">
        <v>413</v>
      </c>
      <c r="C802">
        <v>2034</v>
      </c>
      <c r="D802" t="s">
        <v>17</v>
      </c>
      <c r="E802">
        <v>0</v>
      </c>
      <c r="F802" t="s">
        <v>409</v>
      </c>
    </row>
    <row r="803" spans="1:6" hidden="1" x14ac:dyDescent="0.25">
      <c r="A803" t="s">
        <v>4</v>
      </c>
      <c r="B803" t="s">
        <v>413</v>
      </c>
      <c r="C803">
        <v>2035</v>
      </c>
      <c r="D803" t="s">
        <v>17</v>
      </c>
      <c r="E803">
        <v>0</v>
      </c>
      <c r="F803" t="s">
        <v>409</v>
      </c>
    </row>
    <row r="804" spans="1:6" hidden="1" x14ac:dyDescent="0.25">
      <c r="A804" t="s">
        <v>4</v>
      </c>
      <c r="B804" t="s">
        <v>413</v>
      </c>
      <c r="C804">
        <v>2036</v>
      </c>
      <c r="D804" t="s">
        <v>17</v>
      </c>
      <c r="E804">
        <v>0</v>
      </c>
      <c r="F804" t="s">
        <v>409</v>
      </c>
    </row>
    <row r="805" spans="1:6" hidden="1" x14ac:dyDescent="0.25">
      <c r="A805" t="s">
        <v>4</v>
      </c>
      <c r="B805" t="s">
        <v>413</v>
      </c>
      <c r="C805">
        <v>2037</v>
      </c>
      <c r="D805" t="s">
        <v>17</v>
      </c>
      <c r="E805">
        <v>0</v>
      </c>
      <c r="F805" t="s">
        <v>409</v>
      </c>
    </row>
    <row r="806" spans="1:6" hidden="1" x14ac:dyDescent="0.25">
      <c r="A806" t="s">
        <v>4</v>
      </c>
      <c r="B806" t="s">
        <v>413</v>
      </c>
      <c r="C806">
        <v>2038</v>
      </c>
      <c r="D806" t="s">
        <v>17</v>
      </c>
      <c r="E806">
        <v>0</v>
      </c>
      <c r="F806" t="s">
        <v>409</v>
      </c>
    </row>
    <row r="807" spans="1:6" hidden="1" x14ac:dyDescent="0.25">
      <c r="A807" t="s">
        <v>4</v>
      </c>
      <c r="B807" t="s">
        <v>413</v>
      </c>
      <c r="C807">
        <v>2039</v>
      </c>
      <c r="D807" t="s">
        <v>17</v>
      </c>
      <c r="E807">
        <v>0</v>
      </c>
      <c r="F807" t="s">
        <v>409</v>
      </c>
    </row>
    <row r="808" spans="1:6" hidden="1" x14ac:dyDescent="0.25">
      <c r="A808" t="s">
        <v>4</v>
      </c>
      <c r="B808" t="s">
        <v>413</v>
      </c>
      <c r="C808">
        <v>2040</v>
      </c>
      <c r="D808" t="s">
        <v>17</v>
      </c>
      <c r="E808">
        <v>0</v>
      </c>
      <c r="F808" t="s">
        <v>409</v>
      </c>
    </row>
    <row r="809" spans="1:6" hidden="1" x14ac:dyDescent="0.25">
      <c r="A809" t="s">
        <v>4</v>
      </c>
      <c r="B809" t="s">
        <v>413</v>
      </c>
      <c r="C809">
        <v>2018</v>
      </c>
      <c r="D809" t="s">
        <v>18</v>
      </c>
      <c r="E809">
        <v>0</v>
      </c>
      <c r="F809" t="s">
        <v>409</v>
      </c>
    </row>
    <row r="810" spans="1:6" hidden="1" x14ac:dyDescent="0.25">
      <c r="A810" t="s">
        <v>4</v>
      </c>
      <c r="B810" t="s">
        <v>413</v>
      </c>
      <c r="C810">
        <v>2019</v>
      </c>
      <c r="D810" t="s">
        <v>18</v>
      </c>
      <c r="E810">
        <v>0</v>
      </c>
      <c r="F810" t="s">
        <v>409</v>
      </c>
    </row>
    <row r="811" spans="1:6" hidden="1" x14ac:dyDescent="0.25">
      <c r="A811" t="s">
        <v>4</v>
      </c>
      <c r="B811" t="s">
        <v>413</v>
      </c>
      <c r="C811">
        <v>2020</v>
      </c>
      <c r="D811" t="s">
        <v>18</v>
      </c>
      <c r="E811">
        <v>0</v>
      </c>
      <c r="F811" t="s">
        <v>409</v>
      </c>
    </row>
    <row r="812" spans="1:6" hidden="1" x14ac:dyDescent="0.25">
      <c r="A812" t="s">
        <v>4</v>
      </c>
      <c r="B812" t="s">
        <v>413</v>
      </c>
      <c r="C812">
        <v>2021</v>
      </c>
      <c r="D812" t="s">
        <v>18</v>
      </c>
      <c r="E812">
        <v>0</v>
      </c>
      <c r="F812" t="s">
        <v>409</v>
      </c>
    </row>
    <row r="813" spans="1:6" hidden="1" x14ac:dyDescent="0.25">
      <c r="A813" t="s">
        <v>4</v>
      </c>
      <c r="B813" t="s">
        <v>413</v>
      </c>
      <c r="C813">
        <v>2022</v>
      </c>
      <c r="D813" t="s">
        <v>18</v>
      </c>
      <c r="E813">
        <v>0</v>
      </c>
      <c r="F813" t="s">
        <v>409</v>
      </c>
    </row>
    <row r="814" spans="1:6" hidden="1" x14ac:dyDescent="0.25">
      <c r="A814" t="s">
        <v>4</v>
      </c>
      <c r="B814" t="s">
        <v>413</v>
      </c>
      <c r="C814">
        <v>2023</v>
      </c>
      <c r="D814" t="s">
        <v>18</v>
      </c>
      <c r="E814">
        <v>1.4008889791940259E-3</v>
      </c>
      <c r="F814" t="s">
        <v>409</v>
      </c>
    </row>
    <row r="815" spans="1:6" hidden="1" x14ac:dyDescent="0.25">
      <c r="A815" t="s">
        <v>4</v>
      </c>
      <c r="B815" t="s">
        <v>413</v>
      </c>
      <c r="C815">
        <v>2024</v>
      </c>
      <c r="D815" t="s">
        <v>18</v>
      </c>
      <c r="E815">
        <v>1.9624899320272796E-3</v>
      </c>
      <c r="F815" t="s">
        <v>409</v>
      </c>
    </row>
    <row r="816" spans="1:6" hidden="1" x14ac:dyDescent="0.25">
      <c r="A816" t="s">
        <v>4</v>
      </c>
      <c r="B816" t="s">
        <v>413</v>
      </c>
      <c r="C816">
        <v>2025</v>
      </c>
      <c r="D816" t="s">
        <v>18</v>
      </c>
      <c r="E816">
        <v>2.7492305175562488E-3</v>
      </c>
      <c r="F816" t="s">
        <v>409</v>
      </c>
    </row>
    <row r="817" spans="1:6" hidden="1" x14ac:dyDescent="0.25">
      <c r="A817" t="s">
        <v>4</v>
      </c>
      <c r="B817" t="s">
        <v>413</v>
      </c>
      <c r="C817">
        <v>2026</v>
      </c>
      <c r="D817" t="s">
        <v>18</v>
      </c>
      <c r="E817">
        <v>3.8513667333084363E-3</v>
      </c>
      <c r="F817" t="s">
        <v>409</v>
      </c>
    </row>
    <row r="818" spans="1:6" hidden="1" x14ac:dyDescent="0.25">
      <c r="A818" t="s">
        <v>4</v>
      </c>
      <c r="B818" t="s">
        <v>413</v>
      </c>
      <c r="C818">
        <v>2027</v>
      </c>
      <c r="D818" t="s">
        <v>18</v>
      </c>
      <c r="E818">
        <v>5.3953372115262853E-3</v>
      </c>
      <c r="F818" t="s">
        <v>409</v>
      </c>
    </row>
    <row r="819" spans="1:6" hidden="1" x14ac:dyDescent="0.25">
      <c r="A819" t="s">
        <v>4</v>
      </c>
      <c r="B819" t="s">
        <v>413</v>
      </c>
      <c r="C819">
        <v>2028</v>
      </c>
      <c r="D819" t="s">
        <v>18</v>
      </c>
      <c r="E819">
        <v>7.5582684386625984E-3</v>
      </c>
      <c r="F819" t="s">
        <v>409</v>
      </c>
    </row>
    <row r="820" spans="1:6" hidden="1" x14ac:dyDescent="0.25">
      <c r="A820" t="s">
        <v>4</v>
      </c>
      <c r="B820" t="s">
        <v>413</v>
      </c>
      <c r="C820">
        <v>2029</v>
      </c>
      <c r="D820" t="s">
        <v>18</v>
      </c>
      <c r="E820">
        <v>1.0588294957512472E-2</v>
      </c>
      <c r="F820" t="s">
        <v>409</v>
      </c>
    </row>
    <row r="821" spans="1:6" hidden="1" x14ac:dyDescent="0.25">
      <c r="A821" t="s">
        <v>4</v>
      </c>
      <c r="B821" t="s">
        <v>413</v>
      </c>
      <c r="C821">
        <v>2030</v>
      </c>
      <c r="D821" t="s">
        <v>18</v>
      </c>
      <c r="E821">
        <v>1.4833025714434896E-2</v>
      </c>
      <c r="F821" t="s">
        <v>409</v>
      </c>
    </row>
    <row r="822" spans="1:6" hidden="1" x14ac:dyDescent="0.25">
      <c r="A822" t="s">
        <v>4</v>
      </c>
      <c r="B822" t="s">
        <v>413</v>
      </c>
      <c r="C822">
        <v>2031</v>
      </c>
      <c r="D822" t="s">
        <v>18</v>
      </c>
      <c r="E822">
        <v>2.0779422251453437E-2</v>
      </c>
      <c r="F822" t="s">
        <v>409</v>
      </c>
    </row>
    <row r="823" spans="1:6" hidden="1" x14ac:dyDescent="0.25">
      <c r="A823" t="s">
        <v>4</v>
      </c>
      <c r="B823" t="s">
        <v>413</v>
      </c>
      <c r="C823">
        <v>2032</v>
      </c>
      <c r="D823" t="s">
        <v>18</v>
      </c>
      <c r="E823">
        <v>2.9109663626080227E-2</v>
      </c>
      <c r="F823" t="s">
        <v>409</v>
      </c>
    </row>
    <row r="824" spans="1:6" hidden="1" x14ac:dyDescent="0.25">
      <c r="A824" t="s">
        <v>4</v>
      </c>
      <c r="B824" t="s">
        <v>413</v>
      </c>
      <c r="C824">
        <v>2033</v>
      </c>
      <c r="D824" t="s">
        <v>18</v>
      </c>
      <c r="E824">
        <v>4.0779406961820995E-2</v>
      </c>
      <c r="F824" t="s">
        <v>409</v>
      </c>
    </row>
    <row r="825" spans="1:6" hidden="1" x14ac:dyDescent="0.25">
      <c r="A825" t="s">
        <v>4</v>
      </c>
      <c r="B825" t="s">
        <v>413</v>
      </c>
      <c r="C825">
        <v>2034</v>
      </c>
      <c r="D825" t="s">
        <v>18</v>
      </c>
      <c r="E825">
        <v>5.7127421790883162E-2</v>
      </c>
      <c r="F825" t="s">
        <v>409</v>
      </c>
    </row>
    <row r="826" spans="1:6" hidden="1" x14ac:dyDescent="0.25">
      <c r="A826" t="s">
        <v>4</v>
      </c>
      <c r="B826" t="s">
        <v>413</v>
      </c>
      <c r="C826">
        <v>2035</v>
      </c>
      <c r="D826" t="s">
        <v>18</v>
      </c>
      <c r="E826">
        <v>8.0029175596616847E-2</v>
      </c>
      <c r="F826" t="s">
        <v>409</v>
      </c>
    </row>
    <row r="827" spans="1:6" hidden="1" x14ac:dyDescent="0.25">
      <c r="A827" t="s">
        <v>4</v>
      </c>
      <c r="B827" t="s">
        <v>413</v>
      </c>
      <c r="C827">
        <v>2036</v>
      </c>
      <c r="D827" t="s">
        <v>18</v>
      </c>
      <c r="E827">
        <v>0.11211199010728401</v>
      </c>
      <c r="F827" t="s">
        <v>409</v>
      </c>
    </row>
    <row r="828" spans="1:6" hidden="1" x14ac:dyDescent="0.25">
      <c r="A828" t="s">
        <v>4</v>
      </c>
      <c r="B828" t="s">
        <v>413</v>
      </c>
      <c r="C828">
        <v>2037</v>
      </c>
      <c r="D828" t="s">
        <v>18</v>
      </c>
      <c r="E828">
        <v>0.15705645137680382</v>
      </c>
      <c r="F828" t="s">
        <v>409</v>
      </c>
    </row>
    <row r="829" spans="1:6" hidden="1" x14ac:dyDescent="0.25">
      <c r="A829" t="s">
        <v>4</v>
      </c>
      <c r="B829" t="s">
        <v>413</v>
      </c>
      <c r="C829">
        <v>2038</v>
      </c>
      <c r="D829" t="s">
        <v>18</v>
      </c>
      <c r="E829">
        <v>0.22001865184508684</v>
      </c>
      <c r="F829" t="s">
        <v>409</v>
      </c>
    </row>
    <row r="830" spans="1:6" hidden="1" x14ac:dyDescent="0.25">
      <c r="A830" t="s">
        <v>4</v>
      </c>
      <c r="B830" t="s">
        <v>413</v>
      </c>
      <c r="C830">
        <v>2039</v>
      </c>
      <c r="D830" t="s">
        <v>18</v>
      </c>
      <c r="E830">
        <v>0.30822170458690951</v>
      </c>
      <c r="F830" t="s">
        <v>409</v>
      </c>
    </row>
    <row r="831" spans="1:6" hidden="1" x14ac:dyDescent="0.25">
      <c r="A831" t="s">
        <v>4</v>
      </c>
      <c r="B831" t="s">
        <v>413</v>
      </c>
      <c r="C831">
        <v>2040</v>
      </c>
      <c r="D831" t="s">
        <v>18</v>
      </c>
      <c r="E831">
        <v>0.4317843891041982</v>
      </c>
      <c r="F831" t="s">
        <v>409</v>
      </c>
    </row>
    <row r="832" spans="1:6" hidden="1" x14ac:dyDescent="0.25">
      <c r="A832" t="s">
        <v>4</v>
      </c>
      <c r="B832" t="s">
        <v>413</v>
      </c>
      <c r="C832" t="s">
        <v>410</v>
      </c>
      <c r="D832" t="s">
        <v>13</v>
      </c>
      <c r="E832">
        <v>1.3784615384615384</v>
      </c>
      <c r="F832" t="s">
        <v>409</v>
      </c>
    </row>
    <row r="833" spans="1:6" hidden="1" x14ac:dyDescent="0.25">
      <c r="A833" t="s">
        <v>4</v>
      </c>
      <c r="B833" t="s">
        <v>413</v>
      </c>
      <c r="C833" t="s">
        <v>410</v>
      </c>
      <c r="D833" t="s">
        <v>411</v>
      </c>
      <c r="E833">
        <v>2.2862769230769242</v>
      </c>
      <c r="F833" t="s">
        <v>409</v>
      </c>
    </row>
    <row r="834" spans="1:6" hidden="1" x14ac:dyDescent="0.25">
      <c r="A834" t="s">
        <v>4</v>
      </c>
      <c r="B834" t="s">
        <v>413</v>
      </c>
      <c r="C834" t="s">
        <v>410</v>
      </c>
      <c r="D834" t="s">
        <v>412</v>
      </c>
      <c r="E834">
        <v>11.006030769230769</v>
      </c>
      <c r="F834" t="s">
        <v>409</v>
      </c>
    </row>
    <row r="835" spans="1:6" hidden="1" x14ac:dyDescent="0.25">
      <c r="A835" t="s">
        <v>4</v>
      </c>
      <c r="B835" t="s">
        <v>414</v>
      </c>
      <c r="C835">
        <v>2018</v>
      </c>
      <c r="D835" t="s">
        <v>17</v>
      </c>
      <c r="E835">
        <v>0</v>
      </c>
      <c r="F835" t="s">
        <v>409</v>
      </c>
    </row>
    <row r="836" spans="1:6" hidden="1" x14ac:dyDescent="0.25">
      <c r="A836" t="s">
        <v>4</v>
      </c>
      <c r="B836" t="s">
        <v>414</v>
      </c>
      <c r="C836">
        <v>2019</v>
      </c>
      <c r="D836" t="s">
        <v>17</v>
      </c>
      <c r="E836">
        <v>0</v>
      </c>
      <c r="F836" t="s">
        <v>409</v>
      </c>
    </row>
    <row r="837" spans="1:6" hidden="1" x14ac:dyDescent="0.25">
      <c r="A837" t="s">
        <v>4</v>
      </c>
      <c r="B837" t="s">
        <v>414</v>
      </c>
      <c r="C837">
        <v>2020</v>
      </c>
      <c r="D837" t="s">
        <v>17</v>
      </c>
      <c r="E837">
        <v>0</v>
      </c>
      <c r="F837" t="s">
        <v>409</v>
      </c>
    </row>
    <row r="838" spans="1:6" hidden="1" x14ac:dyDescent="0.25">
      <c r="A838" t="s">
        <v>4</v>
      </c>
      <c r="B838" t="s">
        <v>414</v>
      </c>
      <c r="C838">
        <v>2021</v>
      </c>
      <c r="D838" t="s">
        <v>17</v>
      </c>
      <c r="E838">
        <v>0</v>
      </c>
      <c r="F838" t="s">
        <v>409</v>
      </c>
    </row>
    <row r="839" spans="1:6" hidden="1" x14ac:dyDescent="0.25">
      <c r="A839" t="s">
        <v>4</v>
      </c>
      <c r="B839" t="s">
        <v>414</v>
      </c>
      <c r="C839">
        <v>2022</v>
      </c>
      <c r="D839" t="s">
        <v>17</v>
      </c>
      <c r="E839">
        <v>0</v>
      </c>
      <c r="F839" t="s">
        <v>409</v>
      </c>
    </row>
    <row r="840" spans="1:6" hidden="1" x14ac:dyDescent="0.25">
      <c r="A840" t="s">
        <v>4</v>
      </c>
      <c r="B840" t="s">
        <v>414</v>
      </c>
      <c r="C840">
        <v>2023</v>
      </c>
      <c r="D840" t="s">
        <v>17</v>
      </c>
      <c r="E840">
        <v>0</v>
      </c>
      <c r="F840" t="s">
        <v>409</v>
      </c>
    </row>
    <row r="841" spans="1:6" hidden="1" x14ac:dyDescent="0.25">
      <c r="A841" t="s">
        <v>4</v>
      </c>
      <c r="B841" t="s">
        <v>414</v>
      </c>
      <c r="C841">
        <v>2024</v>
      </c>
      <c r="D841" t="s">
        <v>17</v>
      </c>
      <c r="E841">
        <v>0</v>
      </c>
      <c r="F841" t="s">
        <v>409</v>
      </c>
    </row>
    <row r="842" spans="1:6" hidden="1" x14ac:dyDescent="0.25">
      <c r="A842" t="s">
        <v>4</v>
      </c>
      <c r="B842" t="s">
        <v>414</v>
      </c>
      <c r="C842">
        <v>2025</v>
      </c>
      <c r="D842" t="s">
        <v>17</v>
      </c>
      <c r="E842">
        <v>0</v>
      </c>
      <c r="F842" t="s">
        <v>409</v>
      </c>
    </row>
    <row r="843" spans="1:6" hidden="1" x14ac:dyDescent="0.25">
      <c r="A843" t="s">
        <v>4</v>
      </c>
      <c r="B843" t="s">
        <v>414</v>
      </c>
      <c r="C843">
        <v>2026</v>
      </c>
      <c r="D843" t="s">
        <v>17</v>
      </c>
      <c r="E843">
        <v>0</v>
      </c>
      <c r="F843" t="s">
        <v>409</v>
      </c>
    </row>
    <row r="844" spans="1:6" hidden="1" x14ac:dyDescent="0.25">
      <c r="A844" t="s">
        <v>4</v>
      </c>
      <c r="B844" t="s">
        <v>414</v>
      </c>
      <c r="C844">
        <v>2027</v>
      </c>
      <c r="D844" t="s">
        <v>17</v>
      </c>
      <c r="E844">
        <v>0</v>
      </c>
      <c r="F844" t="s">
        <v>409</v>
      </c>
    </row>
    <row r="845" spans="1:6" hidden="1" x14ac:dyDescent="0.25">
      <c r="A845" t="s">
        <v>4</v>
      </c>
      <c r="B845" t="s">
        <v>414</v>
      </c>
      <c r="C845">
        <v>2028</v>
      </c>
      <c r="D845" t="s">
        <v>17</v>
      </c>
      <c r="E845">
        <v>0</v>
      </c>
      <c r="F845" t="s">
        <v>409</v>
      </c>
    </row>
    <row r="846" spans="1:6" hidden="1" x14ac:dyDescent="0.25">
      <c r="A846" t="s">
        <v>4</v>
      </c>
      <c r="B846" t="s">
        <v>414</v>
      </c>
      <c r="C846">
        <v>2029</v>
      </c>
      <c r="D846" t="s">
        <v>17</v>
      </c>
      <c r="E846">
        <v>0</v>
      </c>
      <c r="F846" t="s">
        <v>409</v>
      </c>
    </row>
    <row r="847" spans="1:6" hidden="1" x14ac:dyDescent="0.25">
      <c r="A847" t="s">
        <v>4</v>
      </c>
      <c r="B847" t="s">
        <v>414</v>
      </c>
      <c r="C847">
        <v>2030</v>
      </c>
      <c r="D847" t="s">
        <v>17</v>
      </c>
      <c r="E847">
        <v>0</v>
      </c>
      <c r="F847" t="s">
        <v>409</v>
      </c>
    </row>
    <row r="848" spans="1:6" hidden="1" x14ac:dyDescent="0.25">
      <c r="A848" t="s">
        <v>4</v>
      </c>
      <c r="B848" t="s">
        <v>414</v>
      </c>
      <c r="C848">
        <v>2031</v>
      </c>
      <c r="D848" t="s">
        <v>17</v>
      </c>
      <c r="E848">
        <v>0</v>
      </c>
      <c r="F848" t="s">
        <v>409</v>
      </c>
    </row>
    <row r="849" spans="1:6" hidden="1" x14ac:dyDescent="0.25">
      <c r="A849" t="s">
        <v>4</v>
      </c>
      <c r="B849" t="s">
        <v>414</v>
      </c>
      <c r="C849">
        <v>2032</v>
      </c>
      <c r="D849" t="s">
        <v>17</v>
      </c>
      <c r="E849">
        <v>0</v>
      </c>
      <c r="F849" t="s">
        <v>409</v>
      </c>
    </row>
    <row r="850" spans="1:6" hidden="1" x14ac:dyDescent="0.25">
      <c r="A850" t="s">
        <v>4</v>
      </c>
      <c r="B850" t="s">
        <v>414</v>
      </c>
      <c r="C850">
        <v>2033</v>
      </c>
      <c r="D850" t="s">
        <v>17</v>
      </c>
      <c r="E850">
        <v>0</v>
      </c>
      <c r="F850" t="s">
        <v>409</v>
      </c>
    </row>
    <row r="851" spans="1:6" hidden="1" x14ac:dyDescent="0.25">
      <c r="A851" t="s">
        <v>4</v>
      </c>
      <c r="B851" t="s">
        <v>414</v>
      </c>
      <c r="C851">
        <v>2034</v>
      </c>
      <c r="D851" t="s">
        <v>17</v>
      </c>
      <c r="E851">
        <v>0</v>
      </c>
      <c r="F851" t="s">
        <v>409</v>
      </c>
    </row>
    <row r="852" spans="1:6" hidden="1" x14ac:dyDescent="0.25">
      <c r="A852" t="s">
        <v>4</v>
      </c>
      <c r="B852" t="s">
        <v>414</v>
      </c>
      <c r="C852">
        <v>2035</v>
      </c>
      <c r="D852" t="s">
        <v>17</v>
      </c>
      <c r="E852">
        <v>0</v>
      </c>
      <c r="F852" t="s">
        <v>409</v>
      </c>
    </row>
    <row r="853" spans="1:6" hidden="1" x14ac:dyDescent="0.25">
      <c r="A853" t="s">
        <v>4</v>
      </c>
      <c r="B853" t="s">
        <v>414</v>
      </c>
      <c r="C853">
        <v>2036</v>
      </c>
      <c r="D853" t="s">
        <v>17</v>
      </c>
      <c r="E853">
        <v>0</v>
      </c>
      <c r="F853" t="s">
        <v>409</v>
      </c>
    </row>
    <row r="854" spans="1:6" hidden="1" x14ac:dyDescent="0.25">
      <c r="A854" t="s">
        <v>4</v>
      </c>
      <c r="B854" t="s">
        <v>414</v>
      </c>
      <c r="C854">
        <v>2037</v>
      </c>
      <c r="D854" t="s">
        <v>17</v>
      </c>
      <c r="E854">
        <v>0</v>
      </c>
      <c r="F854" t="s">
        <v>409</v>
      </c>
    </row>
    <row r="855" spans="1:6" hidden="1" x14ac:dyDescent="0.25">
      <c r="A855" t="s">
        <v>4</v>
      </c>
      <c r="B855" t="s">
        <v>414</v>
      </c>
      <c r="C855">
        <v>2038</v>
      </c>
      <c r="D855" t="s">
        <v>17</v>
      </c>
      <c r="E855">
        <v>0</v>
      </c>
      <c r="F855" t="s">
        <v>409</v>
      </c>
    </row>
    <row r="856" spans="1:6" hidden="1" x14ac:dyDescent="0.25">
      <c r="A856" t="s">
        <v>4</v>
      </c>
      <c r="B856" t="s">
        <v>414</v>
      </c>
      <c r="C856">
        <v>2039</v>
      </c>
      <c r="D856" t="s">
        <v>17</v>
      </c>
      <c r="E856">
        <v>0</v>
      </c>
      <c r="F856" t="s">
        <v>409</v>
      </c>
    </row>
    <row r="857" spans="1:6" hidden="1" x14ac:dyDescent="0.25">
      <c r="A857" t="s">
        <v>4</v>
      </c>
      <c r="B857" t="s">
        <v>414</v>
      </c>
      <c r="C857">
        <v>2040</v>
      </c>
      <c r="D857" t="s">
        <v>17</v>
      </c>
      <c r="E857">
        <v>0</v>
      </c>
      <c r="F857" t="s">
        <v>409</v>
      </c>
    </row>
    <row r="858" spans="1:6" hidden="1" x14ac:dyDescent="0.25">
      <c r="A858" t="s">
        <v>4</v>
      </c>
      <c r="B858" t="s">
        <v>414</v>
      </c>
      <c r="C858">
        <v>2018</v>
      </c>
      <c r="D858" t="s">
        <v>18</v>
      </c>
      <c r="E858">
        <v>0</v>
      </c>
      <c r="F858" t="s">
        <v>409</v>
      </c>
    </row>
    <row r="859" spans="1:6" hidden="1" x14ac:dyDescent="0.25">
      <c r="A859" t="s">
        <v>4</v>
      </c>
      <c r="B859" t="s">
        <v>414</v>
      </c>
      <c r="C859">
        <v>2019</v>
      </c>
      <c r="D859" t="s">
        <v>18</v>
      </c>
      <c r="E859">
        <v>0</v>
      </c>
      <c r="F859" t="s">
        <v>409</v>
      </c>
    </row>
    <row r="860" spans="1:6" hidden="1" x14ac:dyDescent="0.25">
      <c r="A860" t="s">
        <v>4</v>
      </c>
      <c r="B860" t="s">
        <v>414</v>
      </c>
      <c r="C860">
        <v>2020</v>
      </c>
      <c r="D860" t="s">
        <v>18</v>
      </c>
      <c r="E860">
        <v>0</v>
      </c>
      <c r="F860" t="s">
        <v>409</v>
      </c>
    </row>
    <row r="861" spans="1:6" hidden="1" x14ac:dyDescent="0.25">
      <c r="A861" t="s">
        <v>4</v>
      </c>
      <c r="B861" t="s">
        <v>414</v>
      </c>
      <c r="C861">
        <v>2021</v>
      </c>
      <c r="D861" t="s">
        <v>18</v>
      </c>
      <c r="E861">
        <v>0</v>
      </c>
      <c r="F861" t="s">
        <v>409</v>
      </c>
    </row>
    <row r="862" spans="1:6" hidden="1" x14ac:dyDescent="0.25">
      <c r="A862" t="s">
        <v>4</v>
      </c>
      <c r="B862" t="s">
        <v>414</v>
      </c>
      <c r="C862">
        <v>2022</v>
      </c>
      <c r="D862" t="s">
        <v>18</v>
      </c>
      <c r="E862">
        <v>0</v>
      </c>
      <c r="F862" t="s">
        <v>409</v>
      </c>
    </row>
    <row r="863" spans="1:6" hidden="1" x14ac:dyDescent="0.25">
      <c r="A863" t="s">
        <v>4</v>
      </c>
      <c r="B863" t="s">
        <v>414</v>
      </c>
      <c r="C863">
        <v>2023</v>
      </c>
      <c r="D863" t="s">
        <v>18</v>
      </c>
      <c r="E863">
        <v>1.4008889791940259E-3</v>
      </c>
      <c r="F863" t="s">
        <v>409</v>
      </c>
    </row>
    <row r="864" spans="1:6" hidden="1" x14ac:dyDescent="0.25">
      <c r="A864" t="s">
        <v>4</v>
      </c>
      <c r="B864" t="s">
        <v>414</v>
      </c>
      <c r="C864">
        <v>2024</v>
      </c>
      <c r="D864" t="s">
        <v>18</v>
      </c>
      <c r="E864">
        <v>1.9624899320272796E-3</v>
      </c>
      <c r="F864" t="s">
        <v>409</v>
      </c>
    </row>
    <row r="865" spans="1:6" hidden="1" x14ac:dyDescent="0.25">
      <c r="A865" t="s">
        <v>4</v>
      </c>
      <c r="B865" t="s">
        <v>414</v>
      </c>
      <c r="C865">
        <v>2025</v>
      </c>
      <c r="D865" t="s">
        <v>18</v>
      </c>
      <c r="E865">
        <v>2.7492305175562488E-3</v>
      </c>
      <c r="F865" t="s">
        <v>409</v>
      </c>
    </row>
    <row r="866" spans="1:6" hidden="1" x14ac:dyDescent="0.25">
      <c r="A866" t="s">
        <v>4</v>
      </c>
      <c r="B866" t="s">
        <v>414</v>
      </c>
      <c r="C866">
        <v>2026</v>
      </c>
      <c r="D866" t="s">
        <v>18</v>
      </c>
      <c r="E866">
        <v>3.8513667333084363E-3</v>
      </c>
      <c r="F866" t="s">
        <v>409</v>
      </c>
    </row>
    <row r="867" spans="1:6" hidden="1" x14ac:dyDescent="0.25">
      <c r="A867" t="s">
        <v>4</v>
      </c>
      <c r="B867" t="s">
        <v>414</v>
      </c>
      <c r="C867">
        <v>2027</v>
      </c>
      <c r="D867" t="s">
        <v>18</v>
      </c>
      <c r="E867">
        <v>5.3953372115262853E-3</v>
      </c>
      <c r="F867" t="s">
        <v>409</v>
      </c>
    </row>
    <row r="868" spans="1:6" hidden="1" x14ac:dyDescent="0.25">
      <c r="A868" t="s">
        <v>4</v>
      </c>
      <c r="B868" t="s">
        <v>414</v>
      </c>
      <c r="C868">
        <v>2028</v>
      </c>
      <c r="D868" t="s">
        <v>18</v>
      </c>
      <c r="E868">
        <v>7.5582684386625984E-3</v>
      </c>
      <c r="F868" t="s">
        <v>409</v>
      </c>
    </row>
    <row r="869" spans="1:6" hidden="1" x14ac:dyDescent="0.25">
      <c r="A869" t="s">
        <v>4</v>
      </c>
      <c r="B869" t="s">
        <v>414</v>
      </c>
      <c r="C869">
        <v>2029</v>
      </c>
      <c r="D869" t="s">
        <v>18</v>
      </c>
      <c r="E869">
        <v>1.0588294957512472E-2</v>
      </c>
      <c r="F869" t="s">
        <v>409</v>
      </c>
    </row>
    <row r="870" spans="1:6" hidden="1" x14ac:dyDescent="0.25">
      <c r="A870" t="s">
        <v>4</v>
      </c>
      <c r="B870" t="s">
        <v>414</v>
      </c>
      <c r="C870">
        <v>2030</v>
      </c>
      <c r="D870" t="s">
        <v>18</v>
      </c>
      <c r="E870">
        <v>1.4833025714434896E-2</v>
      </c>
      <c r="F870" t="s">
        <v>409</v>
      </c>
    </row>
    <row r="871" spans="1:6" hidden="1" x14ac:dyDescent="0.25">
      <c r="A871" t="s">
        <v>4</v>
      </c>
      <c r="B871" t="s">
        <v>414</v>
      </c>
      <c r="C871">
        <v>2031</v>
      </c>
      <c r="D871" t="s">
        <v>18</v>
      </c>
      <c r="E871">
        <v>2.0779422251453437E-2</v>
      </c>
      <c r="F871" t="s">
        <v>409</v>
      </c>
    </row>
    <row r="872" spans="1:6" hidden="1" x14ac:dyDescent="0.25">
      <c r="A872" t="s">
        <v>4</v>
      </c>
      <c r="B872" t="s">
        <v>414</v>
      </c>
      <c r="C872">
        <v>2032</v>
      </c>
      <c r="D872" t="s">
        <v>18</v>
      </c>
      <c r="E872">
        <v>2.9109663626080227E-2</v>
      </c>
      <c r="F872" t="s">
        <v>409</v>
      </c>
    </row>
    <row r="873" spans="1:6" hidden="1" x14ac:dyDescent="0.25">
      <c r="A873" t="s">
        <v>4</v>
      </c>
      <c r="B873" t="s">
        <v>414</v>
      </c>
      <c r="C873">
        <v>2033</v>
      </c>
      <c r="D873" t="s">
        <v>18</v>
      </c>
      <c r="E873">
        <v>4.0779406961820995E-2</v>
      </c>
      <c r="F873" t="s">
        <v>409</v>
      </c>
    </row>
    <row r="874" spans="1:6" hidden="1" x14ac:dyDescent="0.25">
      <c r="A874" t="s">
        <v>4</v>
      </c>
      <c r="B874" t="s">
        <v>414</v>
      </c>
      <c r="C874">
        <v>2034</v>
      </c>
      <c r="D874" t="s">
        <v>18</v>
      </c>
      <c r="E874">
        <v>5.7127421790883162E-2</v>
      </c>
      <c r="F874" t="s">
        <v>409</v>
      </c>
    </row>
    <row r="875" spans="1:6" hidden="1" x14ac:dyDescent="0.25">
      <c r="A875" t="s">
        <v>4</v>
      </c>
      <c r="B875" t="s">
        <v>414</v>
      </c>
      <c r="C875">
        <v>2035</v>
      </c>
      <c r="D875" t="s">
        <v>18</v>
      </c>
      <c r="E875">
        <v>8.0029175596616847E-2</v>
      </c>
      <c r="F875" t="s">
        <v>409</v>
      </c>
    </row>
    <row r="876" spans="1:6" hidden="1" x14ac:dyDescent="0.25">
      <c r="A876" t="s">
        <v>4</v>
      </c>
      <c r="B876" t="s">
        <v>414</v>
      </c>
      <c r="C876">
        <v>2036</v>
      </c>
      <c r="D876" t="s">
        <v>18</v>
      </c>
      <c r="E876">
        <v>0.11211199010728401</v>
      </c>
      <c r="F876" t="s">
        <v>409</v>
      </c>
    </row>
    <row r="877" spans="1:6" hidden="1" x14ac:dyDescent="0.25">
      <c r="A877" t="s">
        <v>4</v>
      </c>
      <c r="B877" t="s">
        <v>414</v>
      </c>
      <c r="C877">
        <v>2037</v>
      </c>
      <c r="D877" t="s">
        <v>18</v>
      </c>
      <c r="E877">
        <v>0.15705645137680382</v>
      </c>
      <c r="F877" t="s">
        <v>409</v>
      </c>
    </row>
    <row r="878" spans="1:6" hidden="1" x14ac:dyDescent="0.25">
      <c r="A878" t="s">
        <v>4</v>
      </c>
      <c r="B878" t="s">
        <v>414</v>
      </c>
      <c r="C878">
        <v>2038</v>
      </c>
      <c r="D878" t="s">
        <v>18</v>
      </c>
      <c r="E878">
        <v>0.22001865184508684</v>
      </c>
      <c r="F878" t="s">
        <v>409</v>
      </c>
    </row>
    <row r="879" spans="1:6" hidden="1" x14ac:dyDescent="0.25">
      <c r="A879" t="s">
        <v>4</v>
      </c>
      <c r="B879" t="s">
        <v>414</v>
      </c>
      <c r="C879">
        <v>2039</v>
      </c>
      <c r="D879" t="s">
        <v>18</v>
      </c>
      <c r="E879">
        <v>0.30822170458690951</v>
      </c>
      <c r="F879" t="s">
        <v>409</v>
      </c>
    </row>
    <row r="880" spans="1:6" hidden="1" x14ac:dyDescent="0.25">
      <c r="A880" t="s">
        <v>4</v>
      </c>
      <c r="B880" t="s">
        <v>414</v>
      </c>
      <c r="C880">
        <v>2040</v>
      </c>
      <c r="D880" t="s">
        <v>18</v>
      </c>
      <c r="E880">
        <v>0.4317843891041982</v>
      </c>
      <c r="F880" t="s">
        <v>409</v>
      </c>
    </row>
    <row r="881" spans="1:6" hidden="1" x14ac:dyDescent="0.25">
      <c r="A881" t="s">
        <v>4</v>
      </c>
      <c r="B881" t="s">
        <v>414</v>
      </c>
      <c r="C881" t="s">
        <v>410</v>
      </c>
      <c r="D881" t="s">
        <v>13</v>
      </c>
      <c r="E881">
        <v>1.033846153846155</v>
      </c>
      <c r="F881" t="s">
        <v>409</v>
      </c>
    </row>
    <row r="882" spans="1:6" hidden="1" x14ac:dyDescent="0.25">
      <c r="A882" t="s">
        <v>4</v>
      </c>
      <c r="B882" t="s">
        <v>414</v>
      </c>
      <c r="C882" t="s">
        <v>410</v>
      </c>
      <c r="D882" t="s">
        <v>411</v>
      </c>
      <c r="E882">
        <v>0.99692307692307747</v>
      </c>
      <c r="F882" t="s">
        <v>409</v>
      </c>
    </row>
    <row r="883" spans="1:6" hidden="1" x14ac:dyDescent="0.25">
      <c r="A883" t="s">
        <v>4</v>
      </c>
      <c r="B883" t="s">
        <v>414</v>
      </c>
      <c r="C883" t="s">
        <v>410</v>
      </c>
      <c r="D883" t="s">
        <v>412</v>
      </c>
      <c r="E883">
        <v>8.9723076923076661</v>
      </c>
      <c r="F883" t="s">
        <v>409</v>
      </c>
    </row>
    <row r="884" spans="1:6" hidden="1" x14ac:dyDescent="0.25">
      <c r="A884" t="s">
        <v>415</v>
      </c>
      <c r="B884" t="s">
        <v>408</v>
      </c>
      <c r="C884">
        <v>2018</v>
      </c>
      <c r="D884" t="s">
        <v>17</v>
      </c>
      <c r="E884">
        <v>9.7779886456742027</v>
      </c>
      <c r="F884" t="s">
        <v>416</v>
      </c>
    </row>
    <row r="885" spans="1:6" hidden="1" x14ac:dyDescent="0.25">
      <c r="A885" t="s">
        <v>415</v>
      </c>
      <c r="B885" t="s">
        <v>408</v>
      </c>
      <c r="C885">
        <v>2019</v>
      </c>
      <c r="D885" t="s">
        <v>17</v>
      </c>
      <c r="E885">
        <v>10.136925292544003</v>
      </c>
      <c r="F885" t="s">
        <v>416</v>
      </c>
    </row>
    <row r="886" spans="1:6" hidden="1" x14ac:dyDescent="0.25">
      <c r="A886" t="s">
        <v>415</v>
      </c>
      <c r="B886" t="s">
        <v>408</v>
      </c>
      <c r="C886">
        <v>2020</v>
      </c>
      <c r="D886" t="s">
        <v>17</v>
      </c>
      <c r="E886">
        <v>9.0629558271923596</v>
      </c>
      <c r="F886" t="s">
        <v>416</v>
      </c>
    </row>
    <row r="887" spans="1:6" hidden="1" x14ac:dyDescent="0.25">
      <c r="A887" t="s">
        <v>415</v>
      </c>
      <c r="B887" t="s">
        <v>408</v>
      </c>
      <c r="C887">
        <v>2021</v>
      </c>
      <c r="D887" t="s">
        <v>17</v>
      </c>
      <c r="E887">
        <v>8.3142261771257804</v>
      </c>
      <c r="F887" t="s">
        <v>416</v>
      </c>
    </row>
    <row r="888" spans="1:6" hidden="1" x14ac:dyDescent="0.25">
      <c r="A888" t="s">
        <v>415</v>
      </c>
      <c r="B888" t="s">
        <v>408</v>
      </c>
      <c r="C888">
        <v>2022</v>
      </c>
      <c r="D888" t="s">
        <v>17</v>
      </c>
      <c r="E888">
        <v>7.7848027771624215</v>
      </c>
      <c r="F888" t="s">
        <v>416</v>
      </c>
    </row>
    <row r="889" spans="1:6" x14ac:dyDescent="0.25">
      <c r="A889" t="s">
        <v>415</v>
      </c>
      <c r="B889" t="s">
        <v>408</v>
      </c>
      <c r="C889">
        <v>2023</v>
      </c>
      <c r="D889" t="s">
        <v>17</v>
      </c>
      <c r="E889">
        <v>9.1777475585915997</v>
      </c>
      <c r="F889" t="s">
        <v>416</v>
      </c>
    </row>
    <row r="890" spans="1:6" hidden="1" x14ac:dyDescent="0.25">
      <c r="A890" t="s">
        <v>415</v>
      </c>
      <c r="B890" t="s">
        <v>408</v>
      </c>
      <c r="C890">
        <v>2024</v>
      </c>
      <c r="D890" t="s">
        <v>17</v>
      </c>
      <c r="E890">
        <v>9.2829392352579987</v>
      </c>
      <c r="F890" t="s">
        <v>416</v>
      </c>
    </row>
    <row r="891" spans="1:6" hidden="1" x14ac:dyDescent="0.25">
      <c r="A891" t="s">
        <v>415</v>
      </c>
      <c r="B891" t="s">
        <v>408</v>
      </c>
      <c r="C891">
        <v>2025</v>
      </c>
      <c r="D891" t="s">
        <v>17</v>
      </c>
      <c r="E891">
        <v>9.7325489453480021</v>
      </c>
      <c r="F891" t="s">
        <v>416</v>
      </c>
    </row>
    <row r="892" spans="1:6" hidden="1" x14ac:dyDescent="0.25">
      <c r="A892" t="s">
        <v>415</v>
      </c>
      <c r="B892" t="s">
        <v>408</v>
      </c>
      <c r="C892">
        <v>2026</v>
      </c>
      <c r="D892" t="s">
        <v>17</v>
      </c>
      <c r="E892">
        <v>9.8162807410180015</v>
      </c>
      <c r="F892" t="s">
        <v>416</v>
      </c>
    </row>
    <row r="893" spans="1:6" hidden="1" x14ac:dyDescent="0.25">
      <c r="A893" t="s">
        <v>415</v>
      </c>
      <c r="B893" t="s">
        <v>408</v>
      </c>
      <c r="C893">
        <v>2027</v>
      </c>
      <c r="D893" t="s">
        <v>17</v>
      </c>
      <c r="E893">
        <v>10.099556908692001</v>
      </c>
      <c r="F893" t="s">
        <v>416</v>
      </c>
    </row>
    <row r="894" spans="1:6" hidden="1" x14ac:dyDescent="0.25">
      <c r="A894" t="s">
        <v>415</v>
      </c>
      <c r="B894" t="s">
        <v>408</v>
      </c>
      <c r="C894">
        <v>2028</v>
      </c>
      <c r="D894" t="s">
        <v>17</v>
      </c>
      <c r="E894">
        <v>9.637366406072001</v>
      </c>
      <c r="F894" t="s">
        <v>416</v>
      </c>
    </row>
    <row r="895" spans="1:6" hidden="1" x14ac:dyDescent="0.25">
      <c r="A895" t="s">
        <v>415</v>
      </c>
      <c r="B895" t="s">
        <v>408</v>
      </c>
      <c r="C895">
        <v>2029</v>
      </c>
      <c r="D895" t="s">
        <v>17</v>
      </c>
      <c r="E895">
        <v>8.3784329785320004</v>
      </c>
      <c r="F895" t="s">
        <v>416</v>
      </c>
    </row>
    <row r="896" spans="1:6" hidden="1" x14ac:dyDescent="0.25">
      <c r="A896" t="s">
        <v>415</v>
      </c>
      <c r="B896" t="s">
        <v>408</v>
      </c>
      <c r="C896">
        <v>2030</v>
      </c>
      <c r="D896" t="s">
        <v>17</v>
      </c>
      <c r="E896">
        <v>8.2041676111780006</v>
      </c>
      <c r="F896" t="s">
        <v>416</v>
      </c>
    </row>
    <row r="897" spans="1:6" hidden="1" x14ac:dyDescent="0.25">
      <c r="A897" t="s">
        <v>415</v>
      </c>
      <c r="B897" t="s">
        <v>408</v>
      </c>
      <c r="C897">
        <v>2031</v>
      </c>
      <c r="D897" t="s">
        <v>17</v>
      </c>
      <c r="E897">
        <v>7.7108048799700013</v>
      </c>
      <c r="F897" t="s">
        <v>416</v>
      </c>
    </row>
    <row r="898" spans="1:6" hidden="1" x14ac:dyDescent="0.25">
      <c r="A898" t="s">
        <v>415</v>
      </c>
      <c r="B898" t="s">
        <v>408</v>
      </c>
      <c r="C898">
        <v>2032</v>
      </c>
      <c r="D898" t="s">
        <v>17</v>
      </c>
      <c r="E898">
        <v>7.7478762160220009</v>
      </c>
      <c r="F898" t="s">
        <v>416</v>
      </c>
    </row>
    <row r="899" spans="1:6" hidden="1" x14ac:dyDescent="0.25">
      <c r="A899" t="s">
        <v>415</v>
      </c>
      <c r="B899" t="s">
        <v>408</v>
      </c>
      <c r="C899">
        <v>2033</v>
      </c>
      <c r="D899" t="s">
        <v>17</v>
      </c>
      <c r="E899">
        <v>6.8773661179700003</v>
      </c>
      <c r="F899" t="s">
        <v>416</v>
      </c>
    </row>
    <row r="900" spans="1:6" hidden="1" x14ac:dyDescent="0.25">
      <c r="A900" t="s">
        <v>415</v>
      </c>
      <c r="B900" t="s">
        <v>408</v>
      </c>
      <c r="C900">
        <v>2034</v>
      </c>
      <c r="D900" t="s">
        <v>17</v>
      </c>
      <c r="E900">
        <v>6.7727234807340002</v>
      </c>
      <c r="F900" t="s">
        <v>416</v>
      </c>
    </row>
    <row r="901" spans="1:6" hidden="1" x14ac:dyDescent="0.25">
      <c r="A901" t="s">
        <v>415</v>
      </c>
      <c r="B901" t="s">
        <v>408</v>
      </c>
      <c r="C901">
        <v>2035</v>
      </c>
      <c r="D901" t="s">
        <v>17</v>
      </c>
      <c r="E901">
        <v>6.8236091089439999</v>
      </c>
      <c r="F901" t="s">
        <v>416</v>
      </c>
    </row>
    <row r="902" spans="1:6" hidden="1" x14ac:dyDescent="0.25">
      <c r="A902" t="s">
        <v>415</v>
      </c>
      <c r="B902" t="s">
        <v>408</v>
      </c>
      <c r="C902">
        <v>2036</v>
      </c>
      <c r="D902" t="s">
        <v>17</v>
      </c>
      <c r="E902">
        <v>6.6010757982320003</v>
      </c>
      <c r="F902" t="s">
        <v>416</v>
      </c>
    </row>
    <row r="903" spans="1:6" hidden="1" x14ac:dyDescent="0.25">
      <c r="A903" t="s">
        <v>415</v>
      </c>
      <c r="B903" t="s">
        <v>408</v>
      </c>
      <c r="C903">
        <v>2037</v>
      </c>
      <c r="D903" t="s">
        <v>17</v>
      </c>
      <c r="E903">
        <v>5.30922817143</v>
      </c>
      <c r="F903" t="s">
        <v>416</v>
      </c>
    </row>
    <row r="904" spans="1:6" hidden="1" x14ac:dyDescent="0.25">
      <c r="A904" t="s">
        <v>415</v>
      </c>
      <c r="B904" t="s">
        <v>408</v>
      </c>
      <c r="C904">
        <v>2038</v>
      </c>
      <c r="D904" t="s">
        <v>17</v>
      </c>
      <c r="E904">
        <v>3.7203122881600001</v>
      </c>
      <c r="F904" t="s">
        <v>416</v>
      </c>
    </row>
    <row r="905" spans="1:6" hidden="1" x14ac:dyDescent="0.25">
      <c r="A905" t="s">
        <v>415</v>
      </c>
      <c r="B905" t="s">
        <v>408</v>
      </c>
      <c r="C905">
        <v>2039</v>
      </c>
      <c r="D905" t="s">
        <v>17</v>
      </c>
      <c r="E905">
        <v>3.821199705418</v>
      </c>
      <c r="F905" t="s">
        <v>416</v>
      </c>
    </row>
    <row r="906" spans="1:6" hidden="1" x14ac:dyDescent="0.25">
      <c r="A906" t="s">
        <v>415</v>
      </c>
      <c r="B906" t="s">
        <v>408</v>
      </c>
      <c r="C906">
        <v>2040</v>
      </c>
      <c r="D906" t="s">
        <v>17</v>
      </c>
      <c r="E906">
        <v>3.9637131489560002</v>
      </c>
      <c r="F906" t="s">
        <v>416</v>
      </c>
    </row>
    <row r="907" spans="1:6" hidden="1" x14ac:dyDescent="0.25">
      <c r="A907" t="s">
        <v>415</v>
      </c>
      <c r="B907" t="s">
        <v>408</v>
      </c>
      <c r="C907">
        <v>2018</v>
      </c>
      <c r="D907" t="s">
        <v>18</v>
      </c>
      <c r="E907">
        <v>9.7779886456742027</v>
      </c>
      <c r="F907" t="s">
        <v>416</v>
      </c>
    </row>
    <row r="908" spans="1:6" hidden="1" x14ac:dyDescent="0.25">
      <c r="A908" t="s">
        <v>415</v>
      </c>
      <c r="B908" t="s">
        <v>408</v>
      </c>
      <c r="C908">
        <v>2019</v>
      </c>
      <c r="D908" t="s">
        <v>18</v>
      </c>
      <c r="E908">
        <v>10.136925292544003</v>
      </c>
      <c r="F908" t="s">
        <v>416</v>
      </c>
    </row>
    <row r="909" spans="1:6" hidden="1" x14ac:dyDescent="0.25">
      <c r="A909" t="s">
        <v>415</v>
      </c>
      <c r="B909" t="s">
        <v>408</v>
      </c>
      <c r="C909">
        <v>2020</v>
      </c>
      <c r="D909" t="s">
        <v>18</v>
      </c>
      <c r="E909">
        <v>9.0629558271923596</v>
      </c>
      <c r="F909" t="s">
        <v>416</v>
      </c>
    </row>
    <row r="910" spans="1:6" hidden="1" x14ac:dyDescent="0.25">
      <c r="A910" t="s">
        <v>415</v>
      </c>
      <c r="B910" t="s">
        <v>408</v>
      </c>
      <c r="C910">
        <v>2021</v>
      </c>
      <c r="D910" t="s">
        <v>18</v>
      </c>
      <c r="E910">
        <v>8.3142261771257804</v>
      </c>
      <c r="F910" t="s">
        <v>416</v>
      </c>
    </row>
    <row r="911" spans="1:6" hidden="1" x14ac:dyDescent="0.25">
      <c r="A911" t="s">
        <v>415</v>
      </c>
      <c r="B911" t="s">
        <v>408</v>
      </c>
      <c r="C911">
        <v>2022</v>
      </c>
      <c r="D911" t="s">
        <v>18</v>
      </c>
      <c r="E911">
        <v>7.7848027771624215</v>
      </c>
      <c r="F911" t="s">
        <v>416</v>
      </c>
    </row>
    <row r="912" spans="1:6" x14ac:dyDescent="0.25">
      <c r="A912" t="s">
        <v>415</v>
      </c>
      <c r="B912" t="s">
        <v>408</v>
      </c>
      <c r="C912">
        <v>2023</v>
      </c>
      <c r="D912" t="s">
        <v>18</v>
      </c>
      <c r="E912">
        <v>10.136657926322124</v>
      </c>
      <c r="F912" t="s">
        <v>416</v>
      </c>
    </row>
    <row r="913" spans="1:6" hidden="1" x14ac:dyDescent="0.25">
      <c r="A913" t="s">
        <v>415</v>
      </c>
      <c r="B913" t="s">
        <v>408</v>
      </c>
      <c r="C913">
        <v>2024</v>
      </c>
      <c r="D913" t="s">
        <v>18</v>
      </c>
      <c r="E913">
        <v>9.8713961357198521</v>
      </c>
      <c r="F913" t="s">
        <v>416</v>
      </c>
    </row>
    <row r="914" spans="1:6" hidden="1" x14ac:dyDescent="0.25">
      <c r="A914" t="s">
        <v>415</v>
      </c>
      <c r="B914" t="s">
        <v>408</v>
      </c>
      <c r="C914">
        <v>2025</v>
      </c>
      <c r="D914" t="s">
        <v>18</v>
      </c>
      <c r="E914">
        <v>11.843318168001705</v>
      </c>
      <c r="F914" t="s">
        <v>416</v>
      </c>
    </row>
    <row r="915" spans="1:6" hidden="1" x14ac:dyDescent="0.25">
      <c r="A915" t="s">
        <v>415</v>
      </c>
      <c r="B915" t="s">
        <v>408</v>
      </c>
      <c r="C915">
        <v>2026</v>
      </c>
      <c r="D915" t="s">
        <v>18</v>
      </c>
      <c r="E915">
        <v>15.217060508650189</v>
      </c>
      <c r="F915" t="s">
        <v>416</v>
      </c>
    </row>
    <row r="916" spans="1:6" hidden="1" x14ac:dyDescent="0.25">
      <c r="A916" t="s">
        <v>415</v>
      </c>
      <c r="B916" t="s">
        <v>408</v>
      </c>
      <c r="C916">
        <v>2027</v>
      </c>
      <c r="D916" t="s">
        <v>18</v>
      </c>
      <c r="E916">
        <v>16.023890303631632</v>
      </c>
      <c r="F916" t="s">
        <v>416</v>
      </c>
    </row>
    <row r="917" spans="1:6" hidden="1" x14ac:dyDescent="0.25">
      <c r="A917" t="s">
        <v>415</v>
      </c>
      <c r="B917" t="s">
        <v>408</v>
      </c>
      <c r="C917">
        <v>2028</v>
      </c>
      <c r="D917" t="s">
        <v>18</v>
      </c>
      <c r="E917">
        <v>16.537177529391705</v>
      </c>
      <c r="F917" t="s">
        <v>416</v>
      </c>
    </row>
    <row r="918" spans="1:6" hidden="1" x14ac:dyDescent="0.25">
      <c r="A918" t="s">
        <v>415</v>
      </c>
      <c r="B918" t="s">
        <v>408</v>
      </c>
      <c r="C918">
        <v>2029</v>
      </c>
      <c r="D918" t="s">
        <v>18</v>
      </c>
      <c r="E918">
        <v>16.065942482210023</v>
      </c>
      <c r="F918" t="s">
        <v>416</v>
      </c>
    </row>
    <row r="919" spans="1:6" hidden="1" x14ac:dyDescent="0.25">
      <c r="A919" t="s">
        <v>415</v>
      </c>
      <c r="B919" t="s">
        <v>408</v>
      </c>
      <c r="C919">
        <v>2030</v>
      </c>
      <c r="D919" t="s">
        <v>18</v>
      </c>
      <c r="E919">
        <v>16.323516971989704</v>
      </c>
      <c r="F919" t="s">
        <v>416</v>
      </c>
    </row>
    <row r="920" spans="1:6" hidden="1" x14ac:dyDescent="0.25">
      <c r="A920" t="s">
        <v>415</v>
      </c>
      <c r="B920" t="s">
        <v>408</v>
      </c>
      <c r="C920">
        <v>2031</v>
      </c>
      <c r="D920" t="s">
        <v>18</v>
      </c>
      <c r="E920">
        <v>16.684921832285234</v>
      </c>
      <c r="F920" t="s">
        <v>416</v>
      </c>
    </row>
    <row r="921" spans="1:6" hidden="1" x14ac:dyDescent="0.25">
      <c r="A921" t="s">
        <v>415</v>
      </c>
      <c r="B921" t="s">
        <v>408</v>
      </c>
      <c r="C921">
        <v>2032</v>
      </c>
      <c r="D921" t="s">
        <v>18</v>
      </c>
      <c r="E921">
        <v>17.292734389206977</v>
      </c>
      <c r="F921" t="s">
        <v>416</v>
      </c>
    </row>
    <row r="922" spans="1:6" hidden="1" x14ac:dyDescent="0.25">
      <c r="A922" t="s">
        <v>415</v>
      </c>
      <c r="B922" t="s">
        <v>408</v>
      </c>
      <c r="C922">
        <v>2033</v>
      </c>
      <c r="D922" t="s">
        <v>18</v>
      </c>
      <c r="E922">
        <v>17.709627381898081</v>
      </c>
      <c r="F922" t="s">
        <v>416</v>
      </c>
    </row>
    <row r="923" spans="1:6" hidden="1" x14ac:dyDescent="0.25">
      <c r="A923" t="s">
        <v>415</v>
      </c>
      <c r="B923" t="s">
        <v>408</v>
      </c>
      <c r="C923">
        <v>2034</v>
      </c>
      <c r="D923" t="s">
        <v>18</v>
      </c>
      <c r="E923">
        <v>18.653532130330397</v>
      </c>
      <c r="F923" t="s">
        <v>416</v>
      </c>
    </row>
    <row r="924" spans="1:6" hidden="1" x14ac:dyDescent="0.25">
      <c r="A924" t="s">
        <v>415</v>
      </c>
      <c r="B924" t="s">
        <v>408</v>
      </c>
      <c r="C924">
        <v>2035</v>
      </c>
      <c r="D924" t="s">
        <v>18</v>
      </c>
      <c r="E924">
        <v>19.57839658003838</v>
      </c>
      <c r="F924" t="s">
        <v>416</v>
      </c>
    </row>
    <row r="925" spans="1:6" hidden="1" x14ac:dyDescent="0.25">
      <c r="A925" t="s">
        <v>415</v>
      </c>
      <c r="B925" t="s">
        <v>408</v>
      </c>
      <c r="C925">
        <v>2036</v>
      </c>
      <c r="D925" t="s">
        <v>18</v>
      </c>
      <c r="E925">
        <v>21.924208281035447</v>
      </c>
      <c r="F925" t="s">
        <v>416</v>
      </c>
    </row>
    <row r="926" spans="1:6" hidden="1" x14ac:dyDescent="0.25">
      <c r="A926" t="s">
        <v>415</v>
      </c>
      <c r="B926" t="s">
        <v>408</v>
      </c>
      <c r="C926">
        <v>2037</v>
      </c>
      <c r="D926" t="s">
        <v>18</v>
      </c>
      <c r="E926">
        <v>24.824118812917941</v>
      </c>
      <c r="F926" t="s">
        <v>416</v>
      </c>
    </row>
    <row r="927" spans="1:6" hidden="1" x14ac:dyDescent="0.25">
      <c r="A927" t="s">
        <v>415</v>
      </c>
      <c r="B927" t="s">
        <v>408</v>
      </c>
      <c r="C927">
        <v>2038</v>
      </c>
      <c r="D927" t="s">
        <v>18</v>
      </c>
      <c r="E927">
        <v>28.447914076088711</v>
      </c>
      <c r="F927" t="s">
        <v>416</v>
      </c>
    </row>
    <row r="928" spans="1:6" hidden="1" x14ac:dyDescent="0.25">
      <c r="A928" t="s">
        <v>415</v>
      </c>
      <c r="B928" t="s">
        <v>408</v>
      </c>
      <c r="C928">
        <v>2039</v>
      </c>
      <c r="D928" t="s">
        <v>18</v>
      </c>
      <c r="E928">
        <v>33.020638493007745</v>
      </c>
      <c r="F928" t="s">
        <v>416</v>
      </c>
    </row>
    <row r="929" spans="1:6" hidden="1" x14ac:dyDescent="0.25">
      <c r="A929" t="s">
        <v>415</v>
      </c>
      <c r="B929" t="s">
        <v>408</v>
      </c>
      <c r="C929">
        <v>2040</v>
      </c>
      <c r="D929" t="s">
        <v>18</v>
      </c>
      <c r="E929">
        <v>38.840853119203338</v>
      </c>
      <c r="F929" t="s">
        <v>416</v>
      </c>
    </row>
    <row r="930" spans="1:6" hidden="1" x14ac:dyDescent="0.25">
      <c r="A930" t="s">
        <v>415</v>
      </c>
      <c r="B930" t="s">
        <v>408</v>
      </c>
      <c r="C930" t="s">
        <v>417</v>
      </c>
      <c r="D930" t="s">
        <v>13</v>
      </c>
      <c r="E930">
        <v>6.472219436340847</v>
      </c>
      <c r="F930" t="s">
        <v>416</v>
      </c>
    </row>
    <row r="931" spans="1:6" hidden="1" x14ac:dyDescent="0.25">
      <c r="A931" t="s">
        <v>415</v>
      </c>
      <c r="B931" t="s">
        <v>408</v>
      </c>
      <c r="C931" t="s">
        <v>417</v>
      </c>
      <c r="D931" t="s">
        <v>411</v>
      </c>
      <c r="E931">
        <v>9.6751113020603459</v>
      </c>
      <c r="F931" t="s">
        <v>416</v>
      </c>
    </row>
    <row r="932" spans="1:6" hidden="1" x14ac:dyDescent="0.25">
      <c r="A932" t="s">
        <v>415</v>
      </c>
      <c r="B932" t="s">
        <v>408</v>
      </c>
      <c r="C932" t="s">
        <v>417</v>
      </c>
      <c r="D932" t="s">
        <v>412</v>
      </c>
      <c r="E932">
        <v>87.076001718543111</v>
      </c>
      <c r="F932" t="s">
        <v>416</v>
      </c>
    </row>
    <row r="933" spans="1:6" hidden="1" x14ac:dyDescent="0.25">
      <c r="A933" t="s">
        <v>415</v>
      </c>
      <c r="B933" t="s">
        <v>413</v>
      </c>
      <c r="C933">
        <v>2018</v>
      </c>
      <c r="D933" t="s">
        <v>17</v>
      </c>
      <c r="E933">
        <v>9.7779886456742027</v>
      </c>
      <c r="F933" t="s">
        <v>416</v>
      </c>
    </row>
    <row r="934" spans="1:6" hidden="1" x14ac:dyDescent="0.25">
      <c r="A934" t="s">
        <v>415</v>
      </c>
      <c r="B934" t="s">
        <v>413</v>
      </c>
      <c r="C934">
        <v>2019</v>
      </c>
      <c r="D934" t="s">
        <v>17</v>
      </c>
      <c r="E934">
        <v>10.136925292544003</v>
      </c>
      <c r="F934" t="s">
        <v>416</v>
      </c>
    </row>
    <row r="935" spans="1:6" hidden="1" x14ac:dyDescent="0.25">
      <c r="A935" t="s">
        <v>415</v>
      </c>
      <c r="B935" t="s">
        <v>413</v>
      </c>
      <c r="C935">
        <v>2020</v>
      </c>
      <c r="D935" t="s">
        <v>17</v>
      </c>
      <c r="E935">
        <v>9.0629558271923596</v>
      </c>
      <c r="F935" t="s">
        <v>416</v>
      </c>
    </row>
    <row r="936" spans="1:6" hidden="1" x14ac:dyDescent="0.25">
      <c r="A936" t="s">
        <v>415</v>
      </c>
      <c r="B936" t="s">
        <v>413</v>
      </c>
      <c r="C936">
        <v>2021</v>
      </c>
      <c r="D936" t="s">
        <v>17</v>
      </c>
      <c r="E936">
        <v>8.3142261771257804</v>
      </c>
      <c r="F936" t="s">
        <v>416</v>
      </c>
    </row>
    <row r="937" spans="1:6" hidden="1" x14ac:dyDescent="0.25">
      <c r="A937" t="s">
        <v>415</v>
      </c>
      <c r="B937" t="s">
        <v>413</v>
      </c>
      <c r="C937">
        <v>2022</v>
      </c>
      <c r="D937" t="s">
        <v>17</v>
      </c>
      <c r="E937">
        <v>7.7848027771624215</v>
      </c>
      <c r="F937" t="s">
        <v>416</v>
      </c>
    </row>
    <row r="938" spans="1:6" hidden="1" x14ac:dyDescent="0.25">
      <c r="A938" t="s">
        <v>415</v>
      </c>
      <c r="B938" t="s">
        <v>413</v>
      </c>
      <c r="C938">
        <v>2023</v>
      </c>
      <c r="D938" t="s">
        <v>17</v>
      </c>
      <c r="E938">
        <v>9.1777475585915997</v>
      </c>
      <c r="F938" t="s">
        <v>416</v>
      </c>
    </row>
    <row r="939" spans="1:6" hidden="1" x14ac:dyDescent="0.25">
      <c r="A939" t="s">
        <v>415</v>
      </c>
      <c r="B939" t="s">
        <v>413</v>
      </c>
      <c r="C939">
        <v>2024</v>
      </c>
      <c r="D939" t="s">
        <v>17</v>
      </c>
      <c r="E939">
        <v>9.2829392352579987</v>
      </c>
      <c r="F939" t="s">
        <v>416</v>
      </c>
    </row>
    <row r="940" spans="1:6" hidden="1" x14ac:dyDescent="0.25">
      <c r="A940" t="s">
        <v>415</v>
      </c>
      <c r="B940" t="s">
        <v>413</v>
      </c>
      <c r="C940">
        <v>2025</v>
      </c>
      <c r="D940" t="s">
        <v>17</v>
      </c>
      <c r="E940">
        <v>9.7325489453480021</v>
      </c>
      <c r="F940" t="s">
        <v>416</v>
      </c>
    </row>
    <row r="941" spans="1:6" hidden="1" x14ac:dyDescent="0.25">
      <c r="A941" t="s">
        <v>415</v>
      </c>
      <c r="B941" t="s">
        <v>413</v>
      </c>
      <c r="C941">
        <v>2026</v>
      </c>
      <c r="D941" t="s">
        <v>17</v>
      </c>
      <c r="E941">
        <v>9.8162807410180015</v>
      </c>
      <c r="F941" t="s">
        <v>416</v>
      </c>
    </row>
    <row r="942" spans="1:6" hidden="1" x14ac:dyDescent="0.25">
      <c r="A942" t="s">
        <v>415</v>
      </c>
      <c r="B942" t="s">
        <v>413</v>
      </c>
      <c r="C942">
        <v>2027</v>
      </c>
      <c r="D942" t="s">
        <v>17</v>
      </c>
      <c r="E942">
        <v>10.099556908692001</v>
      </c>
      <c r="F942" t="s">
        <v>416</v>
      </c>
    </row>
    <row r="943" spans="1:6" hidden="1" x14ac:dyDescent="0.25">
      <c r="A943" t="s">
        <v>415</v>
      </c>
      <c r="B943" t="s">
        <v>413</v>
      </c>
      <c r="C943">
        <v>2028</v>
      </c>
      <c r="D943" t="s">
        <v>17</v>
      </c>
      <c r="E943">
        <v>9.637366406072001</v>
      </c>
      <c r="F943" t="s">
        <v>416</v>
      </c>
    </row>
    <row r="944" spans="1:6" hidden="1" x14ac:dyDescent="0.25">
      <c r="A944" t="s">
        <v>415</v>
      </c>
      <c r="B944" t="s">
        <v>413</v>
      </c>
      <c r="C944">
        <v>2029</v>
      </c>
      <c r="D944" t="s">
        <v>17</v>
      </c>
      <c r="E944">
        <v>8.3784329785320004</v>
      </c>
      <c r="F944" t="s">
        <v>416</v>
      </c>
    </row>
    <row r="945" spans="1:6" hidden="1" x14ac:dyDescent="0.25">
      <c r="A945" t="s">
        <v>415</v>
      </c>
      <c r="B945" t="s">
        <v>413</v>
      </c>
      <c r="C945">
        <v>2030</v>
      </c>
      <c r="D945" t="s">
        <v>17</v>
      </c>
      <c r="E945">
        <v>8.2041676111780006</v>
      </c>
      <c r="F945" t="s">
        <v>416</v>
      </c>
    </row>
    <row r="946" spans="1:6" hidden="1" x14ac:dyDescent="0.25">
      <c r="A946" t="s">
        <v>415</v>
      </c>
      <c r="B946" t="s">
        <v>413</v>
      </c>
      <c r="C946">
        <v>2031</v>
      </c>
      <c r="D946" t="s">
        <v>17</v>
      </c>
      <c r="E946">
        <v>7.7108048799700013</v>
      </c>
      <c r="F946" t="s">
        <v>416</v>
      </c>
    </row>
    <row r="947" spans="1:6" hidden="1" x14ac:dyDescent="0.25">
      <c r="A947" t="s">
        <v>415</v>
      </c>
      <c r="B947" t="s">
        <v>413</v>
      </c>
      <c r="C947">
        <v>2032</v>
      </c>
      <c r="D947" t="s">
        <v>17</v>
      </c>
      <c r="E947">
        <v>7.7478762160220009</v>
      </c>
      <c r="F947" t="s">
        <v>416</v>
      </c>
    </row>
    <row r="948" spans="1:6" hidden="1" x14ac:dyDescent="0.25">
      <c r="A948" t="s">
        <v>415</v>
      </c>
      <c r="B948" t="s">
        <v>413</v>
      </c>
      <c r="C948">
        <v>2033</v>
      </c>
      <c r="D948" t="s">
        <v>17</v>
      </c>
      <c r="E948">
        <v>6.8773661179700003</v>
      </c>
      <c r="F948" t="s">
        <v>416</v>
      </c>
    </row>
    <row r="949" spans="1:6" hidden="1" x14ac:dyDescent="0.25">
      <c r="A949" t="s">
        <v>415</v>
      </c>
      <c r="B949" t="s">
        <v>413</v>
      </c>
      <c r="C949">
        <v>2034</v>
      </c>
      <c r="D949" t="s">
        <v>17</v>
      </c>
      <c r="E949">
        <v>6.7727234807340002</v>
      </c>
      <c r="F949" t="s">
        <v>416</v>
      </c>
    </row>
    <row r="950" spans="1:6" hidden="1" x14ac:dyDescent="0.25">
      <c r="A950" t="s">
        <v>415</v>
      </c>
      <c r="B950" t="s">
        <v>413</v>
      </c>
      <c r="C950">
        <v>2035</v>
      </c>
      <c r="D950" t="s">
        <v>17</v>
      </c>
      <c r="E950">
        <v>6.8236091089439999</v>
      </c>
      <c r="F950" t="s">
        <v>416</v>
      </c>
    </row>
    <row r="951" spans="1:6" hidden="1" x14ac:dyDescent="0.25">
      <c r="A951" t="s">
        <v>415</v>
      </c>
      <c r="B951" t="s">
        <v>413</v>
      </c>
      <c r="C951">
        <v>2036</v>
      </c>
      <c r="D951" t="s">
        <v>17</v>
      </c>
      <c r="E951">
        <v>6.6010757982320003</v>
      </c>
      <c r="F951" t="s">
        <v>416</v>
      </c>
    </row>
    <row r="952" spans="1:6" hidden="1" x14ac:dyDescent="0.25">
      <c r="A952" t="s">
        <v>415</v>
      </c>
      <c r="B952" t="s">
        <v>413</v>
      </c>
      <c r="C952">
        <v>2037</v>
      </c>
      <c r="D952" t="s">
        <v>17</v>
      </c>
      <c r="E952">
        <v>5.30922817143</v>
      </c>
      <c r="F952" t="s">
        <v>416</v>
      </c>
    </row>
    <row r="953" spans="1:6" hidden="1" x14ac:dyDescent="0.25">
      <c r="A953" t="s">
        <v>415</v>
      </c>
      <c r="B953" t="s">
        <v>413</v>
      </c>
      <c r="C953">
        <v>2038</v>
      </c>
      <c r="D953" t="s">
        <v>17</v>
      </c>
      <c r="E953">
        <v>3.7203122881600001</v>
      </c>
      <c r="F953" t="s">
        <v>416</v>
      </c>
    </row>
    <row r="954" spans="1:6" hidden="1" x14ac:dyDescent="0.25">
      <c r="A954" t="s">
        <v>415</v>
      </c>
      <c r="B954" t="s">
        <v>413</v>
      </c>
      <c r="C954">
        <v>2039</v>
      </c>
      <c r="D954" t="s">
        <v>17</v>
      </c>
      <c r="E954">
        <v>3.821199705418</v>
      </c>
      <c r="F954" t="s">
        <v>416</v>
      </c>
    </row>
    <row r="955" spans="1:6" hidden="1" x14ac:dyDescent="0.25">
      <c r="A955" t="s">
        <v>415</v>
      </c>
      <c r="B955" t="s">
        <v>413</v>
      </c>
      <c r="C955">
        <v>2040</v>
      </c>
      <c r="D955" t="s">
        <v>17</v>
      </c>
      <c r="E955">
        <v>3.9637131489560002</v>
      </c>
      <c r="F955" t="s">
        <v>416</v>
      </c>
    </row>
    <row r="956" spans="1:6" hidden="1" x14ac:dyDescent="0.25">
      <c r="A956" t="s">
        <v>415</v>
      </c>
      <c r="B956" t="s">
        <v>413</v>
      </c>
      <c r="C956">
        <v>2018</v>
      </c>
      <c r="D956" t="s">
        <v>18</v>
      </c>
      <c r="E956">
        <v>9.7779886456742027</v>
      </c>
      <c r="F956" t="s">
        <v>416</v>
      </c>
    </row>
    <row r="957" spans="1:6" hidden="1" x14ac:dyDescent="0.25">
      <c r="A957" t="s">
        <v>415</v>
      </c>
      <c r="B957" t="s">
        <v>413</v>
      </c>
      <c r="C957">
        <v>2019</v>
      </c>
      <c r="D957" t="s">
        <v>18</v>
      </c>
      <c r="E957">
        <v>10.136925292544003</v>
      </c>
      <c r="F957" t="s">
        <v>416</v>
      </c>
    </row>
    <row r="958" spans="1:6" hidden="1" x14ac:dyDescent="0.25">
      <c r="A958" t="s">
        <v>415</v>
      </c>
      <c r="B958" t="s">
        <v>413</v>
      </c>
      <c r="C958">
        <v>2020</v>
      </c>
      <c r="D958" t="s">
        <v>18</v>
      </c>
      <c r="E958">
        <v>9.0629558271923596</v>
      </c>
      <c r="F958" t="s">
        <v>416</v>
      </c>
    </row>
    <row r="959" spans="1:6" hidden="1" x14ac:dyDescent="0.25">
      <c r="A959" t="s">
        <v>415</v>
      </c>
      <c r="B959" t="s">
        <v>413</v>
      </c>
      <c r="C959">
        <v>2021</v>
      </c>
      <c r="D959" t="s">
        <v>18</v>
      </c>
      <c r="E959">
        <v>8.3142261771257804</v>
      </c>
      <c r="F959" t="s">
        <v>416</v>
      </c>
    </row>
    <row r="960" spans="1:6" hidden="1" x14ac:dyDescent="0.25">
      <c r="A960" t="s">
        <v>415</v>
      </c>
      <c r="B960" t="s">
        <v>413</v>
      </c>
      <c r="C960">
        <v>2022</v>
      </c>
      <c r="D960" t="s">
        <v>18</v>
      </c>
      <c r="E960">
        <v>7.7848027771624215</v>
      </c>
      <c r="F960" t="s">
        <v>416</v>
      </c>
    </row>
    <row r="961" spans="1:6" hidden="1" x14ac:dyDescent="0.25">
      <c r="A961" t="s">
        <v>415</v>
      </c>
      <c r="B961" t="s">
        <v>413</v>
      </c>
      <c r="C961">
        <v>2023</v>
      </c>
      <c r="D961" t="s">
        <v>18</v>
      </c>
      <c r="E961">
        <v>10.136657926322124</v>
      </c>
      <c r="F961" t="s">
        <v>416</v>
      </c>
    </row>
    <row r="962" spans="1:6" hidden="1" x14ac:dyDescent="0.25">
      <c r="A962" t="s">
        <v>415</v>
      </c>
      <c r="B962" t="s">
        <v>413</v>
      </c>
      <c r="C962">
        <v>2024</v>
      </c>
      <c r="D962" t="s">
        <v>18</v>
      </c>
      <c r="E962">
        <v>9.8713961357198521</v>
      </c>
      <c r="F962" t="s">
        <v>416</v>
      </c>
    </row>
    <row r="963" spans="1:6" hidden="1" x14ac:dyDescent="0.25">
      <c r="A963" t="s">
        <v>415</v>
      </c>
      <c r="B963" t="s">
        <v>413</v>
      </c>
      <c r="C963">
        <v>2025</v>
      </c>
      <c r="D963" t="s">
        <v>18</v>
      </c>
      <c r="E963">
        <v>11.843318168001705</v>
      </c>
      <c r="F963" t="s">
        <v>416</v>
      </c>
    </row>
    <row r="964" spans="1:6" hidden="1" x14ac:dyDescent="0.25">
      <c r="A964" t="s">
        <v>415</v>
      </c>
      <c r="B964" t="s">
        <v>413</v>
      </c>
      <c r="C964">
        <v>2026</v>
      </c>
      <c r="D964" t="s">
        <v>18</v>
      </c>
      <c r="E964">
        <v>15.217060508650189</v>
      </c>
      <c r="F964" t="s">
        <v>416</v>
      </c>
    </row>
    <row r="965" spans="1:6" hidden="1" x14ac:dyDescent="0.25">
      <c r="A965" t="s">
        <v>415</v>
      </c>
      <c r="B965" t="s">
        <v>413</v>
      </c>
      <c r="C965">
        <v>2027</v>
      </c>
      <c r="D965" t="s">
        <v>18</v>
      </c>
      <c r="E965">
        <v>16.023890303631632</v>
      </c>
      <c r="F965" t="s">
        <v>416</v>
      </c>
    </row>
    <row r="966" spans="1:6" hidden="1" x14ac:dyDescent="0.25">
      <c r="A966" t="s">
        <v>415</v>
      </c>
      <c r="B966" t="s">
        <v>413</v>
      </c>
      <c r="C966">
        <v>2028</v>
      </c>
      <c r="D966" t="s">
        <v>18</v>
      </c>
      <c r="E966">
        <v>16.537177529391705</v>
      </c>
      <c r="F966" t="s">
        <v>416</v>
      </c>
    </row>
    <row r="967" spans="1:6" hidden="1" x14ac:dyDescent="0.25">
      <c r="A967" t="s">
        <v>415</v>
      </c>
      <c r="B967" t="s">
        <v>413</v>
      </c>
      <c r="C967">
        <v>2029</v>
      </c>
      <c r="D967" t="s">
        <v>18</v>
      </c>
      <c r="E967">
        <v>16.065942482210023</v>
      </c>
      <c r="F967" t="s">
        <v>416</v>
      </c>
    </row>
    <row r="968" spans="1:6" hidden="1" x14ac:dyDescent="0.25">
      <c r="A968" t="s">
        <v>415</v>
      </c>
      <c r="B968" t="s">
        <v>413</v>
      </c>
      <c r="C968">
        <v>2030</v>
      </c>
      <c r="D968" t="s">
        <v>18</v>
      </c>
      <c r="E968">
        <v>16.323516971989704</v>
      </c>
      <c r="F968" t="s">
        <v>416</v>
      </c>
    </row>
    <row r="969" spans="1:6" hidden="1" x14ac:dyDescent="0.25">
      <c r="A969" t="s">
        <v>415</v>
      </c>
      <c r="B969" t="s">
        <v>413</v>
      </c>
      <c r="C969">
        <v>2031</v>
      </c>
      <c r="D969" t="s">
        <v>18</v>
      </c>
      <c r="E969">
        <v>16.684921832285234</v>
      </c>
      <c r="F969" t="s">
        <v>416</v>
      </c>
    </row>
    <row r="970" spans="1:6" hidden="1" x14ac:dyDescent="0.25">
      <c r="A970" t="s">
        <v>415</v>
      </c>
      <c r="B970" t="s">
        <v>413</v>
      </c>
      <c r="C970">
        <v>2032</v>
      </c>
      <c r="D970" t="s">
        <v>18</v>
      </c>
      <c r="E970">
        <v>17.292734389206977</v>
      </c>
      <c r="F970" t="s">
        <v>416</v>
      </c>
    </row>
    <row r="971" spans="1:6" hidden="1" x14ac:dyDescent="0.25">
      <c r="A971" t="s">
        <v>415</v>
      </c>
      <c r="B971" t="s">
        <v>413</v>
      </c>
      <c r="C971">
        <v>2033</v>
      </c>
      <c r="D971" t="s">
        <v>18</v>
      </c>
      <c r="E971">
        <v>17.709627381898081</v>
      </c>
      <c r="F971" t="s">
        <v>416</v>
      </c>
    </row>
    <row r="972" spans="1:6" hidden="1" x14ac:dyDescent="0.25">
      <c r="A972" t="s">
        <v>415</v>
      </c>
      <c r="B972" t="s">
        <v>413</v>
      </c>
      <c r="C972">
        <v>2034</v>
      </c>
      <c r="D972" t="s">
        <v>18</v>
      </c>
      <c r="E972">
        <v>18.653532130330397</v>
      </c>
      <c r="F972" t="s">
        <v>416</v>
      </c>
    </row>
    <row r="973" spans="1:6" hidden="1" x14ac:dyDescent="0.25">
      <c r="A973" t="s">
        <v>415</v>
      </c>
      <c r="B973" t="s">
        <v>413</v>
      </c>
      <c r="C973">
        <v>2035</v>
      </c>
      <c r="D973" t="s">
        <v>18</v>
      </c>
      <c r="E973">
        <v>19.57839658003838</v>
      </c>
      <c r="F973" t="s">
        <v>416</v>
      </c>
    </row>
    <row r="974" spans="1:6" hidden="1" x14ac:dyDescent="0.25">
      <c r="A974" t="s">
        <v>415</v>
      </c>
      <c r="B974" t="s">
        <v>413</v>
      </c>
      <c r="C974">
        <v>2036</v>
      </c>
      <c r="D974" t="s">
        <v>18</v>
      </c>
      <c r="E974">
        <v>21.924208281035447</v>
      </c>
      <c r="F974" t="s">
        <v>416</v>
      </c>
    </row>
    <row r="975" spans="1:6" hidden="1" x14ac:dyDescent="0.25">
      <c r="A975" t="s">
        <v>415</v>
      </c>
      <c r="B975" t="s">
        <v>413</v>
      </c>
      <c r="C975">
        <v>2037</v>
      </c>
      <c r="D975" t="s">
        <v>18</v>
      </c>
      <c r="E975">
        <v>24.824118812917941</v>
      </c>
      <c r="F975" t="s">
        <v>416</v>
      </c>
    </row>
    <row r="976" spans="1:6" hidden="1" x14ac:dyDescent="0.25">
      <c r="A976" t="s">
        <v>415</v>
      </c>
      <c r="B976" t="s">
        <v>413</v>
      </c>
      <c r="C976">
        <v>2038</v>
      </c>
      <c r="D976" t="s">
        <v>18</v>
      </c>
      <c r="E976">
        <v>28.447914076088711</v>
      </c>
      <c r="F976" t="s">
        <v>416</v>
      </c>
    </row>
    <row r="977" spans="1:6" hidden="1" x14ac:dyDescent="0.25">
      <c r="A977" t="s">
        <v>415</v>
      </c>
      <c r="B977" t="s">
        <v>413</v>
      </c>
      <c r="C977">
        <v>2039</v>
      </c>
      <c r="D977" t="s">
        <v>18</v>
      </c>
      <c r="E977">
        <v>33.020638493007745</v>
      </c>
      <c r="F977" t="s">
        <v>416</v>
      </c>
    </row>
    <row r="978" spans="1:6" hidden="1" x14ac:dyDescent="0.25">
      <c r="A978" t="s">
        <v>415</v>
      </c>
      <c r="B978" t="s">
        <v>413</v>
      </c>
      <c r="C978">
        <v>2040</v>
      </c>
      <c r="D978" t="s">
        <v>18</v>
      </c>
      <c r="E978">
        <v>38.840853119203338</v>
      </c>
      <c r="F978" t="s">
        <v>416</v>
      </c>
    </row>
    <row r="979" spans="1:6" hidden="1" x14ac:dyDescent="0.25">
      <c r="A979" t="s">
        <v>415</v>
      </c>
      <c r="B979" t="s">
        <v>413</v>
      </c>
      <c r="C979" t="s">
        <v>417</v>
      </c>
      <c r="D979" t="s">
        <v>13</v>
      </c>
      <c r="E979">
        <v>6.472219436340847</v>
      </c>
      <c r="F979" t="s">
        <v>416</v>
      </c>
    </row>
    <row r="980" spans="1:6" hidden="1" x14ac:dyDescent="0.25">
      <c r="A980" t="s">
        <v>415</v>
      </c>
      <c r="B980" t="s">
        <v>413</v>
      </c>
      <c r="C980" t="s">
        <v>417</v>
      </c>
      <c r="D980" t="s">
        <v>411</v>
      </c>
      <c r="E980">
        <v>25.411566015939236</v>
      </c>
      <c r="F980" t="s">
        <v>416</v>
      </c>
    </row>
    <row r="981" spans="1:6" hidden="1" x14ac:dyDescent="0.25">
      <c r="A981" t="s">
        <v>415</v>
      </c>
      <c r="B981" t="s">
        <v>413</v>
      </c>
      <c r="C981" t="s">
        <v>417</v>
      </c>
      <c r="D981" t="s">
        <v>412</v>
      </c>
      <c r="E981">
        <v>71.339547004664212</v>
      </c>
      <c r="F981" t="s">
        <v>416</v>
      </c>
    </row>
    <row r="982" spans="1:6" hidden="1" x14ac:dyDescent="0.25">
      <c r="A982" t="s">
        <v>415</v>
      </c>
      <c r="B982" t="s">
        <v>414</v>
      </c>
      <c r="C982">
        <v>2018</v>
      </c>
      <c r="D982" t="s">
        <v>17</v>
      </c>
      <c r="E982">
        <v>9.7779886456742027</v>
      </c>
      <c r="F982" t="s">
        <v>416</v>
      </c>
    </row>
    <row r="983" spans="1:6" hidden="1" x14ac:dyDescent="0.25">
      <c r="A983" t="s">
        <v>415</v>
      </c>
      <c r="B983" t="s">
        <v>414</v>
      </c>
      <c r="C983">
        <v>2019</v>
      </c>
      <c r="D983" t="s">
        <v>17</v>
      </c>
      <c r="E983">
        <v>10.136925292544003</v>
      </c>
      <c r="F983" t="s">
        <v>416</v>
      </c>
    </row>
    <row r="984" spans="1:6" hidden="1" x14ac:dyDescent="0.25">
      <c r="A984" t="s">
        <v>415</v>
      </c>
      <c r="B984" t="s">
        <v>414</v>
      </c>
      <c r="C984">
        <v>2020</v>
      </c>
      <c r="D984" t="s">
        <v>17</v>
      </c>
      <c r="E984">
        <v>9.0629558271923596</v>
      </c>
      <c r="F984" t="s">
        <v>416</v>
      </c>
    </row>
    <row r="985" spans="1:6" hidden="1" x14ac:dyDescent="0.25">
      <c r="A985" t="s">
        <v>415</v>
      </c>
      <c r="B985" t="s">
        <v>414</v>
      </c>
      <c r="C985">
        <v>2021</v>
      </c>
      <c r="D985" t="s">
        <v>17</v>
      </c>
      <c r="E985">
        <v>8.3142261771257804</v>
      </c>
      <c r="F985" t="s">
        <v>416</v>
      </c>
    </row>
    <row r="986" spans="1:6" hidden="1" x14ac:dyDescent="0.25">
      <c r="A986" t="s">
        <v>415</v>
      </c>
      <c r="B986" t="s">
        <v>414</v>
      </c>
      <c r="C986">
        <v>2022</v>
      </c>
      <c r="D986" t="s">
        <v>17</v>
      </c>
      <c r="E986">
        <v>7.7848027771624215</v>
      </c>
      <c r="F986" t="s">
        <v>416</v>
      </c>
    </row>
    <row r="987" spans="1:6" hidden="1" x14ac:dyDescent="0.25">
      <c r="A987" t="s">
        <v>415</v>
      </c>
      <c r="B987" t="s">
        <v>414</v>
      </c>
      <c r="C987">
        <v>2023</v>
      </c>
      <c r="D987" t="s">
        <v>17</v>
      </c>
      <c r="E987">
        <v>9.1777475585915997</v>
      </c>
      <c r="F987" t="s">
        <v>416</v>
      </c>
    </row>
    <row r="988" spans="1:6" hidden="1" x14ac:dyDescent="0.25">
      <c r="A988" t="s">
        <v>415</v>
      </c>
      <c r="B988" t="s">
        <v>414</v>
      </c>
      <c r="C988">
        <v>2024</v>
      </c>
      <c r="D988" t="s">
        <v>17</v>
      </c>
      <c r="E988">
        <v>9.2829392352579987</v>
      </c>
      <c r="F988" t="s">
        <v>416</v>
      </c>
    </row>
    <row r="989" spans="1:6" hidden="1" x14ac:dyDescent="0.25">
      <c r="A989" t="s">
        <v>415</v>
      </c>
      <c r="B989" t="s">
        <v>414</v>
      </c>
      <c r="C989">
        <v>2025</v>
      </c>
      <c r="D989" t="s">
        <v>17</v>
      </c>
      <c r="E989">
        <v>9.7325489453480021</v>
      </c>
      <c r="F989" t="s">
        <v>416</v>
      </c>
    </row>
    <row r="990" spans="1:6" hidden="1" x14ac:dyDescent="0.25">
      <c r="A990" t="s">
        <v>415</v>
      </c>
      <c r="B990" t="s">
        <v>414</v>
      </c>
      <c r="C990">
        <v>2026</v>
      </c>
      <c r="D990" t="s">
        <v>17</v>
      </c>
      <c r="E990">
        <v>9.8162807410180015</v>
      </c>
      <c r="F990" t="s">
        <v>416</v>
      </c>
    </row>
    <row r="991" spans="1:6" hidden="1" x14ac:dyDescent="0.25">
      <c r="A991" t="s">
        <v>415</v>
      </c>
      <c r="B991" t="s">
        <v>414</v>
      </c>
      <c r="C991">
        <v>2027</v>
      </c>
      <c r="D991" t="s">
        <v>17</v>
      </c>
      <c r="E991">
        <v>10.099556908692001</v>
      </c>
      <c r="F991" t="s">
        <v>416</v>
      </c>
    </row>
    <row r="992" spans="1:6" hidden="1" x14ac:dyDescent="0.25">
      <c r="A992" t="s">
        <v>415</v>
      </c>
      <c r="B992" t="s">
        <v>414</v>
      </c>
      <c r="C992">
        <v>2028</v>
      </c>
      <c r="D992" t="s">
        <v>17</v>
      </c>
      <c r="E992">
        <v>9.637366406072001</v>
      </c>
      <c r="F992" t="s">
        <v>416</v>
      </c>
    </row>
    <row r="993" spans="1:6" hidden="1" x14ac:dyDescent="0.25">
      <c r="A993" t="s">
        <v>415</v>
      </c>
      <c r="B993" t="s">
        <v>414</v>
      </c>
      <c r="C993">
        <v>2029</v>
      </c>
      <c r="D993" t="s">
        <v>17</v>
      </c>
      <c r="E993">
        <v>8.3784329785320004</v>
      </c>
      <c r="F993" t="s">
        <v>416</v>
      </c>
    </row>
    <row r="994" spans="1:6" hidden="1" x14ac:dyDescent="0.25">
      <c r="A994" t="s">
        <v>415</v>
      </c>
      <c r="B994" t="s">
        <v>414</v>
      </c>
      <c r="C994">
        <v>2030</v>
      </c>
      <c r="D994" t="s">
        <v>17</v>
      </c>
      <c r="E994">
        <v>8.2041676111780006</v>
      </c>
      <c r="F994" t="s">
        <v>416</v>
      </c>
    </row>
    <row r="995" spans="1:6" hidden="1" x14ac:dyDescent="0.25">
      <c r="A995" t="s">
        <v>415</v>
      </c>
      <c r="B995" t="s">
        <v>414</v>
      </c>
      <c r="C995">
        <v>2031</v>
      </c>
      <c r="D995" t="s">
        <v>17</v>
      </c>
      <c r="E995">
        <v>7.7108048799700013</v>
      </c>
      <c r="F995" t="s">
        <v>416</v>
      </c>
    </row>
    <row r="996" spans="1:6" hidden="1" x14ac:dyDescent="0.25">
      <c r="A996" t="s">
        <v>415</v>
      </c>
      <c r="B996" t="s">
        <v>414</v>
      </c>
      <c r="C996">
        <v>2032</v>
      </c>
      <c r="D996" t="s">
        <v>17</v>
      </c>
      <c r="E996">
        <v>7.7478762160220009</v>
      </c>
      <c r="F996" t="s">
        <v>416</v>
      </c>
    </row>
    <row r="997" spans="1:6" hidden="1" x14ac:dyDescent="0.25">
      <c r="A997" t="s">
        <v>415</v>
      </c>
      <c r="B997" t="s">
        <v>414</v>
      </c>
      <c r="C997">
        <v>2033</v>
      </c>
      <c r="D997" t="s">
        <v>17</v>
      </c>
      <c r="E997">
        <v>6.8773661179700003</v>
      </c>
      <c r="F997" t="s">
        <v>416</v>
      </c>
    </row>
    <row r="998" spans="1:6" hidden="1" x14ac:dyDescent="0.25">
      <c r="A998" t="s">
        <v>415</v>
      </c>
      <c r="B998" t="s">
        <v>414</v>
      </c>
      <c r="C998">
        <v>2034</v>
      </c>
      <c r="D998" t="s">
        <v>17</v>
      </c>
      <c r="E998">
        <v>6.7727234807340002</v>
      </c>
      <c r="F998" t="s">
        <v>416</v>
      </c>
    </row>
    <row r="999" spans="1:6" hidden="1" x14ac:dyDescent="0.25">
      <c r="A999" t="s">
        <v>415</v>
      </c>
      <c r="B999" t="s">
        <v>414</v>
      </c>
      <c r="C999">
        <v>2035</v>
      </c>
      <c r="D999" t="s">
        <v>17</v>
      </c>
      <c r="E999">
        <v>6.8236091089439999</v>
      </c>
      <c r="F999" t="s">
        <v>416</v>
      </c>
    </row>
    <row r="1000" spans="1:6" hidden="1" x14ac:dyDescent="0.25">
      <c r="A1000" t="s">
        <v>415</v>
      </c>
      <c r="B1000" t="s">
        <v>414</v>
      </c>
      <c r="C1000">
        <v>2036</v>
      </c>
      <c r="D1000" t="s">
        <v>17</v>
      </c>
      <c r="E1000">
        <v>6.6010757982320003</v>
      </c>
      <c r="F1000" t="s">
        <v>416</v>
      </c>
    </row>
    <row r="1001" spans="1:6" hidden="1" x14ac:dyDescent="0.25">
      <c r="A1001" t="s">
        <v>415</v>
      </c>
      <c r="B1001" t="s">
        <v>414</v>
      </c>
      <c r="C1001">
        <v>2037</v>
      </c>
      <c r="D1001" t="s">
        <v>17</v>
      </c>
      <c r="E1001">
        <v>5.30922817143</v>
      </c>
      <c r="F1001" t="s">
        <v>416</v>
      </c>
    </row>
    <row r="1002" spans="1:6" hidden="1" x14ac:dyDescent="0.25">
      <c r="A1002" t="s">
        <v>415</v>
      </c>
      <c r="B1002" t="s">
        <v>414</v>
      </c>
      <c r="C1002">
        <v>2038</v>
      </c>
      <c r="D1002" t="s">
        <v>17</v>
      </c>
      <c r="E1002">
        <v>3.7203122881600001</v>
      </c>
      <c r="F1002" t="s">
        <v>416</v>
      </c>
    </row>
    <row r="1003" spans="1:6" hidden="1" x14ac:dyDescent="0.25">
      <c r="A1003" t="s">
        <v>415</v>
      </c>
      <c r="B1003" t="s">
        <v>414</v>
      </c>
      <c r="C1003">
        <v>2039</v>
      </c>
      <c r="D1003" t="s">
        <v>17</v>
      </c>
      <c r="E1003">
        <v>3.821199705418</v>
      </c>
      <c r="F1003" t="s">
        <v>416</v>
      </c>
    </row>
    <row r="1004" spans="1:6" hidden="1" x14ac:dyDescent="0.25">
      <c r="A1004" t="s">
        <v>415</v>
      </c>
      <c r="B1004" t="s">
        <v>414</v>
      </c>
      <c r="C1004">
        <v>2040</v>
      </c>
      <c r="D1004" t="s">
        <v>17</v>
      </c>
      <c r="E1004">
        <v>3.9637131489560002</v>
      </c>
      <c r="F1004" t="s">
        <v>416</v>
      </c>
    </row>
    <row r="1005" spans="1:6" hidden="1" x14ac:dyDescent="0.25">
      <c r="A1005" t="s">
        <v>415</v>
      </c>
      <c r="B1005" t="s">
        <v>414</v>
      </c>
      <c r="C1005">
        <v>2018</v>
      </c>
      <c r="D1005" t="s">
        <v>18</v>
      </c>
      <c r="E1005">
        <v>9.7779886456742027</v>
      </c>
      <c r="F1005" t="s">
        <v>416</v>
      </c>
    </row>
    <row r="1006" spans="1:6" hidden="1" x14ac:dyDescent="0.25">
      <c r="A1006" t="s">
        <v>415</v>
      </c>
      <c r="B1006" t="s">
        <v>414</v>
      </c>
      <c r="C1006">
        <v>2019</v>
      </c>
      <c r="D1006" t="s">
        <v>18</v>
      </c>
      <c r="E1006">
        <v>10.136925292544003</v>
      </c>
      <c r="F1006" t="s">
        <v>416</v>
      </c>
    </row>
    <row r="1007" spans="1:6" hidden="1" x14ac:dyDescent="0.25">
      <c r="A1007" t="s">
        <v>415</v>
      </c>
      <c r="B1007" t="s">
        <v>414</v>
      </c>
      <c r="C1007">
        <v>2020</v>
      </c>
      <c r="D1007" t="s">
        <v>18</v>
      </c>
      <c r="E1007">
        <v>9.0629558271923596</v>
      </c>
      <c r="F1007" t="s">
        <v>416</v>
      </c>
    </row>
    <row r="1008" spans="1:6" hidden="1" x14ac:dyDescent="0.25">
      <c r="A1008" t="s">
        <v>415</v>
      </c>
      <c r="B1008" t="s">
        <v>414</v>
      </c>
      <c r="C1008">
        <v>2021</v>
      </c>
      <c r="D1008" t="s">
        <v>18</v>
      </c>
      <c r="E1008">
        <v>8.3142261771257804</v>
      </c>
      <c r="F1008" t="s">
        <v>416</v>
      </c>
    </row>
    <row r="1009" spans="1:6" hidden="1" x14ac:dyDescent="0.25">
      <c r="A1009" t="s">
        <v>415</v>
      </c>
      <c r="B1009" t="s">
        <v>414</v>
      </c>
      <c r="C1009">
        <v>2022</v>
      </c>
      <c r="D1009" t="s">
        <v>18</v>
      </c>
      <c r="E1009">
        <v>7.7848027771624215</v>
      </c>
      <c r="F1009" t="s">
        <v>416</v>
      </c>
    </row>
    <row r="1010" spans="1:6" hidden="1" x14ac:dyDescent="0.25">
      <c r="A1010" t="s">
        <v>415</v>
      </c>
      <c r="B1010" t="s">
        <v>414</v>
      </c>
      <c r="C1010">
        <v>2023</v>
      </c>
      <c r="D1010" t="s">
        <v>18</v>
      </c>
      <c r="E1010">
        <v>10.136657926322124</v>
      </c>
      <c r="F1010" t="s">
        <v>416</v>
      </c>
    </row>
    <row r="1011" spans="1:6" hidden="1" x14ac:dyDescent="0.25">
      <c r="A1011" t="s">
        <v>415</v>
      </c>
      <c r="B1011" t="s">
        <v>414</v>
      </c>
      <c r="C1011">
        <v>2024</v>
      </c>
      <c r="D1011" t="s">
        <v>18</v>
      </c>
      <c r="E1011">
        <v>9.8713961357198521</v>
      </c>
      <c r="F1011" t="s">
        <v>416</v>
      </c>
    </row>
    <row r="1012" spans="1:6" hidden="1" x14ac:dyDescent="0.25">
      <c r="A1012" t="s">
        <v>415</v>
      </c>
      <c r="B1012" t="s">
        <v>414</v>
      </c>
      <c r="C1012">
        <v>2025</v>
      </c>
      <c r="D1012" t="s">
        <v>18</v>
      </c>
      <c r="E1012">
        <v>11.843318168001705</v>
      </c>
      <c r="F1012" t="s">
        <v>416</v>
      </c>
    </row>
    <row r="1013" spans="1:6" hidden="1" x14ac:dyDescent="0.25">
      <c r="A1013" t="s">
        <v>415</v>
      </c>
      <c r="B1013" t="s">
        <v>414</v>
      </c>
      <c r="C1013">
        <v>2026</v>
      </c>
      <c r="D1013" t="s">
        <v>18</v>
      </c>
      <c r="E1013">
        <v>15.217060508650189</v>
      </c>
      <c r="F1013" t="s">
        <v>416</v>
      </c>
    </row>
    <row r="1014" spans="1:6" hidden="1" x14ac:dyDescent="0.25">
      <c r="A1014" t="s">
        <v>415</v>
      </c>
      <c r="B1014" t="s">
        <v>414</v>
      </c>
      <c r="C1014">
        <v>2027</v>
      </c>
      <c r="D1014" t="s">
        <v>18</v>
      </c>
      <c r="E1014">
        <v>16.023890303631632</v>
      </c>
      <c r="F1014" t="s">
        <v>416</v>
      </c>
    </row>
    <row r="1015" spans="1:6" hidden="1" x14ac:dyDescent="0.25">
      <c r="A1015" t="s">
        <v>415</v>
      </c>
      <c r="B1015" t="s">
        <v>414</v>
      </c>
      <c r="C1015">
        <v>2028</v>
      </c>
      <c r="D1015" t="s">
        <v>18</v>
      </c>
      <c r="E1015">
        <v>16.537177529391705</v>
      </c>
      <c r="F1015" t="s">
        <v>416</v>
      </c>
    </row>
    <row r="1016" spans="1:6" hidden="1" x14ac:dyDescent="0.25">
      <c r="A1016" t="s">
        <v>415</v>
      </c>
      <c r="B1016" t="s">
        <v>414</v>
      </c>
      <c r="C1016">
        <v>2029</v>
      </c>
      <c r="D1016" t="s">
        <v>18</v>
      </c>
      <c r="E1016">
        <v>16.065942482210023</v>
      </c>
      <c r="F1016" t="s">
        <v>416</v>
      </c>
    </row>
    <row r="1017" spans="1:6" hidden="1" x14ac:dyDescent="0.25">
      <c r="A1017" t="s">
        <v>415</v>
      </c>
      <c r="B1017" t="s">
        <v>414</v>
      </c>
      <c r="C1017">
        <v>2030</v>
      </c>
      <c r="D1017" t="s">
        <v>18</v>
      </c>
      <c r="E1017">
        <v>16.323516971989704</v>
      </c>
      <c r="F1017" t="s">
        <v>416</v>
      </c>
    </row>
    <row r="1018" spans="1:6" hidden="1" x14ac:dyDescent="0.25">
      <c r="A1018" t="s">
        <v>415</v>
      </c>
      <c r="B1018" t="s">
        <v>414</v>
      </c>
      <c r="C1018">
        <v>2031</v>
      </c>
      <c r="D1018" t="s">
        <v>18</v>
      </c>
      <c r="E1018">
        <v>16.684921832285234</v>
      </c>
      <c r="F1018" t="s">
        <v>416</v>
      </c>
    </row>
    <row r="1019" spans="1:6" hidden="1" x14ac:dyDescent="0.25">
      <c r="A1019" t="s">
        <v>415</v>
      </c>
      <c r="B1019" t="s">
        <v>414</v>
      </c>
      <c r="C1019">
        <v>2032</v>
      </c>
      <c r="D1019" t="s">
        <v>18</v>
      </c>
      <c r="E1019">
        <v>17.292734389206977</v>
      </c>
      <c r="F1019" t="s">
        <v>416</v>
      </c>
    </row>
    <row r="1020" spans="1:6" hidden="1" x14ac:dyDescent="0.25">
      <c r="A1020" t="s">
        <v>415</v>
      </c>
      <c r="B1020" t="s">
        <v>414</v>
      </c>
      <c r="C1020">
        <v>2033</v>
      </c>
      <c r="D1020" t="s">
        <v>18</v>
      </c>
      <c r="E1020">
        <v>17.709627381898081</v>
      </c>
      <c r="F1020" t="s">
        <v>416</v>
      </c>
    </row>
    <row r="1021" spans="1:6" hidden="1" x14ac:dyDescent="0.25">
      <c r="A1021" t="s">
        <v>415</v>
      </c>
      <c r="B1021" t="s">
        <v>414</v>
      </c>
      <c r="C1021">
        <v>2034</v>
      </c>
      <c r="D1021" t="s">
        <v>18</v>
      </c>
      <c r="E1021">
        <v>18.653532130330397</v>
      </c>
      <c r="F1021" t="s">
        <v>416</v>
      </c>
    </row>
    <row r="1022" spans="1:6" hidden="1" x14ac:dyDescent="0.25">
      <c r="A1022" t="s">
        <v>415</v>
      </c>
      <c r="B1022" t="s">
        <v>414</v>
      </c>
      <c r="C1022">
        <v>2035</v>
      </c>
      <c r="D1022" t="s">
        <v>18</v>
      </c>
      <c r="E1022">
        <v>19.57839658003838</v>
      </c>
      <c r="F1022" t="s">
        <v>416</v>
      </c>
    </row>
    <row r="1023" spans="1:6" hidden="1" x14ac:dyDescent="0.25">
      <c r="A1023" t="s">
        <v>415</v>
      </c>
      <c r="B1023" t="s">
        <v>414</v>
      </c>
      <c r="C1023">
        <v>2036</v>
      </c>
      <c r="D1023" t="s">
        <v>18</v>
      </c>
      <c r="E1023">
        <v>21.924208281035447</v>
      </c>
      <c r="F1023" t="s">
        <v>416</v>
      </c>
    </row>
    <row r="1024" spans="1:6" hidden="1" x14ac:dyDescent="0.25">
      <c r="A1024" t="s">
        <v>415</v>
      </c>
      <c r="B1024" t="s">
        <v>414</v>
      </c>
      <c r="C1024">
        <v>2037</v>
      </c>
      <c r="D1024" t="s">
        <v>18</v>
      </c>
      <c r="E1024">
        <v>24.824118812917941</v>
      </c>
      <c r="F1024" t="s">
        <v>416</v>
      </c>
    </row>
    <row r="1025" spans="1:6" hidden="1" x14ac:dyDescent="0.25">
      <c r="A1025" t="s">
        <v>415</v>
      </c>
      <c r="B1025" t="s">
        <v>414</v>
      </c>
      <c r="C1025">
        <v>2038</v>
      </c>
      <c r="D1025" t="s">
        <v>18</v>
      </c>
      <c r="E1025">
        <v>28.447914076088715</v>
      </c>
      <c r="F1025" t="s">
        <v>416</v>
      </c>
    </row>
    <row r="1026" spans="1:6" hidden="1" x14ac:dyDescent="0.25">
      <c r="A1026" t="s">
        <v>415</v>
      </c>
      <c r="B1026" t="s">
        <v>414</v>
      </c>
      <c r="C1026">
        <v>2039</v>
      </c>
      <c r="D1026" t="s">
        <v>18</v>
      </c>
      <c r="E1026">
        <v>33.020638493007745</v>
      </c>
      <c r="F1026" t="s">
        <v>416</v>
      </c>
    </row>
    <row r="1027" spans="1:6" hidden="1" x14ac:dyDescent="0.25">
      <c r="A1027" t="s">
        <v>415</v>
      </c>
      <c r="B1027" t="s">
        <v>414</v>
      </c>
      <c r="C1027">
        <v>2040</v>
      </c>
      <c r="D1027" t="s">
        <v>18</v>
      </c>
      <c r="E1027">
        <v>38.840853119203338</v>
      </c>
      <c r="F1027" t="s">
        <v>416</v>
      </c>
    </row>
    <row r="1028" spans="1:6" hidden="1" x14ac:dyDescent="0.25">
      <c r="A1028" t="s">
        <v>415</v>
      </c>
      <c r="B1028" t="s">
        <v>414</v>
      </c>
      <c r="C1028" t="s">
        <v>417</v>
      </c>
      <c r="D1028" t="s">
        <v>13</v>
      </c>
      <c r="E1028">
        <v>4.8541645772556361</v>
      </c>
      <c r="F1028" t="s">
        <v>416</v>
      </c>
    </row>
    <row r="1029" spans="1:6" hidden="1" x14ac:dyDescent="0.25">
      <c r="A1029" t="s">
        <v>415</v>
      </c>
      <c r="B1029" t="s">
        <v>414</v>
      </c>
      <c r="C1029" t="s">
        <v>417</v>
      </c>
      <c r="D1029" t="s">
        <v>411</v>
      </c>
      <c r="E1029">
        <v>7.2563334765452501</v>
      </c>
      <c r="F1029" t="s">
        <v>416</v>
      </c>
    </row>
    <row r="1030" spans="1:6" hidden="1" x14ac:dyDescent="0.25">
      <c r="A1030" t="s">
        <v>415</v>
      </c>
      <c r="B1030" t="s">
        <v>414</v>
      </c>
      <c r="C1030" t="s">
        <v>417</v>
      </c>
      <c r="D1030" t="s">
        <v>412</v>
      </c>
      <c r="E1030">
        <v>65.307001288907358</v>
      </c>
      <c r="F1030" t="s">
        <v>416</v>
      </c>
    </row>
  </sheetData>
  <autoFilter ref="A1:F1030" xr:uid="{F5D51101-5928-4164-B94F-51C2A84E0CB7}">
    <filterColumn colId="1">
      <filters>
        <filter val="Domestic demand scenario"/>
      </filters>
    </filterColumn>
    <filterColumn colId="2">
      <filters>
        <filter val="2023"/>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46DDE-D6B4-4D50-BFAD-39BE440BE0EE}">
  <dimension ref="A1:B8"/>
  <sheetViews>
    <sheetView workbookViewId="0">
      <selection activeCell="A8" sqref="A8"/>
    </sheetView>
  </sheetViews>
  <sheetFormatPr baseColWidth="10" defaultRowHeight="12.5" x14ac:dyDescent="0.25"/>
  <cols>
    <col min="1" max="1" width="25.90625" bestFit="1" customWidth="1"/>
    <col min="2" max="2" width="11.6328125" bestFit="1" customWidth="1"/>
  </cols>
  <sheetData>
    <row r="1" spans="1:2" ht="13" x14ac:dyDescent="0.25">
      <c r="A1" s="22" t="s">
        <v>395</v>
      </c>
      <c r="B1" s="22" t="s">
        <v>396</v>
      </c>
    </row>
    <row r="2" spans="1:2" x14ac:dyDescent="0.25">
      <c r="A2" s="23" t="s">
        <v>397</v>
      </c>
      <c r="B2" s="23" t="s">
        <v>398</v>
      </c>
    </row>
    <row r="3" spans="1:2" x14ac:dyDescent="0.25">
      <c r="A3" s="23" t="s">
        <v>399</v>
      </c>
      <c r="B3" s="23" t="s">
        <v>400</v>
      </c>
    </row>
    <row r="4" spans="1:2" x14ac:dyDescent="0.25">
      <c r="A4" s="23" t="s">
        <v>401</v>
      </c>
      <c r="B4" s="23" t="s">
        <v>402</v>
      </c>
    </row>
    <row r="5" spans="1:2" ht="13" x14ac:dyDescent="0.25">
      <c r="A5" s="24" t="s">
        <v>403</v>
      </c>
      <c r="B5" s="24" t="s">
        <v>404</v>
      </c>
    </row>
    <row r="8" spans="1:2" ht="13" x14ac:dyDescent="0.3">
      <c r="A8" s="25" t="s">
        <v>405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D3F587-87CA-456C-A681-8AC297EFC249}">
  <dimension ref="A1:AY62"/>
  <sheetViews>
    <sheetView topLeftCell="A19" workbookViewId="0">
      <selection sqref="A1:XFD1"/>
    </sheetView>
  </sheetViews>
  <sheetFormatPr baseColWidth="10" defaultColWidth="11.54296875" defaultRowHeight="12.5" x14ac:dyDescent="0.25"/>
  <cols>
    <col min="4" max="4" width="14.90625" bestFit="1" customWidth="1"/>
    <col min="5" max="5" width="197.6328125" bestFit="1" customWidth="1"/>
    <col min="6" max="10" width="4" bestFit="1" customWidth="1"/>
    <col min="11" max="11" width="6.453125" bestFit="1" customWidth="1"/>
    <col min="12" max="12" width="5" bestFit="1" customWidth="1"/>
    <col min="13" max="13" width="7.1796875" bestFit="1" customWidth="1"/>
    <col min="14" max="14" width="4.54296875" bestFit="1" customWidth="1"/>
    <col min="15" max="15" width="35.90625" bestFit="1" customWidth="1"/>
    <col min="16" max="16" width="31.6328125" bestFit="1" customWidth="1"/>
    <col min="17" max="17" width="197.6328125" bestFit="1" customWidth="1"/>
    <col min="18" max="22" width="4" bestFit="1" customWidth="1"/>
    <col min="23" max="23" width="6.453125" bestFit="1" customWidth="1"/>
    <col min="24" max="24" width="5" bestFit="1" customWidth="1"/>
    <col min="25" max="26" width="5.54296875" bestFit="1" customWidth="1"/>
    <col min="27" max="27" width="35.90625" bestFit="1" customWidth="1"/>
    <col min="28" max="28" width="17.6328125" bestFit="1" customWidth="1"/>
    <col min="29" max="29" width="201.6328125" bestFit="1" customWidth="1"/>
    <col min="30" max="34" width="4" bestFit="1" customWidth="1"/>
    <col min="35" max="35" width="6.453125" bestFit="1" customWidth="1"/>
    <col min="36" max="36" width="5" bestFit="1" customWidth="1"/>
    <col min="37" max="38" width="6.54296875" bestFit="1" customWidth="1"/>
    <col min="39" max="39" width="35.90625" bestFit="1" customWidth="1"/>
    <col min="40" max="40" width="14" bestFit="1" customWidth="1"/>
    <col min="41" max="41" width="220.6328125" bestFit="1" customWidth="1"/>
    <col min="42" max="46" width="4" bestFit="1" customWidth="1"/>
    <col min="47" max="47" width="6.453125" bestFit="1" customWidth="1"/>
    <col min="48" max="48" width="5" bestFit="1" customWidth="1"/>
    <col min="49" max="49" width="5.54296875" bestFit="1" customWidth="1"/>
    <col min="50" max="50" width="4.54296875" bestFit="1" customWidth="1"/>
    <col min="51" max="51" width="35.90625" bestFit="1" customWidth="1"/>
  </cols>
  <sheetData>
    <row r="1" spans="1:51" ht="14.5" x14ac:dyDescent="0.35">
      <c r="A1" s="5" t="s">
        <v>19</v>
      </c>
      <c r="B1" s="5" t="s">
        <v>20</v>
      </c>
      <c r="C1" s="5" t="s">
        <v>21</v>
      </c>
      <c r="D1" s="6" t="s">
        <v>22</v>
      </c>
      <c r="E1" s="7" t="s">
        <v>23</v>
      </c>
      <c r="F1" s="8" t="s">
        <v>24</v>
      </c>
      <c r="G1" s="8" t="s">
        <v>25</v>
      </c>
      <c r="H1" s="8" t="s">
        <v>26</v>
      </c>
      <c r="I1" s="8" t="s">
        <v>27</v>
      </c>
      <c r="J1" s="8" t="s">
        <v>28</v>
      </c>
      <c r="K1" s="9" t="s">
        <v>29</v>
      </c>
      <c r="L1" s="8" t="s">
        <v>30</v>
      </c>
      <c r="M1" s="10" t="s">
        <v>31</v>
      </c>
      <c r="N1" s="11" t="s">
        <v>32</v>
      </c>
      <c r="O1" s="8" t="s">
        <v>33</v>
      </c>
      <c r="P1" s="6" t="s">
        <v>34</v>
      </c>
      <c r="Q1" s="7" t="s">
        <v>23</v>
      </c>
      <c r="R1" s="8" t="s">
        <v>24</v>
      </c>
      <c r="S1" s="8" t="s">
        <v>25</v>
      </c>
      <c r="T1" s="8" t="s">
        <v>26</v>
      </c>
      <c r="U1" s="8" t="s">
        <v>27</v>
      </c>
      <c r="V1" s="8" t="s">
        <v>28</v>
      </c>
      <c r="W1" s="9" t="s">
        <v>29</v>
      </c>
      <c r="X1" s="8" t="s">
        <v>30</v>
      </c>
      <c r="Y1" s="7" t="s">
        <v>31</v>
      </c>
      <c r="Z1" s="8" t="s">
        <v>32</v>
      </c>
      <c r="AA1" s="8" t="s">
        <v>33</v>
      </c>
      <c r="AB1" s="6" t="s">
        <v>35</v>
      </c>
      <c r="AC1" s="7" t="s">
        <v>23</v>
      </c>
      <c r="AD1" s="8" t="s">
        <v>24</v>
      </c>
      <c r="AE1" s="8" t="s">
        <v>25</v>
      </c>
      <c r="AF1" s="8" t="s">
        <v>26</v>
      </c>
      <c r="AG1" s="8" t="s">
        <v>27</v>
      </c>
      <c r="AH1" s="8" t="s">
        <v>28</v>
      </c>
      <c r="AI1" s="9" t="s">
        <v>29</v>
      </c>
      <c r="AJ1" s="8" t="s">
        <v>30</v>
      </c>
      <c r="AK1" s="7" t="s">
        <v>31</v>
      </c>
      <c r="AL1" s="8" t="s">
        <v>32</v>
      </c>
      <c r="AM1" s="8" t="s">
        <v>33</v>
      </c>
      <c r="AN1" s="6" t="s">
        <v>36</v>
      </c>
      <c r="AO1" s="7" t="s">
        <v>23</v>
      </c>
      <c r="AP1" s="8" t="s">
        <v>24</v>
      </c>
      <c r="AQ1" s="8" t="s">
        <v>25</v>
      </c>
      <c r="AR1" s="8" t="s">
        <v>26</v>
      </c>
      <c r="AS1" s="8" t="s">
        <v>27</v>
      </c>
      <c r="AT1" s="8" t="s">
        <v>28</v>
      </c>
      <c r="AU1" s="9" t="s">
        <v>29</v>
      </c>
      <c r="AV1" s="8" t="s">
        <v>30</v>
      </c>
      <c r="AW1" s="7" t="s">
        <v>31</v>
      </c>
      <c r="AX1" s="8" t="s">
        <v>32</v>
      </c>
      <c r="AY1" s="8" t="s">
        <v>33</v>
      </c>
    </row>
    <row r="2" spans="1:51" ht="14.5" x14ac:dyDescent="0.35">
      <c r="A2">
        <v>47</v>
      </c>
      <c r="B2" t="s">
        <v>37</v>
      </c>
      <c r="C2" t="s">
        <v>38</v>
      </c>
      <c r="D2" s="12">
        <v>0.8425655976676385</v>
      </c>
      <c r="E2" s="13" t="s">
        <v>39</v>
      </c>
      <c r="F2" s="14">
        <v>1</v>
      </c>
      <c r="G2" s="14">
        <v>4</v>
      </c>
      <c r="H2" s="14">
        <v>1</v>
      </c>
      <c r="I2" s="13">
        <v>2</v>
      </c>
      <c r="J2" s="13">
        <v>1</v>
      </c>
      <c r="K2" s="15">
        <v>1.1925122738235221</v>
      </c>
      <c r="L2" s="15">
        <v>1.0920221031753534</v>
      </c>
      <c r="M2" s="16">
        <v>51.95121542835394</v>
      </c>
      <c r="N2" s="16">
        <v>9.7071475194848187</v>
      </c>
      <c r="O2" s="16" t="s">
        <v>40</v>
      </c>
      <c r="P2" s="12">
        <v>0.91001697792869274</v>
      </c>
      <c r="Q2" s="13" t="s">
        <v>39</v>
      </c>
      <c r="R2" s="14">
        <v>1</v>
      </c>
      <c r="S2" s="13">
        <v>4</v>
      </c>
      <c r="T2" s="14">
        <v>1</v>
      </c>
      <c r="U2" s="14">
        <v>2</v>
      </c>
      <c r="V2" s="13">
        <v>1</v>
      </c>
      <c r="W2" s="15">
        <v>1.1925122738235221</v>
      </c>
      <c r="X2" s="15">
        <v>1.0920221031753534</v>
      </c>
      <c r="Y2" s="16">
        <v>34.289381847133761</v>
      </c>
      <c r="Z2" s="16">
        <v>3.3905545483173296</v>
      </c>
      <c r="AA2" s="16" t="s">
        <v>41</v>
      </c>
      <c r="AB2" s="12">
        <v>1</v>
      </c>
      <c r="AC2" s="13" t="s">
        <v>39</v>
      </c>
      <c r="AD2" s="14">
        <v>1</v>
      </c>
      <c r="AE2" s="14">
        <v>4</v>
      </c>
      <c r="AF2" s="14">
        <v>1</v>
      </c>
      <c r="AG2" s="13">
        <v>2</v>
      </c>
      <c r="AH2" s="13">
        <v>1</v>
      </c>
      <c r="AI2" s="15">
        <v>1.1925122738235221</v>
      </c>
      <c r="AJ2" s="15">
        <v>1.0920221031753534</v>
      </c>
      <c r="AK2" s="16">
        <v>-1</v>
      </c>
      <c r="AL2" s="16">
        <v>0</v>
      </c>
      <c r="AM2" s="16" t="s">
        <v>42</v>
      </c>
      <c r="AN2" s="12">
        <v>1</v>
      </c>
      <c r="AO2" s="13" t="s">
        <v>39</v>
      </c>
      <c r="AP2" s="14">
        <v>1</v>
      </c>
      <c r="AQ2" s="14">
        <v>4</v>
      </c>
      <c r="AR2" s="14">
        <v>1</v>
      </c>
      <c r="AS2" s="13">
        <v>2</v>
      </c>
      <c r="AT2" s="13">
        <v>1</v>
      </c>
      <c r="AU2" s="15">
        <v>1.1925122738235221</v>
      </c>
      <c r="AV2" s="15">
        <v>1.0920221031753534</v>
      </c>
      <c r="AW2" s="16">
        <v>-1</v>
      </c>
      <c r="AX2" s="16">
        <v>0</v>
      </c>
      <c r="AY2" s="16" t="s">
        <v>42</v>
      </c>
    </row>
    <row r="3" spans="1:51" ht="14.5" x14ac:dyDescent="0.35">
      <c r="A3">
        <v>13</v>
      </c>
      <c r="B3" t="s">
        <v>43</v>
      </c>
      <c r="C3" t="s">
        <v>44</v>
      </c>
      <c r="D3" s="12">
        <v>0.87929656274979995</v>
      </c>
      <c r="E3" s="13" t="s">
        <v>45</v>
      </c>
      <c r="F3" s="14">
        <v>1</v>
      </c>
      <c r="G3" s="14">
        <v>2</v>
      </c>
      <c r="H3" s="14">
        <v>1</v>
      </c>
      <c r="I3" s="13">
        <v>2</v>
      </c>
      <c r="J3" s="13">
        <v>1</v>
      </c>
      <c r="K3" s="15">
        <v>1.1174816203765749</v>
      </c>
      <c r="L3" s="15">
        <v>1.0571100322939779</v>
      </c>
      <c r="M3" s="16">
        <v>113.57327852025585</v>
      </c>
      <c r="N3" s="16">
        <v>15.590513687780607</v>
      </c>
      <c r="O3" s="16" t="s">
        <v>46</v>
      </c>
      <c r="P3" s="12">
        <v>0.59090909090909094</v>
      </c>
      <c r="Q3" s="13" t="s">
        <v>45</v>
      </c>
      <c r="R3" s="14">
        <v>1</v>
      </c>
      <c r="S3" s="14">
        <v>2</v>
      </c>
      <c r="T3" s="14">
        <v>1</v>
      </c>
      <c r="U3" s="13">
        <v>2</v>
      </c>
      <c r="V3" s="13">
        <v>1</v>
      </c>
      <c r="W3" s="15">
        <v>1.1174816203765749</v>
      </c>
      <c r="X3" s="15">
        <v>1.0571100322939779</v>
      </c>
      <c r="Y3" s="16">
        <v>174.59386256910432</v>
      </c>
      <c r="Z3" s="16">
        <v>120.87267408630298</v>
      </c>
      <c r="AA3" s="16" t="s">
        <v>47</v>
      </c>
      <c r="AB3" s="17">
        <v>0.94650205761316875</v>
      </c>
      <c r="AC3" s="13" t="s">
        <v>45</v>
      </c>
      <c r="AD3" s="14">
        <v>1</v>
      </c>
      <c r="AE3" s="14">
        <v>2</v>
      </c>
      <c r="AF3" s="14">
        <v>1</v>
      </c>
      <c r="AG3" s="13">
        <v>2</v>
      </c>
      <c r="AH3" s="13">
        <v>1</v>
      </c>
      <c r="AI3" s="15">
        <v>1.1174816203765749</v>
      </c>
      <c r="AJ3" s="15">
        <v>1.0571100322939779</v>
      </c>
      <c r="AK3" s="16">
        <v>57.831576284369284</v>
      </c>
      <c r="AL3" s="16">
        <v>3.2687412682469579</v>
      </c>
      <c r="AM3" s="16" t="s">
        <v>48</v>
      </c>
      <c r="AN3" s="12">
        <v>0.97</v>
      </c>
      <c r="AO3" s="13" t="s">
        <v>45</v>
      </c>
      <c r="AP3" s="14">
        <v>1</v>
      </c>
      <c r="AQ3" s="14">
        <v>2</v>
      </c>
      <c r="AR3" s="14">
        <v>1</v>
      </c>
      <c r="AS3" s="13">
        <v>2</v>
      </c>
      <c r="AT3" s="13">
        <v>1</v>
      </c>
      <c r="AU3" s="15">
        <v>1.1174816203765749</v>
      </c>
      <c r="AV3" s="15">
        <v>1.0571100322939779</v>
      </c>
      <c r="AW3" s="16">
        <v>33.647834959002907</v>
      </c>
      <c r="AX3" s="16">
        <v>1.040654689453699</v>
      </c>
      <c r="AY3" s="16" t="s">
        <v>49</v>
      </c>
    </row>
    <row r="4" spans="1:51" ht="14.5" x14ac:dyDescent="0.35">
      <c r="A4">
        <v>33</v>
      </c>
      <c r="B4" t="s">
        <v>50</v>
      </c>
      <c r="C4" t="s">
        <v>51</v>
      </c>
      <c r="D4" s="12">
        <v>8.4343116045257224E-2</v>
      </c>
      <c r="E4" s="14" t="s">
        <v>52</v>
      </c>
      <c r="F4" s="14">
        <v>1</v>
      </c>
      <c r="G4" s="14">
        <v>3</v>
      </c>
      <c r="H4" s="14">
        <v>2</v>
      </c>
      <c r="I4" s="13">
        <v>2</v>
      </c>
      <c r="J4" s="13">
        <v>2</v>
      </c>
      <c r="K4" s="15">
        <v>1.1711691055232991</v>
      </c>
      <c r="L4" s="15">
        <v>1.0822056669244065</v>
      </c>
      <c r="M4" s="16">
        <v>3.7712262932398102</v>
      </c>
      <c r="N4" s="16">
        <v>40.941685323829539</v>
      </c>
      <c r="O4" s="16" t="s">
        <v>53</v>
      </c>
      <c r="P4" s="12">
        <v>0.97856553998351192</v>
      </c>
      <c r="Q4" s="14" t="s">
        <v>54</v>
      </c>
      <c r="R4" s="14">
        <v>1</v>
      </c>
      <c r="S4" s="14">
        <v>3</v>
      </c>
      <c r="T4" s="14">
        <v>2</v>
      </c>
      <c r="U4" s="13">
        <v>2</v>
      </c>
      <c r="V4" s="13">
        <v>2</v>
      </c>
      <c r="W4" s="15">
        <v>1.1711691055232991</v>
      </c>
      <c r="X4" s="15">
        <v>1.0822056669244065</v>
      </c>
      <c r="Y4" s="16">
        <v>11.170667442118644</v>
      </c>
      <c r="Z4" s="16">
        <v>0.24468184793183251</v>
      </c>
      <c r="AA4" s="16" t="s">
        <v>55</v>
      </c>
      <c r="AB4" s="12">
        <v>0</v>
      </c>
      <c r="AC4" s="14" t="s">
        <v>56</v>
      </c>
      <c r="AD4" s="14">
        <v>1</v>
      </c>
      <c r="AE4" s="14">
        <v>1</v>
      </c>
      <c r="AF4" s="14">
        <v>1</v>
      </c>
      <c r="AG4" s="13">
        <v>1</v>
      </c>
      <c r="AH4" s="13">
        <v>1</v>
      </c>
      <c r="AI4" s="15">
        <v>1.05</v>
      </c>
      <c r="AJ4" s="15">
        <v>1.0246950765959599</v>
      </c>
      <c r="AK4" s="16">
        <v>0</v>
      </c>
      <c r="AL4" s="16">
        <v>-1</v>
      </c>
      <c r="AM4" s="16" t="s">
        <v>57</v>
      </c>
      <c r="AN4" s="12">
        <v>0</v>
      </c>
      <c r="AO4" s="14" t="s">
        <v>58</v>
      </c>
      <c r="AP4" s="14">
        <v>1</v>
      </c>
      <c r="AQ4" s="14">
        <v>1</v>
      </c>
      <c r="AR4" s="14">
        <v>1</v>
      </c>
      <c r="AS4" s="13">
        <v>1</v>
      </c>
      <c r="AT4" s="13">
        <v>1</v>
      </c>
      <c r="AU4" s="15">
        <v>1.05</v>
      </c>
      <c r="AV4" s="15">
        <v>1.0246950765959599</v>
      </c>
      <c r="AW4" s="16">
        <v>0</v>
      </c>
      <c r="AX4" s="16">
        <v>-1</v>
      </c>
      <c r="AY4" s="16" t="s">
        <v>57</v>
      </c>
    </row>
    <row r="5" spans="1:51" ht="14.5" x14ac:dyDescent="0.35">
      <c r="A5">
        <v>79</v>
      </c>
      <c r="B5" t="s">
        <v>59</v>
      </c>
      <c r="C5" t="s">
        <v>60</v>
      </c>
      <c r="D5" s="12">
        <v>0.73259375000000004</v>
      </c>
      <c r="E5" s="14" t="s">
        <v>61</v>
      </c>
      <c r="F5" s="14">
        <v>3</v>
      </c>
      <c r="G5" s="14">
        <v>1</v>
      </c>
      <c r="H5" s="14">
        <v>1</v>
      </c>
      <c r="I5" s="13">
        <v>2</v>
      </c>
      <c r="J5" s="13">
        <v>1</v>
      </c>
      <c r="K5" s="15">
        <v>1.2354522921220721</v>
      </c>
      <c r="L5" s="15">
        <v>1.1115090157628376</v>
      </c>
      <c r="M5" s="16">
        <v>45.435080649730537</v>
      </c>
      <c r="N5" s="16">
        <v>16.584395560284271</v>
      </c>
      <c r="O5" s="16" t="s">
        <v>62</v>
      </c>
      <c r="P5" s="12">
        <v>0.89571686701428566</v>
      </c>
      <c r="Q5" s="13" t="s">
        <v>63</v>
      </c>
      <c r="R5" s="14">
        <v>3</v>
      </c>
      <c r="S5" s="13">
        <v>1</v>
      </c>
      <c r="T5" s="14">
        <v>1</v>
      </c>
      <c r="U5" s="14">
        <v>3</v>
      </c>
      <c r="V5" s="13">
        <v>1</v>
      </c>
      <c r="W5" s="15">
        <v>1.3000688016831126</v>
      </c>
      <c r="X5" s="15">
        <v>1.1402055962339039</v>
      </c>
      <c r="Y5" s="16">
        <v>16.12919487108617</v>
      </c>
      <c r="Z5" s="16">
        <v>1.8778288493111013</v>
      </c>
      <c r="AA5" s="16" t="s">
        <v>64</v>
      </c>
      <c r="AB5" s="12">
        <v>0.9</v>
      </c>
      <c r="AC5" s="13" t="s">
        <v>63</v>
      </c>
      <c r="AD5" s="14">
        <v>3</v>
      </c>
      <c r="AE5" s="14">
        <v>1</v>
      </c>
      <c r="AF5" s="14">
        <v>1</v>
      </c>
      <c r="AG5" s="13">
        <v>3</v>
      </c>
      <c r="AH5" s="13">
        <v>1</v>
      </c>
      <c r="AI5" s="15">
        <v>1.3000688016831126</v>
      </c>
      <c r="AJ5" s="15">
        <v>1.1402055962339039</v>
      </c>
      <c r="AK5" s="16">
        <v>15.58216710645304</v>
      </c>
      <c r="AL5" s="16">
        <v>1.731351900717004</v>
      </c>
      <c r="AM5" s="16" t="s">
        <v>65</v>
      </c>
      <c r="AN5" s="12">
        <v>0.97592997811816196</v>
      </c>
      <c r="AO5" s="13" t="s">
        <v>63</v>
      </c>
      <c r="AP5" s="14">
        <v>3</v>
      </c>
      <c r="AQ5" s="14">
        <v>1</v>
      </c>
      <c r="AR5" s="14">
        <v>1</v>
      </c>
      <c r="AS5" s="13">
        <v>3</v>
      </c>
      <c r="AT5" s="13">
        <v>1</v>
      </c>
      <c r="AU5" s="15">
        <v>1.3000688016831126</v>
      </c>
      <c r="AV5" s="15">
        <v>1.1402055962339039</v>
      </c>
      <c r="AW5" s="16">
        <v>3.688978165112387</v>
      </c>
      <c r="AX5" s="16">
        <v>9.0983766404117053E-2</v>
      </c>
      <c r="AY5" s="16" t="s">
        <v>66</v>
      </c>
    </row>
    <row r="6" spans="1:51" ht="14.5" x14ac:dyDescent="0.35">
      <c r="A6">
        <v>5</v>
      </c>
      <c r="B6" t="s">
        <v>67</v>
      </c>
      <c r="C6" t="s">
        <v>68</v>
      </c>
      <c r="D6" s="12">
        <v>0.77600000000000002</v>
      </c>
      <c r="E6" s="14" t="s">
        <v>69</v>
      </c>
      <c r="F6" s="14">
        <v>3</v>
      </c>
      <c r="G6" s="14">
        <v>3</v>
      </c>
      <c r="H6" s="14">
        <v>3</v>
      </c>
      <c r="I6" s="14">
        <v>2</v>
      </c>
      <c r="J6" s="14">
        <v>1</v>
      </c>
      <c r="K6" s="15">
        <v>1.2684630087984967</v>
      </c>
      <c r="L6" s="15">
        <v>1.1262606309369501</v>
      </c>
      <c r="M6" s="16">
        <v>33.069079748915236</v>
      </c>
      <c r="N6" s="16">
        <v>9.5457137419549127</v>
      </c>
      <c r="O6" s="16" t="s">
        <v>70</v>
      </c>
      <c r="P6" s="12">
        <v>0.95</v>
      </c>
      <c r="Q6" s="14" t="s">
        <v>71</v>
      </c>
      <c r="R6" s="14">
        <v>4</v>
      </c>
      <c r="S6" s="14">
        <v>1</v>
      </c>
      <c r="T6" s="14">
        <v>1</v>
      </c>
      <c r="U6" s="14">
        <v>3</v>
      </c>
      <c r="V6" s="14">
        <v>1</v>
      </c>
      <c r="W6" s="15">
        <v>1.4707782003422192</v>
      </c>
      <c r="X6" s="15">
        <v>1.212756447248259</v>
      </c>
      <c r="Y6" s="16">
        <v>3.037601467121025</v>
      </c>
      <c r="Z6" s="16">
        <v>0.15987376142742252</v>
      </c>
      <c r="AA6" s="16" t="s">
        <v>72</v>
      </c>
      <c r="AB6" s="12">
        <v>0</v>
      </c>
      <c r="AC6" s="14" t="s">
        <v>73</v>
      </c>
      <c r="AD6" s="14">
        <v>1</v>
      </c>
      <c r="AE6" s="14">
        <v>1</v>
      </c>
      <c r="AF6" s="14">
        <v>1</v>
      </c>
      <c r="AG6" s="14">
        <v>1</v>
      </c>
      <c r="AH6" s="14">
        <v>1</v>
      </c>
      <c r="AI6" s="15">
        <v>1.05</v>
      </c>
      <c r="AJ6" s="15">
        <v>1.0246950765959599</v>
      </c>
      <c r="AK6" s="16">
        <v>0</v>
      </c>
      <c r="AL6" s="16">
        <v>-1</v>
      </c>
      <c r="AM6" s="16" t="s">
        <v>57</v>
      </c>
      <c r="AN6" s="12">
        <v>0</v>
      </c>
      <c r="AO6" s="14" t="s">
        <v>74</v>
      </c>
      <c r="AP6" s="14">
        <v>1</v>
      </c>
      <c r="AQ6" s="14">
        <v>1</v>
      </c>
      <c r="AR6" s="14">
        <v>1</v>
      </c>
      <c r="AS6" s="14">
        <v>1</v>
      </c>
      <c r="AT6" s="14">
        <v>1</v>
      </c>
      <c r="AU6" s="15">
        <v>1.05</v>
      </c>
      <c r="AV6" s="15">
        <v>1.0246950765959599</v>
      </c>
      <c r="AW6" s="16">
        <v>0</v>
      </c>
      <c r="AX6" s="16">
        <v>-1</v>
      </c>
      <c r="AY6" s="16" t="s">
        <v>57</v>
      </c>
    </row>
    <row r="7" spans="1:51" ht="14.5" x14ac:dyDescent="0.35">
      <c r="A7">
        <v>56</v>
      </c>
      <c r="B7" t="s">
        <v>75</v>
      </c>
      <c r="C7" t="s">
        <v>76</v>
      </c>
      <c r="D7" s="12">
        <v>0.8</v>
      </c>
      <c r="E7" s="14" t="s">
        <v>77</v>
      </c>
      <c r="F7" s="14">
        <v>3</v>
      </c>
      <c r="G7" s="14">
        <v>2</v>
      </c>
      <c r="H7" s="14">
        <v>1</v>
      </c>
      <c r="I7" s="13">
        <v>3</v>
      </c>
      <c r="J7" s="13">
        <v>1</v>
      </c>
      <c r="K7" s="15">
        <v>1.3022280723042765</v>
      </c>
      <c r="L7" s="15">
        <v>1.1411520811461882</v>
      </c>
      <c r="M7" s="16">
        <v>24.897767139793061</v>
      </c>
      <c r="N7" s="16">
        <v>6.2244417849482634</v>
      </c>
      <c r="O7" s="16" t="s">
        <v>78</v>
      </c>
      <c r="P7" s="12">
        <v>0.95</v>
      </c>
      <c r="Q7" s="14" t="s">
        <v>71</v>
      </c>
      <c r="R7" s="14">
        <v>3</v>
      </c>
      <c r="S7" s="13">
        <v>1</v>
      </c>
      <c r="T7" s="14">
        <v>1</v>
      </c>
      <c r="U7" s="14">
        <v>3</v>
      </c>
      <c r="V7" s="13">
        <v>1</v>
      </c>
      <c r="W7" s="15">
        <v>1.3000688016831126</v>
      </c>
      <c r="X7" s="15">
        <v>1.1402055962339039</v>
      </c>
      <c r="Y7" s="16">
        <v>8.2321949466505444</v>
      </c>
      <c r="Z7" s="16">
        <v>0.43327341824476595</v>
      </c>
      <c r="AA7" s="16" t="s">
        <v>72</v>
      </c>
      <c r="AB7" s="12">
        <v>0</v>
      </c>
      <c r="AC7" s="14" t="s">
        <v>79</v>
      </c>
      <c r="AD7" s="14">
        <v>1</v>
      </c>
      <c r="AE7" s="14">
        <v>1</v>
      </c>
      <c r="AF7" s="14">
        <v>1</v>
      </c>
      <c r="AG7" s="14">
        <v>1</v>
      </c>
      <c r="AH7" s="14">
        <v>1</v>
      </c>
      <c r="AI7" s="15">
        <v>1.05</v>
      </c>
      <c r="AJ7" s="15">
        <v>1.0246950765959599</v>
      </c>
      <c r="AK7" s="16">
        <v>0</v>
      </c>
      <c r="AL7" s="16">
        <v>-1</v>
      </c>
      <c r="AM7" s="16" t="s">
        <v>57</v>
      </c>
      <c r="AN7" s="12">
        <v>0</v>
      </c>
      <c r="AO7" s="14" t="s">
        <v>80</v>
      </c>
      <c r="AP7" s="14">
        <v>3</v>
      </c>
      <c r="AQ7" s="14">
        <v>1</v>
      </c>
      <c r="AR7" s="14">
        <v>1</v>
      </c>
      <c r="AS7" s="13">
        <v>1</v>
      </c>
      <c r="AT7" s="13">
        <v>1</v>
      </c>
      <c r="AU7" s="15">
        <v>1.207723199572867</v>
      </c>
      <c r="AV7" s="15">
        <v>1.098964603421269</v>
      </c>
      <c r="AW7" s="16">
        <v>0</v>
      </c>
      <c r="AX7" s="16">
        <v>-1</v>
      </c>
      <c r="AY7" s="16" t="s">
        <v>57</v>
      </c>
    </row>
    <row r="8" spans="1:51" ht="14.5" x14ac:dyDescent="0.35">
      <c r="A8">
        <v>4</v>
      </c>
      <c r="B8" t="s">
        <v>81</v>
      </c>
      <c r="C8" t="s">
        <v>82</v>
      </c>
      <c r="D8" s="12">
        <v>0.87</v>
      </c>
      <c r="E8" s="13" t="s">
        <v>83</v>
      </c>
      <c r="F8" s="14">
        <v>2</v>
      </c>
      <c r="G8" s="13">
        <v>2</v>
      </c>
      <c r="H8" s="13">
        <v>3</v>
      </c>
      <c r="I8" s="13">
        <v>3</v>
      </c>
      <c r="J8" s="13">
        <v>1</v>
      </c>
      <c r="K8" s="15">
        <v>1.2547562988440768</v>
      </c>
      <c r="L8" s="15">
        <v>1.1201590506906047</v>
      </c>
      <c r="M8" s="16">
        <v>26.390189577836431</v>
      </c>
      <c r="N8" s="16">
        <v>3.9433616610560183</v>
      </c>
      <c r="O8" s="16" t="s">
        <v>84</v>
      </c>
      <c r="P8" s="12">
        <v>0.91666666666666663</v>
      </c>
      <c r="Q8" s="14" t="s">
        <v>85</v>
      </c>
      <c r="R8" s="14">
        <v>2</v>
      </c>
      <c r="S8" s="13">
        <v>4</v>
      </c>
      <c r="T8" s="13">
        <v>3</v>
      </c>
      <c r="U8" s="13">
        <v>1</v>
      </c>
      <c r="V8" s="13">
        <v>1</v>
      </c>
      <c r="W8" s="15">
        <v>1.211850043459044</v>
      </c>
      <c r="X8" s="15">
        <v>1.1008406076535531</v>
      </c>
      <c r="Y8" s="16">
        <v>26.627568362933744</v>
      </c>
      <c r="Z8" s="16">
        <v>2.4206880329939779</v>
      </c>
      <c r="AA8" s="16" t="s">
        <v>86</v>
      </c>
      <c r="AB8" s="12">
        <v>0.85699999999999998</v>
      </c>
      <c r="AC8" s="14" t="s">
        <v>87</v>
      </c>
      <c r="AD8" s="14">
        <v>2</v>
      </c>
      <c r="AE8" s="13">
        <v>4</v>
      </c>
      <c r="AF8" s="13">
        <v>3</v>
      </c>
      <c r="AG8" s="13">
        <v>1</v>
      </c>
      <c r="AH8" s="13">
        <v>1</v>
      </c>
      <c r="AI8" s="15">
        <v>1.211850043459044</v>
      </c>
      <c r="AJ8" s="15">
        <v>1.1008406076535531</v>
      </c>
      <c r="AK8" s="16">
        <v>40.456003005163637</v>
      </c>
      <c r="AL8" s="16">
        <v>6.7505349238487762</v>
      </c>
      <c r="AM8" s="16" t="s">
        <v>88</v>
      </c>
      <c r="AN8" s="12">
        <v>1</v>
      </c>
      <c r="AO8" s="14" t="s">
        <v>89</v>
      </c>
      <c r="AP8" s="14">
        <v>3</v>
      </c>
      <c r="AQ8" s="13">
        <v>1</v>
      </c>
      <c r="AR8" s="13">
        <v>1</v>
      </c>
      <c r="AS8" s="13">
        <v>3</v>
      </c>
      <c r="AT8" s="13">
        <v>1</v>
      </c>
      <c r="AU8" s="15">
        <v>1.3000688016831126</v>
      </c>
      <c r="AV8" s="15">
        <v>1.1402055962339039</v>
      </c>
      <c r="AW8" s="16">
        <v>-1</v>
      </c>
      <c r="AX8" s="16">
        <v>0</v>
      </c>
      <c r="AY8" s="16" t="s">
        <v>42</v>
      </c>
    </row>
    <row r="9" spans="1:51" ht="14.5" x14ac:dyDescent="0.35">
      <c r="A9">
        <v>83</v>
      </c>
      <c r="B9" t="s">
        <v>90</v>
      </c>
      <c r="C9" t="s">
        <v>91</v>
      </c>
      <c r="D9" s="12">
        <v>0.75</v>
      </c>
      <c r="E9" s="14" t="s">
        <v>92</v>
      </c>
      <c r="F9" s="14">
        <v>3</v>
      </c>
      <c r="G9" s="14">
        <v>2</v>
      </c>
      <c r="H9" s="14">
        <v>2</v>
      </c>
      <c r="I9" s="13">
        <v>2</v>
      </c>
      <c r="J9" s="13">
        <v>1</v>
      </c>
      <c r="K9" s="15">
        <v>1.2405189828102605</v>
      </c>
      <c r="L9" s="15">
        <v>1.1137858783492725</v>
      </c>
      <c r="M9" s="16">
        <v>42.695599477946566</v>
      </c>
      <c r="N9" s="16">
        <v>14.231866492648855</v>
      </c>
      <c r="O9" s="16" t="s">
        <v>93</v>
      </c>
      <c r="P9" s="12">
        <v>0.95</v>
      </c>
      <c r="Q9" s="14" t="s">
        <v>94</v>
      </c>
      <c r="R9" s="14">
        <v>3</v>
      </c>
      <c r="S9" s="13">
        <v>1</v>
      </c>
      <c r="T9" s="14">
        <v>1</v>
      </c>
      <c r="U9" s="14">
        <v>3</v>
      </c>
      <c r="V9" s="13">
        <v>1</v>
      </c>
      <c r="W9" s="15">
        <v>1.3000688016831126</v>
      </c>
      <c r="X9" s="15">
        <v>1.1402055962339039</v>
      </c>
      <c r="Y9" s="16">
        <v>8.2321949466505444</v>
      </c>
      <c r="Z9" s="16">
        <v>0.43327341824476595</v>
      </c>
      <c r="AA9" s="16" t="s">
        <v>72</v>
      </c>
      <c r="AB9" s="12">
        <v>0</v>
      </c>
      <c r="AC9" s="14" t="s">
        <v>73</v>
      </c>
      <c r="AD9" s="14">
        <v>1</v>
      </c>
      <c r="AE9" s="14">
        <v>1</v>
      </c>
      <c r="AF9" s="14">
        <v>1</v>
      </c>
      <c r="AG9" s="14">
        <v>1</v>
      </c>
      <c r="AH9" s="14">
        <v>1</v>
      </c>
      <c r="AI9" s="15">
        <v>1.05</v>
      </c>
      <c r="AJ9" s="15">
        <v>1.0246950765959599</v>
      </c>
      <c r="AK9" s="16">
        <v>0</v>
      </c>
      <c r="AL9" s="16">
        <v>-1</v>
      </c>
      <c r="AM9" s="16" t="s">
        <v>57</v>
      </c>
      <c r="AN9" s="12">
        <v>0</v>
      </c>
      <c r="AO9" s="14" t="s">
        <v>95</v>
      </c>
      <c r="AP9" s="14">
        <v>1</v>
      </c>
      <c r="AQ9" s="14">
        <v>1</v>
      </c>
      <c r="AR9" s="14">
        <v>1</v>
      </c>
      <c r="AS9" s="13">
        <v>1</v>
      </c>
      <c r="AT9" s="13">
        <v>1</v>
      </c>
      <c r="AU9" s="15">
        <v>1.05</v>
      </c>
      <c r="AV9" s="15">
        <v>1.0246950765959599</v>
      </c>
      <c r="AW9" s="16">
        <v>0</v>
      </c>
      <c r="AX9" s="16">
        <v>-1</v>
      </c>
      <c r="AY9" s="16" t="s">
        <v>57</v>
      </c>
    </row>
    <row r="10" spans="1:51" ht="14.5" x14ac:dyDescent="0.35">
      <c r="A10">
        <v>48</v>
      </c>
      <c r="B10" t="s">
        <v>96</v>
      </c>
      <c r="C10" t="s">
        <v>97</v>
      </c>
      <c r="D10" s="12">
        <v>0.76275975333501123</v>
      </c>
      <c r="E10" s="14" t="s">
        <v>98</v>
      </c>
      <c r="F10" s="14">
        <v>2</v>
      </c>
      <c r="G10" s="14">
        <v>4</v>
      </c>
      <c r="H10" s="14">
        <v>3</v>
      </c>
      <c r="I10" s="13">
        <v>2</v>
      </c>
      <c r="J10" s="13">
        <v>1</v>
      </c>
      <c r="K10" s="15">
        <v>1.2392267911663479</v>
      </c>
      <c r="L10" s="15">
        <v>1.1132056374122203</v>
      </c>
      <c r="M10" s="16">
        <v>42.318439943559397</v>
      </c>
      <c r="N10" s="16">
        <v>13.162253365874749</v>
      </c>
      <c r="O10" s="16" t="s">
        <v>99</v>
      </c>
      <c r="P10" s="12">
        <v>0.998</v>
      </c>
      <c r="Q10" s="13" t="s">
        <v>100</v>
      </c>
      <c r="R10" s="14">
        <v>3</v>
      </c>
      <c r="S10" s="13">
        <v>1</v>
      </c>
      <c r="T10" s="14">
        <v>1</v>
      </c>
      <c r="U10" s="14">
        <v>1</v>
      </c>
      <c r="V10" s="13">
        <v>1</v>
      </c>
      <c r="W10" s="15">
        <v>1.207723199572867</v>
      </c>
      <c r="X10" s="15">
        <v>1.098964603421269</v>
      </c>
      <c r="Y10" s="16">
        <v>-0.18443680678612218</v>
      </c>
      <c r="Z10" s="16">
        <v>-3.6961283925074617E-4</v>
      </c>
      <c r="AA10" s="16" t="s">
        <v>101</v>
      </c>
      <c r="AB10" s="12">
        <v>0</v>
      </c>
      <c r="AC10" s="14" t="s">
        <v>102</v>
      </c>
      <c r="AD10" s="14">
        <v>1</v>
      </c>
      <c r="AE10" s="14">
        <v>1</v>
      </c>
      <c r="AF10" s="14">
        <v>1</v>
      </c>
      <c r="AG10" s="14">
        <v>1</v>
      </c>
      <c r="AH10" s="14">
        <v>1</v>
      </c>
      <c r="AI10" s="15">
        <v>1.05</v>
      </c>
      <c r="AJ10" s="15">
        <v>1.0246950765959599</v>
      </c>
      <c r="AK10" s="16">
        <v>0</v>
      </c>
      <c r="AL10" s="16">
        <v>-1</v>
      </c>
      <c r="AM10" s="16" t="s">
        <v>57</v>
      </c>
      <c r="AN10" s="12">
        <v>1</v>
      </c>
      <c r="AO10" s="14" t="s">
        <v>103</v>
      </c>
      <c r="AP10" s="14">
        <v>2</v>
      </c>
      <c r="AQ10" s="14">
        <v>1</v>
      </c>
      <c r="AR10" s="14">
        <v>1</v>
      </c>
      <c r="AS10" s="14">
        <v>1</v>
      </c>
      <c r="AT10" s="14">
        <v>1</v>
      </c>
      <c r="AU10" s="15">
        <v>1.1130148943987077</v>
      </c>
      <c r="AV10" s="15">
        <v>1.0549952106046301</v>
      </c>
      <c r="AW10" s="16">
        <v>-1</v>
      </c>
      <c r="AX10" s="16">
        <v>0</v>
      </c>
      <c r="AY10" s="16" t="s">
        <v>42</v>
      </c>
    </row>
    <row r="11" spans="1:51" ht="14.5" x14ac:dyDescent="0.35">
      <c r="A11">
        <v>58</v>
      </c>
      <c r="B11" t="s">
        <v>104</v>
      </c>
      <c r="C11" t="s">
        <v>105</v>
      </c>
      <c r="D11" s="12">
        <v>0.58151300579436283</v>
      </c>
      <c r="E11" s="14" t="s">
        <v>106</v>
      </c>
      <c r="F11" s="14">
        <v>3</v>
      </c>
      <c r="G11" s="14">
        <v>1</v>
      </c>
      <c r="H11" s="14">
        <v>1</v>
      </c>
      <c r="I11" s="14">
        <v>3</v>
      </c>
      <c r="J11" s="14">
        <v>3</v>
      </c>
      <c r="K11" s="15">
        <v>1.3713425173473328</v>
      </c>
      <c r="L11" s="15">
        <v>1.1710433456312934</v>
      </c>
      <c r="M11" s="16">
        <v>18.767038411249729</v>
      </c>
      <c r="N11" s="16">
        <v>13.505736615705061</v>
      </c>
      <c r="O11" s="16" t="s">
        <v>107</v>
      </c>
      <c r="P11" s="12">
        <v>0.8547854785478548</v>
      </c>
      <c r="Q11" s="14" t="s">
        <v>108</v>
      </c>
      <c r="R11" s="14">
        <v>1</v>
      </c>
      <c r="S11" s="14">
        <v>3</v>
      </c>
      <c r="T11" s="14">
        <v>1</v>
      </c>
      <c r="U11" s="14">
        <v>3</v>
      </c>
      <c r="V11" s="14">
        <v>2</v>
      </c>
      <c r="W11" s="15">
        <v>1.2456465205819256</v>
      </c>
      <c r="X11" s="15">
        <v>1.1160853554195242</v>
      </c>
      <c r="Y11" s="16">
        <v>30.639331747618421</v>
      </c>
      <c r="Z11" s="16">
        <v>5.2051374397498469</v>
      </c>
      <c r="AA11" s="16" t="s">
        <v>109</v>
      </c>
      <c r="AB11" s="12">
        <v>0</v>
      </c>
      <c r="AC11" s="14" t="s">
        <v>108</v>
      </c>
      <c r="AD11" s="14">
        <v>1</v>
      </c>
      <c r="AE11" s="14">
        <v>3</v>
      </c>
      <c r="AF11" s="14">
        <v>1</v>
      </c>
      <c r="AG11" s="14">
        <v>3</v>
      </c>
      <c r="AH11" s="14">
        <v>2</v>
      </c>
      <c r="AI11" s="15">
        <v>1.2456465205819256</v>
      </c>
      <c r="AJ11" s="15">
        <v>1.1160853554195242</v>
      </c>
      <c r="AK11" s="16">
        <v>0</v>
      </c>
      <c r="AL11" s="16">
        <v>-1</v>
      </c>
      <c r="AM11" s="16" t="s">
        <v>57</v>
      </c>
      <c r="AN11" s="12">
        <v>1</v>
      </c>
      <c r="AO11" s="13" t="s">
        <v>110</v>
      </c>
      <c r="AP11" s="14">
        <v>1</v>
      </c>
      <c r="AQ11" s="14">
        <v>1</v>
      </c>
      <c r="AR11" s="14">
        <v>1</v>
      </c>
      <c r="AS11" s="14">
        <v>1</v>
      </c>
      <c r="AT11" s="14">
        <v>1</v>
      </c>
      <c r="AU11" s="15">
        <v>1.05</v>
      </c>
      <c r="AV11" s="15">
        <v>1.0246950765959599</v>
      </c>
      <c r="AW11" s="16">
        <v>-1</v>
      </c>
      <c r="AX11" s="16">
        <v>0</v>
      </c>
      <c r="AY11" s="16" t="s">
        <v>42</v>
      </c>
    </row>
    <row r="12" spans="1:51" ht="14.5" x14ac:dyDescent="0.35">
      <c r="A12">
        <v>27</v>
      </c>
      <c r="B12" t="s">
        <v>111</v>
      </c>
      <c r="C12" t="s">
        <v>0</v>
      </c>
      <c r="D12" s="12">
        <v>0.43934656568697839</v>
      </c>
      <c r="E12" s="13" t="s">
        <v>112</v>
      </c>
      <c r="F12" s="14">
        <v>1</v>
      </c>
      <c r="G12" s="14">
        <v>4</v>
      </c>
      <c r="H12" s="14">
        <v>1</v>
      </c>
      <c r="I12" s="13">
        <v>2</v>
      </c>
      <c r="J12" s="13">
        <v>1</v>
      </c>
      <c r="K12" s="15">
        <v>1.1925122738235221</v>
      </c>
      <c r="L12" s="15">
        <v>1.0920221031753534</v>
      </c>
      <c r="M12" s="16">
        <v>50.679923065789559</v>
      </c>
      <c r="N12" s="16">
        <v>64.673028394169108</v>
      </c>
      <c r="O12" s="16" t="s">
        <v>113</v>
      </c>
      <c r="P12" s="12">
        <v>0.94001342851084879</v>
      </c>
      <c r="Q12" s="13" t="s">
        <v>112</v>
      </c>
      <c r="R12" s="14">
        <v>1</v>
      </c>
      <c r="S12" s="13">
        <v>4</v>
      </c>
      <c r="T12" s="14">
        <v>1</v>
      </c>
      <c r="U12" s="14">
        <v>2</v>
      </c>
      <c r="V12" s="13">
        <v>1</v>
      </c>
      <c r="W12" s="15">
        <v>1.1925122738235221</v>
      </c>
      <c r="X12" s="15">
        <v>1.0920221031753534</v>
      </c>
      <c r="Y12" s="16">
        <v>24.097882949053627</v>
      </c>
      <c r="Z12" s="16">
        <v>1.5377965190886844</v>
      </c>
      <c r="AA12" s="16" t="s">
        <v>114</v>
      </c>
      <c r="AB12" s="12">
        <v>4.6833578792341679E-2</v>
      </c>
      <c r="AC12" s="13" t="s">
        <v>112</v>
      </c>
      <c r="AD12" s="14">
        <v>1</v>
      </c>
      <c r="AE12" s="14">
        <v>4</v>
      </c>
      <c r="AF12" s="14">
        <v>1</v>
      </c>
      <c r="AG12" s="13">
        <v>2</v>
      </c>
      <c r="AH12" s="13">
        <v>1</v>
      </c>
      <c r="AI12" s="15">
        <v>1.1925122738235221</v>
      </c>
      <c r="AJ12" s="15">
        <v>1.0920221031753534</v>
      </c>
      <c r="AK12" s="16">
        <v>0.94071645291148431</v>
      </c>
      <c r="AL12" s="16">
        <v>19.145650576236246</v>
      </c>
      <c r="AM12" s="16" t="s">
        <v>115</v>
      </c>
      <c r="AN12" s="12">
        <v>0.3087577707492638</v>
      </c>
      <c r="AO12" s="13" t="s">
        <v>112</v>
      </c>
      <c r="AP12" s="14">
        <v>1</v>
      </c>
      <c r="AQ12" s="14">
        <v>4</v>
      </c>
      <c r="AR12" s="14">
        <v>1</v>
      </c>
      <c r="AS12" s="13">
        <v>2</v>
      </c>
      <c r="AT12" s="13">
        <v>1</v>
      </c>
      <c r="AU12" s="15">
        <v>1.1925122738235221</v>
      </c>
      <c r="AV12" s="15">
        <v>1.0920221031753534</v>
      </c>
      <c r="AW12" s="16">
        <v>30.818562697751112</v>
      </c>
      <c r="AX12" s="16">
        <v>68.996132242439614</v>
      </c>
      <c r="AY12" s="16" t="s">
        <v>116</v>
      </c>
    </row>
    <row r="13" spans="1:51" ht="14.5" x14ac:dyDescent="0.35">
      <c r="A13">
        <v>24</v>
      </c>
      <c r="B13" t="s">
        <v>117</v>
      </c>
      <c r="C13" t="s">
        <v>118</v>
      </c>
      <c r="D13" s="12">
        <v>0.75144508670520227</v>
      </c>
      <c r="E13" s="13" t="s">
        <v>119</v>
      </c>
      <c r="F13" s="14">
        <v>1</v>
      </c>
      <c r="G13" s="14">
        <v>4</v>
      </c>
      <c r="H13" s="14">
        <v>1</v>
      </c>
      <c r="I13" s="13">
        <v>2</v>
      </c>
      <c r="J13" s="13">
        <v>1</v>
      </c>
      <c r="K13" s="15">
        <v>1.1925122738235221</v>
      </c>
      <c r="L13" s="15">
        <v>1.0920221031753534</v>
      </c>
      <c r="M13" s="16">
        <v>65.54534970436913</v>
      </c>
      <c r="N13" s="16">
        <v>21.68038490221441</v>
      </c>
      <c r="O13" s="16" t="s">
        <v>120</v>
      </c>
      <c r="P13" s="12">
        <v>0.73451327433628322</v>
      </c>
      <c r="Q13" s="13" t="s">
        <v>119</v>
      </c>
      <c r="R13" s="14">
        <v>1</v>
      </c>
      <c r="S13" s="13">
        <v>4</v>
      </c>
      <c r="T13" s="14">
        <v>1</v>
      </c>
      <c r="U13" s="14">
        <v>2</v>
      </c>
      <c r="V13" s="13">
        <v>1</v>
      </c>
      <c r="W13" s="15">
        <v>1.1925122738235221</v>
      </c>
      <c r="X13" s="15">
        <v>1.0920221031753534</v>
      </c>
      <c r="Y13" s="16">
        <v>66.923274053289035</v>
      </c>
      <c r="Z13" s="16">
        <v>24.189135199983983</v>
      </c>
      <c r="AA13" s="16" t="s">
        <v>121</v>
      </c>
      <c r="AB13" s="12">
        <v>0.67682926829268297</v>
      </c>
      <c r="AC13" s="13" t="s">
        <v>122</v>
      </c>
      <c r="AD13" s="14">
        <v>1</v>
      </c>
      <c r="AE13" s="14">
        <v>4</v>
      </c>
      <c r="AF13" s="14">
        <v>1</v>
      </c>
      <c r="AG13" s="13">
        <v>2</v>
      </c>
      <c r="AH13" s="13">
        <v>1</v>
      </c>
      <c r="AI13" s="15">
        <v>1.1925122738235221</v>
      </c>
      <c r="AJ13" s="15">
        <v>1.0920221031753534</v>
      </c>
      <c r="AK13" s="16">
        <v>69.253563031311018</v>
      </c>
      <c r="AL13" s="16">
        <v>33.067016582517866</v>
      </c>
      <c r="AM13" s="16" t="s">
        <v>123</v>
      </c>
      <c r="AN13" s="12">
        <v>0.51707317073170733</v>
      </c>
      <c r="AO13" s="13" t="s">
        <v>124</v>
      </c>
      <c r="AP13" s="14">
        <v>3</v>
      </c>
      <c r="AQ13" s="14">
        <v>2</v>
      </c>
      <c r="AR13" s="14">
        <v>1</v>
      </c>
      <c r="AS13" s="13">
        <v>2</v>
      </c>
      <c r="AT13" s="13">
        <v>1</v>
      </c>
      <c r="AU13" s="15">
        <v>1.2379951868875012</v>
      </c>
      <c r="AV13" s="15">
        <v>1.1126523207577024</v>
      </c>
      <c r="AW13" s="16">
        <v>40.180175246958292</v>
      </c>
      <c r="AX13" s="16">
        <v>37.526767447630853</v>
      </c>
      <c r="AY13" s="16" t="s">
        <v>125</v>
      </c>
    </row>
    <row r="14" spans="1:51" ht="14.5" x14ac:dyDescent="0.35">
      <c r="A14">
        <v>29</v>
      </c>
      <c r="B14" t="s">
        <v>126</v>
      </c>
      <c r="C14" t="s">
        <v>1</v>
      </c>
      <c r="D14" s="12">
        <v>0.8347457627118644</v>
      </c>
      <c r="E14" s="13" t="s">
        <v>127</v>
      </c>
      <c r="F14" s="14">
        <v>1</v>
      </c>
      <c r="G14" s="14">
        <v>3</v>
      </c>
      <c r="H14" s="14">
        <v>1</v>
      </c>
      <c r="I14" s="13">
        <v>2</v>
      </c>
      <c r="J14" s="13">
        <v>1</v>
      </c>
      <c r="K14" s="15">
        <v>1.1409505340208952</v>
      </c>
      <c r="L14" s="15">
        <v>1.0681528607932926</v>
      </c>
      <c r="M14" s="16">
        <v>98.328985712214077</v>
      </c>
      <c r="N14" s="16">
        <v>19.466144379575375</v>
      </c>
      <c r="O14" s="16" t="s">
        <v>128</v>
      </c>
      <c r="P14" s="12">
        <v>0.82411067193675891</v>
      </c>
      <c r="Q14" s="13" t="s">
        <v>127</v>
      </c>
      <c r="R14" s="14">
        <v>1</v>
      </c>
      <c r="S14" s="13">
        <v>3</v>
      </c>
      <c r="T14" s="14">
        <v>1</v>
      </c>
      <c r="U14" s="14">
        <v>2</v>
      </c>
      <c r="V14" s="13">
        <v>1</v>
      </c>
      <c r="W14" s="15">
        <v>1.1409505340208952</v>
      </c>
      <c r="X14" s="15">
        <v>1.0681528607932926</v>
      </c>
      <c r="Y14" s="16">
        <v>102.04911940449594</v>
      </c>
      <c r="Z14" s="16">
        <v>21.780267690647811</v>
      </c>
      <c r="AA14" s="16" t="s">
        <v>129</v>
      </c>
      <c r="AB14" s="12">
        <v>0.92307692307692313</v>
      </c>
      <c r="AC14" s="13" t="s">
        <v>127</v>
      </c>
      <c r="AD14" s="14">
        <v>1</v>
      </c>
      <c r="AE14" s="14">
        <v>3</v>
      </c>
      <c r="AF14" s="14">
        <v>1</v>
      </c>
      <c r="AG14" s="13">
        <v>2</v>
      </c>
      <c r="AH14" s="13">
        <v>1</v>
      </c>
      <c r="AI14" s="15">
        <v>1.1409505340208952</v>
      </c>
      <c r="AJ14" s="15">
        <v>1.0681528607932926</v>
      </c>
      <c r="AK14" s="16">
        <v>55.521762957159901</v>
      </c>
      <c r="AL14" s="16">
        <v>4.6268135797633221</v>
      </c>
      <c r="AM14" s="16" t="s">
        <v>130</v>
      </c>
      <c r="AN14" s="12">
        <v>1</v>
      </c>
      <c r="AO14" s="13" t="s">
        <v>127</v>
      </c>
      <c r="AP14" s="14">
        <v>1</v>
      </c>
      <c r="AQ14" s="14">
        <v>3</v>
      </c>
      <c r="AR14" s="14">
        <v>1</v>
      </c>
      <c r="AS14" s="13">
        <v>2</v>
      </c>
      <c r="AT14" s="13">
        <v>1</v>
      </c>
      <c r="AU14" s="15">
        <v>1.1409505340208952</v>
      </c>
      <c r="AV14" s="15">
        <v>1.0681528607932926</v>
      </c>
      <c r="AW14" s="16">
        <v>-1</v>
      </c>
      <c r="AX14" s="16">
        <v>0</v>
      </c>
      <c r="AY14" s="16" t="s">
        <v>42</v>
      </c>
    </row>
    <row r="15" spans="1:51" ht="14.5" x14ac:dyDescent="0.35">
      <c r="A15">
        <v>66</v>
      </c>
      <c r="B15" t="s">
        <v>131</v>
      </c>
      <c r="C15" t="s">
        <v>132</v>
      </c>
      <c r="D15" s="12">
        <v>0.6621811901957797</v>
      </c>
      <c r="E15" s="14" t="s">
        <v>106</v>
      </c>
      <c r="F15" s="14">
        <v>3</v>
      </c>
      <c r="G15" s="14">
        <v>1</v>
      </c>
      <c r="H15" s="14">
        <v>1</v>
      </c>
      <c r="I15" s="14">
        <v>3</v>
      </c>
      <c r="J15" s="14">
        <v>3</v>
      </c>
      <c r="K15" s="15">
        <v>1.3713425173473328</v>
      </c>
      <c r="L15" s="15">
        <v>1.1710433456312934</v>
      </c>
      <c r="M15" s="16">
        <v>19.590621580155791</v>
      </c>
      <c r="N15" s="16">
        <v>9.9943649314116119</v>
      </c>
      <c r="O15" s="16" t="s">
        <v>133</v>
      </c>
      <c r="P15" s="12">
        <v>0.5625</v>
      </c>
      <c r="Q15" s="14" t="s">
        <v>108</v>
      </c>
      <c r="R15" s="14">
        <v>1</v>
      </c>
      <c r="S15" s="14">
        <v>3</v>
      </c>
      <c r="T15" s="14">
        <v>1</v>
      </c>
      <c r="U15" s="14">
        <v>3</v>
      </c>
      <c r="V15" s="14">
        <v>2</v>
      </c>
      <c r="W15" s="15">
        <v>1.2456465205819256</v>
      </c>
      <c r="X15" s="15">
        <v>1.1160853554195242</v>
      </c>
      <c r="Y15" s="16">
        <v>40.526751634223146</v>
      </c>
      <c r="Z15" s="16">
        <v>31.520806826617999</v>
      </c>
      <c r="AA15" s="16" t="s">
        <v>134</v>
      </c>
      <c r="AB15" s="12">
        <v>0.5714285714285714</v>
      </c>
      <c r="AC15" s="14" t="s">
        <v>108</v>
      </c>
      <c r="AD15" s="14">
        <v>3</v>
      </c>
      <c r="AE15" s="14">
        <v>3</v>
      </c>
      <c r="AF15" s="14">
        <v>1</v>
      </c>
      <c r="AG15" s="14">
        <v>3</v>
      </c>
      <c r="AH15" s="14">
        <v>2</v>
      </c>
      <c r="AI15" s="15">
        <v>1.3303783351797707</v>
      </c>
      <c r="AJ15" s="15">
        <v>1.1534202769068049</v>
      </c>
      <c r="AK15" s="16">
        <v>23.210199575273055</v>
      </c>
      <c r="AL15" s="16">
        <v>17.407649681454796</v>
      </c>
      <c r="AM15" s="16" t="s">
        <v>135</v>
      </c>
      <c r="AN15" s="12">
        <v>1</v>
      </c>
      <c r="AO15" s="13" t="s">
        <v>136</v>
      </c>
      <c r="AP15" s="14">
        <v>1</v>
      </c>
      <c r="AQ15" s="14">
        <v>1</v>
      </c>
      <c r="AR15" s="14">
        <v>1</v>
      </c>
      <c r="AS15" s="14">
        <v>1</v>
      </c>
      <c r="AT15" s="14">
        <v>1</v>
      </c>
      <c r="AU15" s="15">
        <v>1.05</v>
      </c>
      <c r="AV15" s="15">
        <v>1.0246950765959599</v>
      </c>
      <c r="AW15" s="16">
        <v>-1</v>
      </c>
      <c r="AX15" s="16">
        <v>0</v>
      </c>
      <c r="AY15" s="16" t="s">
        <v>42</v>
      </c>
    </row>
    <row r="16" spans="1:51" ht="14.5" x14ac:dyDescent="0.35">
      <c r="A16">
        <v>68</v>
      </c>
      <c r="B16" t="s">
        <v>137</v>
      </c>
      <c r="C16" t="s">
        <v>138</v>
      </c>
      <c r="D16" s="12">
        <v>0.66749104784218516</v>
      </c>
      <c r="E16" s="14" t="s">
        <v>106</v>
      </c>
      <c r="F16" s="14">
        <v>4</v>
      </c>
      <c r="G16" s="14">
        <v>1</v>
      </c>
      <c r="H16" s="14">
        <v>1</v>
      </c>
      <c r="I16" s="14">
        <v>3</v>
      </c>
      <c r="J16" s="14">
        <v>3</v>
      </c>
      <c r="K16" s="15">
        <v>1.5279171865856971</v>
      </c>
      <c r="L16" s="15">
        <v>1.2360894735356729</v>
      </c>
      <c r="M16" s="16">
        <v>9.9641664479370533</v>
      </c>
      <c r="N16" s="16">
        <v>4.9636239398868147</v>
      </c>
      <c r="O16" s="16" t="s">
        <v>139</v>
      </c>
      <c r="P16" s="12">
        <v>0.85</v>
      </c>
      <c r="Q16" s="14" t="s">
        <v>140</v>
      </c>
      <c r="R16" s="14">
        <v>3</v>
      </c>
      <c r="S16" s="14">
        <v>3</v>
      </c>
      <c r="T16" s="14">
        <v>1</v>
      </c>
      <c r="U16" s="14">
        <v>3</v>
      </c>
      <c r="V16" s="14">
        <v>3</v>
      </c>
      <c r="W16" s="15">
        <v>1.3840763218302521</v>
      </c>
      <c r="X16" s="15">
        <v>1.1764677308920344</v>
      </c>
      <c r="Y16" s="16">
        <v>13.070617457485042</v>
      </c>
      <c r="Z16" s="16">
        <v>2.3065795513208904</v>
      </c>
      <c r="AA16" s="16" t="s">
        <v>141</v>
      </c>
      <c r="AB16" s="12">
        <v>0</v>
      </c>
      <c r="AC16" s="13" t="s">
        <v>142</v>
      </c>
      <c r="AD16" s="14">
        <v>3</v>
      </c>
      <c r="AE16" s="14">
        <v>1</v>
      </c>
      <c r="AF16" s="14">
        <v>1</v>
      </c>
      <c r="AG16" s="14">
        <v>3</v>
      </c>
      <c r="AH16" s="14">
        <v>3</v>
      </c>
      <c r="AI16" s="15">
        <v>1.3713425173473328</v>
      </c>
      <c r="AJ16" s="15">
        <v>1.1710433456312934</v>
      </c>
      <c r="AK16" s="16">
        <v>0</v>
      </c>
      <c r="AL16" s="16">
        <v>-1</v>
      </c>
      <c r="AM16" s="16" t="s">
        <v>57</v>
      </c>
      <c r="AN16" s="12">
        <v>0</v>
      </c>
      <c r="AO16" s="13" t="s">
        <v>143</v>
      </c>
      <c r="AP16" s="14">
        <v>3</v>
      </c>
      <c r="AQ16" s="14">
        <v>1</v>
      </c>
      <c r="AR16" s="14">
        <v>1</v>
      </c>
      <c r="AS16" s="14">
        <v>3</v>
      </c>
      <c r="AT16" s="14">
        <v>3</v>
      </c>
      <c r="AU16" s="15">
        <v>1.3713425173473328</v>
      </c>
      <c r="AV16" s="15">
        <v>1.1710433456312934</v>
      </c>
      <c r="AW16" s="16">
        <v>0</v>
      </c>
      <c r="AX16" s="16">
        <v>-1</v>
      </c>
      <c r="AY16" s="16" t="s">
        <v>57</v>
      </c>
    </row>
    <row r="17" spans="1:51" ht="14.5" x14ac:dyDescent="0.35">
      <c r="A17">
        <v>63</v>
      </c>
      <c r="B17" t="s">
        <v>144</v>
      </c>
      <c r="C17" t="s">
        <v>145</v>
      </c>
      <c r="D17" s="12">
        <v>0.61816718448448926</v>
      </c>
      <c r="E17" s="14" t="s">
        <v>106</v>
      </c>
      <c r="F17" s="14">
        <v>3</v>
      </c>
      <c r="G17" s="14">
        <v>1</v>
      </c>
      <c r="H17" s="14">
        <v>1</v>
      </c>
      <c r="I17" s="14">
        <v>3</v>
      </c>
      <c r="J17" s="14">
        <v>3</v>
      </c>
      <c r="K17" s="15">
        <v>1.3713425173473328</v>
      </c>
      <c r="L17" s="15">
        <v>1.1710433456312934</v>
      </c>
      <c r="M17" s="16">
        <v>19.33136743805197</v>
      </c>
      <c r="N17" s="16">
        <v>11.940702518513353</v>
      </c>
      <c r="O17" s="16" t="s">
        <v>146</v>
      </c>
      <c r="P17" s="12">
        <v>0.8</v>
      </c>
      <c r="Q17" s="14" t="s">
        <v>108</v>
      </c>
      <c r="R17" s="14">
        <v>3</v>
      </c>
      <c r="S17" s="14">
        <v>3</v>
      </c>
      <c r="T17" s="14">
        <v>1</v>
      </c>
      <c r="U17" s="14">
        <v>3</v>
      </c>
      <c r="V17" s="14">
        <v>2</v>
      </c>
      <c r="W17" s="15">
        <v>1.3303783351797707</v>
      </c>
      <c r="X17" s="15">
        <v>1.1534202769068049</v>
      </c>
      <c r="Y17" s="16">
        <v>20.952262544849756</v>
      </c>
      <c r="Z17" s="16">
        <v>5.2380656362124371</v>
      </c>
      <c r="AA17" s="16" t="s">
        <v>147</v>
      </c>
      <c r="AB17" s="12">
        <v>0</v>
      </c>
      <c r="AC17" s="14" t="s">
        <v>108</v>
      </c>
      <c r="AD17" s="14">
        <v>1</v>
      </c>
      <c r="AE17" s="14">
        <v>3</v>
      </c>
      <c r="AF17" s="14">
        <v>1</v>
      </c>
      <c r="AG17" s="14">
        <v>3</v>
      </c>
      <c r="AH17" s="14">
        <v>2</v>
      </c>
      <c r="AI17" s="15">
        <v>1.2456465205819256</v>
      </c>
      <c r="AJ17" s="15">
        <v>1.1160853554195242</v>
      </c>
      <c r="AK17" s="16">
        <v>0</v>
      </c>
      <c r="AL17" s="16">
        <v>-1</v>
      </c>
      <c r="AM17" s="16" t="s">
        <v>57</v>
      </c>
      <c r="AN17" s="12">
        <v>1</v>
      </c>
      <c r="AO17" s="13" t="s">
        <v>148</v>
      </c>
      <c r="AP17" s="14">
        <v>1</v>
      </c>
      <c r="AQ17" s="14">
        <v>1</v>
      </c>
      <c r="AR17" s="14">
        <v>1</v>
      </c>
      <c r="AS17" s="14">
        <v>1</v>
      </c>
      <c r="AT17" s="14">
        <v>1</v>
      </c>
      <c r="AU17" s="15">
        <v>1.05</v>
      </c>
      <c r="AV17" s="15">
        <v>1.0246950765959599</v>
      </c>
      <c r="AW17" s="16">
        <v>-1</v>
      </c>
      <c r="AX17" s="16">
        <v>0</v>
      </c>
      <c r="AY17" s="16" t="s">
        <v>42</v>
      </c>
    </row>
    <row r="18" spans="1:51" ht="14.5" x14ac:dyDescent="0.35">
      <c r="A18">
        <v>26</v>
      </c>
      <c r="B18" t="s">
        <v>149</v>
      </c>
      <c r="C18" t="s">
        <v>150</v>
      </c>
      <c r="D18" s="12">
        <v>0.87408949011446413</v>
      </c>
      <c r="E18" s="13" t="s">
        <v>151</v>
      </c>
      <c r="F18" s="14">
        <v>1</v>
      </c>
      <c r="G18" s="14">
        <v>1</v>
      </c>
      <c r="H18" s="14">
        <v>1</v>
      </c>
      <c r="I18" s="13">
        <v>1</v>
      </c>
      <c r="J18" s="13">
        <v>1</v>
      </c>
      <c r="K18" s="15">
        <v>1.05</v>
      </c>
      <c r="L18" s="15">
        <v>1.0246950765959599</v>
      </c>
      <c r="M18" s="16">
        <v>630.10216489349875</v>
      </c>
      <c r="N18" s="16">
        <v>90.764716609658734</v>
      </c>
      <c r="O18" s="16" t="s">
        <v>152</v>
      </c>
      <c r="P18" s="12">
        <v>0.88809523809523805</v>
      </c>
      <c r="Q18" s="13" t="s">
        <v>151</v>
      </c>
      <c r="R18" s="14">
        <v>1</v>
      </c>
      <c r="S18" s="13">
        <v>4</v>
      </c>
      <c r="T18" s="14">
        <v>1</v>
      </c>
      <c r="U18" s="14">
        <v>1</v>
      </c>
      <c r="V18" s="13">
        <v>1</v>
      </c>
      <c r="W18" s="15">
        <v>1.1595515978754811</v>
      </c>
      <c r="X18" s="15">
        <v>1.0768247758458573</v>
      </c>
      <c r="Y18" s="16">
        <v>58.928961239950219</v>
      </c>
      <c r="Z18" s="16">
        <v>7.4253650892162506</v>
      </c>
      <c r="AA18" s="16" t="s">
        <v>153</v>
      </c>
      <c r="AB18" s="12">
        <v>1</v>
      </c>
      <c r="AC18" s="13" t="s">
        <v>151</v>
      </c>
      <c r="AD18" s="14">
        <v>1</v>
      </c>
      <c r="AE18" s="14">
        <v>4</v>
      </c>
      <c r="AF18" s="14">
        <v>1</v>
      </c>
      <c r="AG18" s="13">
        <v>1</v>
      </c>
      <c r="AH18" s="13">
        <v>1</v>
      </c>
      <c r="AI18" s="15">
        <v>1.1595515978754811</v>
      </c>
      <c r="AJ18" s="15">
        <v>1.0768247758458573</v>
      </c>
      <c r="AK18" s="16">
        <v>-1</v>
      </c>
      <c r="AL18" s="16">
        <v>0</v>
      </c>
      <c r="AM18" s="16" t="s">
        <v>42</v>
      </c>
      <c r="AN18" s="12">
        <v>0.94</v>
      </c>
      <c r="AO18" s="13" t="s">
        <v>151</v>
      </c>
      <c r="AP18" s="14">
        <v>1</v>
      </c>
      <c r="AQ18" s="14">
        <v>4</v>
      </c>
      <c r="AR18" s="14">
        <v>1</v>
      </c>
      <c r="AS18" s="13">
        <v>1</v>
      </c>
      <c r="AT18" s="13">
        <v>1</v>
      </c>
      <c r="AU18" s="15">
        <v>1.1595515978754811</v>
      </c>
      <c r="AV18" s="15">
        <v>1.0768247758458573</v>
      </c>
      <c r="AW18" s="16">
        <v>34.990589730607198</v>
      </c>
      <c r="AX18" s="16">
        <v>2.2334418976983339</v>
      </c>
      <c r="AY18" s="16" t="s">
        <v>154</v>
      </c>
    </row>
    <row r="19" spans="1:51" ht="14.5" x14ac:dyDescent="0.35">
      <c r="A19">
        <v>31</v>
      </c>
      <c r="B19" t="s">
        <v>155</v>
      </c>
      <c r="C19" t="s">
        <v>156</v>
      </c>
      <c r="D19" s="12">
        <v>1.796919566457502E-2</v>
      </c>
      <c r="E19" s="13" t="s">
        <v>157</v>
      </c>
      <c r="F19" s="14">
        <v>1</v>
      </c>
      <c r="G19" s="14">
        <v>3</v>
      </c>
      <c r="H19" s="14">
        <v>1</v>
      </c>
      <c r="I19" s="13">
        <v>2</v>
      </c>
      <c r="J19" s="13">
        <v>2</v>
      </c>
      <c r="K19" s="15">
        <v>1.1679066507053673</v>
      </c>
      <c r="L19" s="15">
        <v>1.0806972983705323</v>
      </c>
      <c r="M19" s="16">
        <v>0.17680184595901238</v>
      </c>
      <c r="N19" s="16">
        <v>9.6623612005853872</v>
      </c>
      <c r="O19" s="16" t="s">
        <v>158</v>
      </c>
      <c r="P19" s="12">
        <v>0.27621998450813318</v>
      </c>
      <c r="Q19" s="13" t="s">
        <v>159</v>
      </c>
      <c r="R19" s="14">
        <v>1</v>
      </c>
      <c r="S19" s="13">
        <v>3</v>
      </c>
      <c r="T19" s="14">
        <v>1</v>
      </c>
      <c r="U19" s="14">
        <v>2</v>
      </c>
      <c r="V19" s="13">
        <v>2</v>
      </c>
      <c r="W19" s="15">
        <v>1.1679066507053673</v>
      </c>
      <c r="X19" s="15">
        <v>1.0806972983705323</v>
      </c>
      <c r="Y19" s="16">
        <v>33.644009451250071</v>
      </c>
      <c r="Z19" s="16">
        <v>88.157494198676588</v>
      </c>
      <c r="AA19" s="16" t="s">
        <v>160</v>
      </c>
      <c r="AB19" s="12">
        <v>0.80175551273817169</v>
      </c>
      <c r="AC19" s="13" t="s">
        <v>159</v>
      </c>
      <c r="AD19" s="14">
        <v>1</v>
      </c>
      <c r="AE19" s="14">
        <v>3</v>
      </c>
      <c r="AF19" s="14">
        <v>1</v>
      </c>
      <c r="AG19" s="13">
        <v>2</v>
      </c>
      <c r="AH19" s="13">
        <v>2</v>
      </c>
      <c r="AI19" s="15">
        <v>1.1679066507053673</v>
      </c>
      <c r="AJ19" s="15">
        <v>1.0806972983705323</v>
      </c>
      <c r="AK19" s="16">
        <v>77.473956978095742</v>
      </c>
      <c r="AL19" s="16">
        <v>19.156444368949707</v>
      </c>
      <c r="AM19" s="16" t="s">
        <v>161</v>
      </c>
      <c r="AN19" s="12">
        <v>0.7142857142857143</v>
      </c>
      <c r="AO19" s="13" t="s">
        <v>159</v>
      </c>
      <c r="AP19" s="14">
        <v>1</v>
      </c>
      <c r="AQ19" s="14">
        <v>3</v>
      </c>
      <c r="AR19" s="14">
        <v>1</v>
      </c>
      <c r="AS19" s="13">
        <v>2</v>
      </c>
      <c r="AT19" s="13">
        <v>2</v>
      </c>
      <c r="AU19" s="15">
        <v>1.1679066507053673</v>
      </c>
      <c r="AV19" s="15">
        <v>1.0806972983705323</v>
      </c>
      <c r="AW19" s="16">
        <v>88.825878142630572</v>
      </c>
      <c r="AX19" s="16">
        <v>35.530351257052224</v>
      </c>
      <c r="AY19" s="16" t="s">
        <v>162</v>
      </c>
    </row>
    <row r="20" spans="1:51" ht="14.5" x14ac:dyDescent="0.35">
      <c r="A20">
        <v>64</v>
      </c>
      <c r="B20" t="s">
        <v>163</v>
      </c>
      <c r="C20" t="s">
        <v>164</v>
      </c>
      <c r="D20" s="12">
        <v>0.63985820553182704</v>
      </c>
      <c r="E20" s="14" t="s">
        <v>106</v>
      </c>
      <c r="F20" s="14">
        <v>3</v>
      </c>
      <c r="G20" s="14">
        <v>1</v>
      </c>
      <c r="H20" s="14">
        <v>1</v>
      </c>
      <c r="I20" s="14">
        <v>3</v>
      </c>
      <c r="J20" s="14">
        <v>3</v>
      </c>
      <c r="K20" s="15">
        <v>1.3713425173473328</v>
      </c>
      <c r="L20" s="15">
        <v>1.1710433456312934</v>
      </c>
      <c r="M20" s="16">
        <v>19.520054039194324</v>
      </c>
      <c r="N20" s="16">
        <v>10.986789305840158</v>
      </c>
      <c r="O20" s="16" t="s">
        <v>165</v>
      </c>
      <c r="P20" s="12">
        <v>0.69565217391304357</v>
      </c>
      <c r="Q20" s="14" t="s">
        <v>108</v>
      </c>
      <c r="R20" s="14">
        <v>1</v>
      </c>
      <c r="S20" s="14">
        <v>3</v>
      </c>
      <c r="T20" s="14">
        <v>1</v>
      </c>
      <c r="U20" s="14">
        <v>3</v>
      </c>
      <c r="V20" s="14">
        <v>3</v>
      </c>
      <c r="W20" s="15">
        <v>1.308762891140433</v>
      </c>
      <c r="X20" s="15">
        <v>1.1440117530604452</v>
      </c>
      <c r="Y20" s="16">
        <v>27.710905865485028</v>
      </c>
      <c r="Z20" s="16">
        <v>12.123521316149695</v>
      </c>
      <c r="AA20" s="16" t="s">
        <v>166</v>
      </c>
      <c r="AB20" s="12">
        <v>0.2</v>
      </c>
      <c r="AC20" s="14" t="s">
        <v>108</v>
      </c>
      <c r="AD20" s="14">
        <v>1</v>
      </c>
      <c r="AE20" s="14">
        <v>3</v>
      </c>
      <c r="AF20" s="14">
        <v>1</v>
      </c>
      <c r="AG20" s="14">
        <v>3</v>
      </c>
      <c r="AH20" s="14">
        <v>3</v>
      </c>
      <c r="AI20" s="15">
        <v>1.308762891140433</v>
      </c>
      <c r="AJ20" s="15">
        <v>1.1440117530604452</v>
      </c>
      <c r="AK20" s="16">
        <v>5.9718319940242228</v>
      </c>
      <c r="AL20" s="16">
        <v>23.887327976096891</v>
      </c>
      <c r="AM20" s="16" t="s">
        <v>167</v>
      </c>
      <c r="AN20" s="12">
        <v>1</v>
      </c>
      <c r="AO20" s="13" t="s">
        <v>136</v>
      </c>
      <c r="AP20" s="14">
        <v>1</v>
      </c>
      <c r="AQ20" s="14">
        <v>1</v>
      </c>
      <c r="AR20" s="14">
        <v>1</v>
      </c>
      <c r="AS20" s="14">
        <v>1</v>
      </c>
      <c r="AT20" s="14">
        <v>1</v>
      </c>
      <c r="AU20" s="15">
        <v>1.05</v>
      </c>
      <c r="AV20" s="15">
        <v>1.0246950765959599</v>
      </c>
      <c r="AW20" s="16">
        <v>-1</v>
      </c>
      <c r="AX20" s="16">
        <v>0</v>
      </c>
      <c r="AY20" s="16" t="s">
        <v>42</v>
      </c>
    </row>
    <row r="21" spans="1:51" ht="14.5" x14ac:dyDescent="0.35">
      <c r="A21">
        <v>32</v>
      </c>
      <c r="B21" t="s">
        <v>168</v>
      </c>
      <c r="C21" t="s">
        <v>169</v>
      </c>
      <c r="D21" s="12">
        <v>6.5774804905239679E-3</v>
      </c>
      <c r="E21" s="13" t="s">
        <v>159</v>
      </c>
      <c r="F21" s="14">
        <v>1</v>
      </c>
      <c r="G21" s="14">
        <v>3</v>
      </c>
      <c r="H21" s="14">
        <v>1</v>
      </c>
      <c r="I21" s="13">
        <v>2</v>
      </c>
      <c r="J21" s="13">
        <v>2</v>
      </c>
      <c r="K21" s="15">
        <v>1.1679066507053673</v>
      </c>
      <c r="L21" s="15">
        <v>1.0806972983705323</v>
      </c>
      <c r="M21" s="15">
        <v>1.9821985274716219E-2</v>
      </c>
      <c r="N21" s="15">
        <v>2.993791708186377</v>
      </c>
      <c r="O21" s="16" t="s">
        <v>170</v>
      </c>
      <c r="P21" s="12">
        <v>0.41525423728813549</v>
      </c>
      <c r="Q21" s="13" t="s">
        <v>159</v>
      </c>
      <c r="R21" s="14">
        <v>1</v>
      </c>
      <c r="S21" s="13">
        <v>3</v>
      </c>
      <c r="T21" s="14">
        <v>1</v>
      </c>
      <c r="U21" s="14">
        <v>2</v>
      </c>
      <c r="V21" s="13">
        <v>2</v>
      </c>
      <c r="W21" s="15">
        <v>1.1679066507053673</v>
      </c>
      <c r="X21" s="15">
        <v>1.0806972983705323</v>
      </c>
      <c r="Y21" s="16">
        <v>61.519900845046593</v>
      </c>
      <c r="Z21" s="16">
        <v>86.630064455269732</v>
      </c>
      <c r="AA21" s="16" t="s">
        <v>171</v>
      </c>
      <c r="AB21" s="12">
        <v>1</v>
      </c>
      <c r="AC21" s="13" t="s">
        <v>159</v>
      </c>
      <c r="AD21" s="14">
        <v>1</v>
      </c>
      <c r="AE21" s="14">
        <v>3</v>
      </c>
      <c r="AF21" s="14">
        <v>1</v>
      </c>
      <c r="AG21" s="13">
        <v>2</v>
      </c>
      <c r="AH21" s="13">
        <v>2</v>
      </c>
      <c r="AI21" s="15">
        <v>1.1679066507053673</v>
      </c>
      <c r="AJ21" s="15">
        <v>1.0806972983705323</v>
      </c>
      <c r="AK21" s="16">
        <v>-1</v>
      </c>
      <c r="AL21" s="16">
        <v>0</v>
      </c>
      <c r="AM21" s="16" t="s">
        <v>42</v>
      </c>
      <c r="AN21" s="12">
        <v>0.51304347826086949</v>
      </c>
      <c r="AO21" s="13" t="s">
        <v>172</v>
      </c>
      <c r="AP21" s="14">
        <v>1</v>
      </c>
      <c r="AQ21" s="14">
        <v>3</v>
      </c>
      <c r="AR21" s="14">
        <v>1</v>
      </c>
      <c r="AS21" s="13">
        <v>2</v>
      </c>
      <c r="AT21" s="13">
        <v>2</v>
      </c>
      <c r="AU21" s="15">
        <v>1.1679066507053673</v>
      </c>
      <c r="AV21" s="15">
        <v>1.0806972983705323</v>
      </c>
      <c r="AW21" s="16">
        <v>78.217006971550688</v>
      </c>
      <c r="AX21" s="16">
        <v>74.239871023844756</v>
      </c>
      <c r="AY21" s="16" t="s">
        <v>173</v>
      </c>
    </row>
    <row r="22" spans="1:51" ht="14.5" x14ac:dyDescent="0.35">
      <c r="A22">
        <v>72</v>
      </c>
      <c r="B22" t="s">
        <v>174</v>
      </c>
      <c r="C22" t="s">
        <v>175</v>
      </c>
      <c r="D22" s="18">
        <v>2.717391304347826E-3</v>
      </c>
      <c r="E22" s="13" t="s">
        <v>176</v>
      </c>
      <c r="F22" s="14">
        <v>3</v>
      </c>
      <c r="G22" s="13">
        <v>1</v>
      </c>
      <c r="H22" s="13">
        <v>1</v>
      </c>
      <c r="I22" s="13">
        <v>3</v>
      </c>
      <c r="J22" s="13">
        <v>1</v>
      </c>
      <c r="K22" s="15">
        <v>1.3000688016831126</v>
      </c>
      <c r="L22" s="15">
        <v>1.1402055962339039</v>
      </c>
      <c r="M22" s="15">
        <v>-1.2189080214020857E-3</v>
      </c>
      <c r="N22" s="16">
        <v>-0.44733924385456553</v>
      </c>
      <c r="O22" s="16" t="s">
        <v>177</v>
      </c>
      <c r="P22" s="12">
        <v>0.95</v>
      </c>
      <c r="Q22" s="13" t="s">
        <v>71</v>
      </c>
      <c r="R22" s="14">
        <v>3</v>
      </c>
      <c r="S22" s="13">
        <v>1</v>
      </c>
      <c r="T22" s="13">
        <v>1</v>
      </c>
      <c r="U22" s="13">
        <v>3</v>
      </c>
      <c r="V22" s="13">
        <v>1</v>
      </c>
      <c r="W22" s="15">
        <v>1.3000688016831126</v>
      </c>
      <c r="X22" s="15">
        <v>1.1402055962339039</v>
      </c>
      <c r="Y22" s="16">
        <v>8.2321949466505444</v>
      </c>
      <c r="Z22" s="16">
        <v>0.43327341824476595</v>
      </c>
      <c r="AA22" s="16" t="s">
        <v>72</v>
      </c>
      <c r="AB22" s="12">
        <v>0</v>
      </c>
      <c r="AC22" s="14" t="s">
        <v>73</v>
      </c>
      <c r="AD22" s="14">
        <v>1</v>
      </c>
      <c r="AE22" s="14">
        <v>1</v>
      </c>
      <c r="AF22" s="14">
        <v>1</v>
      </c>
      <c r="AG22" s="14">
        <v>1</v>
      </c>
      <c r="AH22" s="14">
        <v>1</v>
      </c>
      <c r="AI22" s="15">
        <v>1.05</v>
      </c>
      <c r="AJ22" s="15">
        <v>1.0246950765959599</v>
      </c>
      <c r="AK22" s="16">
        <v>0</v>
      </c>
      <c r="AL22" s="16">
        <v>-1</v>
      </c>
      <c r="AM22" s="16" t="s">
        <v>57</v>
      </c>
      <c r="AN22" s="12">
        <v>0</v>
      </c>
      <c r="AO22" s="13" t="s">
        <v>178</v>
      </c>
      <c r="AP22" s="14">
        <v>1</v>
      </c>
      <c r="AQ22" s="13">
        <v>1</v>
      </c>
      <c r="AR22" s="13">
        <v>1</v>
      </c>
      <c r="AS22" s="13">
        <v>1</v>
      </c>
      <c r="AT22" s="13">
        <v>1</v>
      </c>
      <c r="AU22" s="15">
        <v>1.05</v>
      </c>
      <c r="AV22" s="15">
        <v>1.0246950765959599</v>
      </c>
      <c r="AW22" s="16">
        <v>0</v>
      </c>
      <c r="AX22" s="16">
        <v>-1</v>
      </c>
      <c r="AY22" s="16" t="s">
        <v>57</v>
      </c>
    </row>
    <row r="23" spans="1:51" ht="14.5" x14ac:dyDescent="0.35">
      <c r="A23">
        <v>80</v>
      </c>
      <c r="B23" t="s">
        <v>179</v>
      </c>
      <c r="C23" t="s">
        <v>180</v>
      </c>
      <c r="D23" s="12">
        <v>0.85499999999999998</v>
      </c>
      <c r="E23" s="13" t="s">
        <v>181</v>
      </c>
      <c r="F23" s="14">
        <v>3</v>
      </c>
      <c r="G23" s="13">
        <v>4</v>
      </c>
      <c r="H23" s="13">
        <v>1</v>
      </c>
      <c r="I23" s="13">
        <v>3</v>
      </c>
      <c r="J23" s="13">
        <v>1</v>
      </c>
      <c r="K23" s="15">
        <v>1.3462392336889575</v>
      </c>
      <c r="L23" s="15">
        <v>1.1602754990470829</v>
      </c>
      <c r="M23" s="16">
        <v>15.650395959774235</v>
      </c>
      <c r="N23" s="16">
        <v>2.6541607183242859</v>
      </c>
      <c r="O23" s="16" t="s">
        <v>182</v>
      </c>
      <c r="P23" s="12">
        <v>0.95</v>
      </c>
      <c r="Q23" s="13" t="s">
        <v>183</v>
      </c>
      <c r="R23" s="14">
        <v>3</v>
      </c>
      <c r="S23" s="13">
        <v>1</v>
      </c>
      <c r="T23" s="13">
        <v>1</v>
      </c>
      <c r="U23" s="13">
        <v>3</v>
      </c>
      <c r="V23" s="13">
        <v>1</v>
      </c>
      <c r="W23" s="15">
        <v>1.3000688016831126</v>
      </c>
      <c r="X23" s="15">
        <v>1.1402055962339039</v>
      </c>
      <c r="Y23" s="16">
        <v>8.2321949466505444</v>
      </c>
      <c r="Z23" s="16">
        <v>0.43327341824476595</v>
      </c>
      <c r="AA23" s="16" t="s">
        <v>72</v>
      </c>
      <c r="AB23" s="12">
        <v>0</v>
      </c>
      <c r="AC23" s="14" t="s">
        <v>73</v>
      </c>
      <c r="AD23" s="14">
        <v>1</v>
      </c>
      <c r="AE23" s="14">
        <v>1</v>
      </c>
      <c r="AF23" s="14">
        <v>1</v>
      </c>
      <c r="AG23" s="14">
        <v>1</v>
      </c>
      <c r="AH23" s="14">
        <v>1</v>
      </c>
      <c r="AI23" s="15">
        <v>1.05</v>
      </c>
      <c r="AJ23" s="15">
        <v>1.0246950765959599</v>
      </c>
      <c r="AK23" s="16">
        <v>0</v>
      </c>
      <c r="AL23" s="16">
        <v>-1</v>
      </c>
      <c r="AM23" s="16" t="s">
        <v>57</v>
      </c>
      <c r="AN23" s="12">
        <v>0.95</v>
      </c>
      <c r="AO23" s="13" t="s">
        <v>71</v>
      </c>
      <c r="AP23" s="14">
        <v>3</v>
      </c>
      <c r="AQ23" s="13">
        <v>1</v>
      </c>
      <c r="AR23" s="13">
        <v>1</v>
      </c>
      <c r="AS23" s="13">
        <v>3</v>
      </c>
      <c r="AT23" s="13">
        <v>1</v>
      </c>
      <c r="AU23" s="15">
        <v>1.3000688016831126</v>
      </c>
      <c r="AV23" s="15">
        <v>1.1402055962339039</v>
      </c>
      <c r="AW23" s="16">
        <v>8.2321949466505444</v>
      </c>
      <c r="AX23" s="16">
        <v>0.43327341824476595</v>
      </c>
      <c r="AY23" s="16" t="s">
        <v>72</v>
      </c>
    </row>
    <row r="24" spans="1:51" ht="14.5" x14ac:dyDescent="0.35">
      <c r="A24">
        <v>67</v>
      </c>
      <c r="B24" t="s">
        <v>184</v>
      </c>
      <c r="C24" t="s">
        <v>185</v>
      </c>
      <c r="D24" s="12">
        <v>0.66738632907361728</v>
      </c>
      <c r="E24" s="14" t="s">
        <v>106</v>
      </c>
      <c r="F24" s="14">
        <v>4</v>
      </c>
      <c r="G24" s="14">
        <v>1</v>
      </c>
      <c r="H24" s="14">
        <v>1</v>
      </c>
      <c r="I24" s="14">
        <v>3</v>
      </c>
      <c r="J24" s="14">
        <v>3</v>
      </c>
      <c r="K24" s="15">
        <v>1.5279171865856971</v>
      </c>
      <c r="L24" s="15">
        <v>1.2360894735356729</v>
      </c>
      <c r="M24" s="16">
        <v>9.9642827837120986</v>
      </c>
      <c r="N24" s="16">
        <v>4.9660242208429342</v>
      </c>
      <c r="O24" s="16" t="s">
        <v>186</v>
      </c>
      <c r="P24" s="12">
        <v>0.85</v>
      </c>
      <c r="Q24" s="13" t="s">
        <v>140</v>
      </c>
      <c r="R24" s="14">
        <v>3</v>
      </c>
      <c r="S24" s="14">
        <v>3</v>
      </c>
      <c r="T24" s="14">
        <v>1</v>
      </c>
      <c r="U24" s="14">
        <v>3</v>
      </c>
      <c r="V24" s="14">
        <v>3</v>
      </c>
      <c r="W24" s="15">
        <v>1.3840763218302521</v>
      </c>
      <c r="X24" s="15">
        <v>1.1764677308920344</v>
      </c>
      <c r="Y24" s="16">
        <v>13.070617457485042</v>
      </c>
      <c r="Z24" s="16">
        <v>2.3065795513208904</v>
      </c>
      <c r="AA24" s="16" t="s">
        <v>141</v>
      </c>
      <c r="AB24" s="12">
        <v>0</v>
      </c>
      <c r="AC24" s="13" t="s">
        <v>187</v>
      </c>
      <c r="AD24" s="14">
        <v>1</v>
      </c>
      <c r="AE24" s="14">
        <v>1</v>
      </c>
      <c r="AF24" s="14">
        <v>1</v>
      </c>
      <c r="AG24" s="14">
        <v>1</v>
      </c>
      <c r="AH24" s="14">
        <v>1</v>
      </c>
      <c r="AI24" s="15">
        <v>1.05</v>
      </c>
      <c r="AJ24" s="15">
        <v>1.0246950765959599</v>
      </c>
      <c r="AK24" s="16">
        <v>0</v>
      </c>
      <c r="AL24" s="16">
        <v>-1</v>
      </c>
      <c r="AM24" s="16" t="s">
        <v>57</v>
      </c>
      <c r="AN24" s="12">
        <v>0</v>
      </c>
      <c r="AO24" s="13" t="s">
        <v>187</v>
      </c>
      <c r="AP24" s="14">
        <v>1</v>
      </c>
      <c r="AQ24" s="14">
        <v>1</v>
      </c>
      <c r="AR24" s="14">
        <v>1</v>
      </c>
      <c r="AS24" s="14">
        <v>1</v>
      </c>
      <c r="AT24" s="14">
        <v>1</v>
      </c>
      <c r="AU24" s="15">
        <v>1.05</v>
      </c>
      <c r="AV24" s="15">
        <v>1.0246950765959599</v>
      </c>
      <c r="AW24" s="16">
        <v>0</v>
      </c>
      <c r="AX24" s="16">
        <v>-1</v>
      </c>
      <c r="AY24" s="16" t="s">
        <v>57</v>
      </c>
    </row>
    <row r="25" spans="1:51" ht="14.5" x14ac:dyDescent="0.35">
      <c r="A25">
        <v>49</v>
      </c>
      <c r="B25" t="s">
        <v>188</v>
      </c>
      <c r="C25" t="s">
        <v>189</v>
      </c>
      <c r="D25" s="12">
        <v>0.3</v>
      </c>
      <c r="E25" s="19" t="s">
        <v>190</v>
      </c>
      <c r="F25" s="14">
        <v>3</v>
      </c>
      <c r="G25" s="14">
        <v>1</v>
      </c>
      <c r="H25" s="14">
        <v>1</v>
      </c>
      <c r="I25" s="13">
        <v>3</v>
      </c>
      <c r="J25" s="13">
        <v>2</v>
      </c>
      <c r="K25" s="15">
        <v>1.3163902184345033</v>
      </c>
      <c r="L25" s="15">
        <v>1.1473404980364388</v>
      </c>
      <c r="M25" s="16">
        <v>11.30796991261402</v>
      </c>
      <c r="N25" s="16">
        <v>26.385263129432712</v>
      </c>
      <c r="O25" s="16" t="s">
        <v>191</v>
      </c>
      <c r="P25" s="12">
        <v>0.13138686131386859</v>
      </c>
      <c r="Q25" s="13" t="s">
        <v>159</v>
      </c>
      <c r="R25" s="14">
        <v>1</v>
      </c>
      <c r="S25" s="13">
        <v>3</v>
      </c>
      <c r="T25" s="14">
        <v>1</v>
      </c>
      <c r="U25" s="14">
        <v>2</v>
      </c>
      <c r="V25" s="13">
        <v>2</v>
      </c>
      <c r="W25" s="15">
        <v>1.1679066507053673</v>
      </c>
      <c r="X25" s="15">
        <v>1.0806972983705323</v>
      </c>
      <c r="Y25" s="16">
        <v>9.078881205963329</v>
      </c>
      <c r="Z25" s="16">
        <v>60.021492417202026</v>
      </c>
      <c r="AA25" s="16" t="s">
        <v>192</v>
      </c>
      <c r="AB25" s="12">
        <v>0.78061129978388399</v>
      </c>
      <c r="AC25" s="13" t="s">
        <v>159</v>
      </c>
      <c r="AD25" s="14">
        <v>1</v>
      </c>
      <c r="AE25" s="14">
        <v>3</v>
      </c>
      <c r="AF25" s="14">
        <v>1</v>
      </c>
      <c r="AG25" s="13">
        <v>2</v>
      </c>
      <c r="AH25" s="19">
        <v>2</v>
      </c>
      <c r="AI25" s="15">
        <v>1.1679066507053673</v>
      </c>
      <c r="AJ25" s="15">
        <v>1.0806972983705323</v>
      </c>
      <c r="AK25" s="16">
        <v>81.335036427065305</v>
      </c>
      <c r="AL25" s="16">
        <v>22.858992598114451</v>
      </c>
      <c r="AM25" s="16" t="s">
        <v>193</v>
      </c>
      <c r="AN25" s="12">
        <v>0.96100300585350418</v>
      </c>
      <c r="AO25" s="13" t="s">
        <v>159</v>
      </c>
      <c r="AP25" s="14">
        <v>1</v>
      </c>
      <c r="AQ25" s="14">
        <v>3</v>
      </c>
      <c r="AR25" s="14">
        <v>1</v>
      </c>
      <c r="AS25" s="13">
        <v>2</v>
      </c>
      <c r="AT25" s="13">
        <v>2</v>
      </c>
      <c r="AU25" s="15">
        <v>1.1679066507053673</v>
      </c>
      <c r="AV25" s="15">
        <v>1.0806972983705323</v>
      </c>
      <c r="AW25" s="16">
        <v>21.160907238958806</v>
      </c>
      <c r="AX25" s="16">
        <v>0.85869843351771302</v>
      </c>
      <c r="AY25" s="16" t="s">
        <v>194</v>
      </c>
    </row>
    <row r="26" spans="1:51" ht="14.5" x14ac:dyDescent="0.35">
      <c r="A26">
        <v>77</v>
      </c>
      <c r="B26" t="s">
        <v>195</v>
      </c>
      <c r="C26" t="s">
        <v>196</v>
      </c>
      <c r="D26" s="12">
        <v>0.57576959999999999</v>
      </c>
      <c r="E26" s="14" t="s">
        <v>197</v>
      </c>
      <c r="F26" s="14">
        <v>2</v>
      </c>
      <c r="G26" s="14">
        <v>3</v>
      </c>
      <c r="H26" s="14">
        <v>1</v>
      </c>
      <c r="I26" s="13">
        <v>2</v>
      </c>
      <c r="J26" s="13">
        <v>1</v>
      </c>
      <c r="K26" s="15">
        <v>1.1766845455095114</v>
      </c>
      <c r="L26" s="15">
        <v>1.0847509140394911</v>
      </c>
      <c r="M26" s="16">
        <v>77.743829910014568</v>
      </c>
      <c r="N26" s="16">
        <v>57.282107392014865</v>
      </c>
      <c r="O26" s="16" t="s">
        <v>198</v>
      </c>
      <c r="P26" s="12">
        <v>1</v>
      </c>
      <c r="Q26" s="14" t="s">
        <v>94</v>
      </c>
      <c r="R26" s="14">
        <v>3</v>
      </c>
      <c r="S26" s="13">
        <v>1</v>
      </c>
      <c r="T26" s="14">
        <v>1</v>
      </c>
      <c r="U26" s="14">
        <v>3</v>
      </c>
      <c r="V26" s="13">
        <v>1</v>
      </c>
      <c r="W26" s="15">
        <v>1.3000688016831126</v>
      </c>
      <c r="X26" s="15">
        <v>1.1402055962339039</v>
      </c>
      <c r="Y26" s="16">
        <v>-1</v>
      </c>
      <c r="Z26" s="16">
        <v>0</v>
      </c>
      <c r="AA26" s="16" t="s">
        <v>42</v>
      </c>
      <c r="AB26" s="12">
        <v>0</v>
      </c>
      <c r="AC26" s="14" t="s">
        <v>73</v>
      </c>
      <c r="AD26" s="14">
        <v>1</v>
      </c>
      <c r="AE26" s="14">
        <v>1</v>
      </c>
      <c r="AF26" s="14">
        <v>1</v>
      </c>
      <c r="AG26" s="13">
        <v>1</v>
      </c>
      <c r="AH26" s="13">
        <v>1</v>
      </c>
      <c r="AI26" s="15">
        <v>1.05</v>
      </c>
      <c r="AJ26" s="15">
        <v>1.0246950765959599</v>
      </c>
      <c r="AK26" s="16">
        <v>0</v>
      </c>
      <c r="AL26" s="16">
        <v>-1</v>
      </c>
      <c r="AM26" s="16" t="s">
        <v>57</v>
      </c>
      <c r="AN26" s="12">
        <v>0.96</v>
      </c>
      <c r="AO26" s="14" t="s">
        <v>199</v>
      </c>
      <c r="AP26" s="14">
        <v>3</v>
      </c>
      <c r="AQ26" s="14">
        <v>1</v>
      </c>
      <c r="AR26" s="14">
        <v>1</v>
      </c>
      <c r="AS26" s="13">
        <v>3</v>
      </c>
      <c r="AT26" s="13">
        <v>1</v>
      </c>
      <c r="AU26" s="15">
        <v>1.3000688016831126</v>
      </c>
      <c r="AV26" s="15">
        <v>1.1402055962339039</v>
      </c>
      <c r="AW26" s="16">
        <v>6.5412173853368571</v>
      </c>
      <c r="AX26" s="16">
        <v>0.27255072438903594</v>
      </c>
      <c r="AY26" s="16" t="s">
        <v>200</v>
      </c>
    </row>
    <row r="27" spans="1:51" ht="14.5" x14ac:dyDescent="0.35">
      <c r="A27">
        <v>57</v>
      </c>
      <c r="B27" t="s">
        <v>201</v>
      </c>
      <c r="C27" t="s">
        <v>202</v>
      </c>
      <c r="D27" s="12">
        <v>0.60009236780630426</v>
      </c>
      <c r="E27" s="14" t="s">
        <v>106</v>
      </c>
      <c r="F27" s="14">
        <v>3</v>
      </c>
      <c r="G27" s="14">
        <v>1</v>
      </c>
      <c r="H27" s="14">
        <v>1</v>
      </c>
      <c r="I27" s="14">
        <v>3</v>
      </c>
      <c r="J27" s="14">
        <v>3</v>
      </c>
      <c r="K27" s="15">
        <v>1.3713425173473328</v>
      </c>
      <c r="L27" s="15">
        <v>1.1710433456312934</v>
      </c>
      <c r="M27" s="16">
        <v>19.089808289021303</v>
      </c>
      <c r="N27" s="16">
        <v>12.721641602944404</v>
      </c>
      <c r="O27" s="16" t="s">
        <v>203</v>
      </c>
      <c r="P27" s="12">
        <v>0.85836909871244638</v>
      </c>
      <c r="Q27" s="14" t="s">
        <v>108</v>
      </c>
      <c r="R27" s="14">
        <v>1</v>
      </c>
      <c r="S27" s="14">
        <v>3</v>
      </c>
      <c r="T27" s="14">
        <v>1</v>
      </c>
      <c r="U27" s="14">
        <v>3</v>
      </c>
      <c r="V27" s="14">
        <v>2</v>
      </c>
      <c r="W27" s="15">
        <v>1.2456465205819256</v>
      </c>
      <c r="X27" s="15">
        <v>1.1160853554195242</v>
      </c>
      <c r="Y27" s="16">
        <v>30.116629018840488</v>
      </c>
      <c r="Z27" s="16">
        <v>4.9692437881086793</v>
      </c>
      <c r="AA27" s="16" t="s">
        <v>204</v>
      </c>
      <c r="AB27" s="12">
        <v>0</v>
      </c>
      <c r="AC27" s="14" t="s">
        <v>108</v>
      </c>
      <c r="AD27" s="14">
        <v>1</v>
      </c>
      <c r="AE27" s="14">
        <v>3</v>
      </c>
      <c r="AF27" s="14">
        <v>1</v>
      </c>
      <c r="AG27" s="14">
        <v>3</v>
      </c>
      <c r="AH27" s="14">
        <v>2</v>
      </c>
      <c r="AI27" s="15">
        <v>1.2456465205819256</v>
      </c>
      <c r="AJ27" s="15">
        <v>1.1160853554195242</v>
      </c>
      <c r="AK27" s="16">
        <v>0</v>
      </c>
      <c r="AL27" s="16">
        <v>-1</v>
      </c>
      <c r="AM27" s="16" t="s">
        <v>57</v>
      </c>
      <c r="AN27" s="12">
        <v>1</v>
      </c>
      <c r="AO27" s="13" t="s">
        <v>110</v>
      </c>
      <c r="AP27" s="14">
        <v>1</v>
      </c>
      <c r="AQ27" s="14">
        <v>1</v>
      </c>
      <c r="AR27" s="14">
        <v>1</v>
      </c>
      <c r="AS27" s="14">
        <v>1</v>
      </c>
      <c r="AT27" s="14">
        <v>1</v>
      </c>
      <c r="AU27" s="15">
        <v>1.05</v>
      </c>
      <c r="AV27" s="15">
        <v>1.0246950765959599</v>
      </c>
      <c r="AW27" s="16">
        <v>-1</v>
      </c>
      <c r="AX27" s="16">
        <v>0</v>
      </c>
      <c r="AY27" s="16" t="s">
        <v>42</v>
      </c>
    </row>
    <row r="28" spans="1:51" ht="14.5" x14ac:dyDescent="0.35">
      <c r="A28">
        <v>3</v>
      </c>
      <c r="B28" t="s">
        <v>205</v>
      </c>
      <c r="C28" t="s">
        <v>3</v>
      </c>
      <c r="D28" s="12">
        <v>0.69917047091553897</v>
      </c>
      <c r="E28" s="14" t="s">
        <v>206</v>
      </c>
      <c r="F28" s="14">
        <v>3</v>
      </c>
      <c r="G28" s="14">
        <v>4</v>
      </c>
      <c r="H28" s="14">
        <v>1</v>
      </c>
      <c r="I28" s="14">
        <v>3</v>
      </c>
      <c r="J28" s="14">
        <v>2</v>
      </c>
      <c r="K28" s="15">
        <v>1.3612214788154857</v>
      </c>
      <c r="L28" s="15">
        <v>1.1667139661525809</v>
      </c>
      <c r="M28" s="16">
        <v>20.465067870780086</v>
      </c>
      <c r="N28" s="16">
        <v>8.8054301294884532</v>
      </c>
      <c r="O28" s="16" t="s">
        <v>207</v>
      </c>
      <c r="P28" s="12">
        <v>0.83500000000000008</v>
      </c>
      <c r="Q28" s="14" t="s">
        <v>208</v>
      </c>
      <c r="R28" s="14">
        <v>2</v>
      </c>
      <c r="S28" s="14">
        <v>2</v>
      </c>
      <c r="T28" s="14">
        <v>1</v>
      </c>
      <c r="U28" s="14">
        <v>3</v>
      </c>
      <c r="V28" s="14">
        <v>2</v>
      </c>
      <c r="W28" s="15">
        <v>1.2569078487011278</v>
      </c>
      <c r="X28" s="15">
        <v>1.1211190162962752</v>
      </c>
      <c r="Y28" s="16">
        <v>30.533389119134313</v>
      </c>
      <c r="Z28" s="16">
        <v>6.0335439576732446</v>
      </c>
      <c r="AA28" s="16" t="s">
        <v>209</v>
      </c>
      <c r="AB28" s="12">
        <v>0</v>
      </c>
      <c r="AC28" s="14" t="s">
        <v>102</v>
      </c>
      <c r="AD28" s="14">
        <v>1</v>
      </c>
      <c r="AE28" s="14">
        <v>1</v>
      </c>
      <c r="AF28" s="14">
        <v>1</v>
      </c>
      <c r="AG28" s="14">
        <v>1</v>
      </c>
      <c r="AH28" s="14">
        <v>1</v>
      </c>
      <c r="AI28" s="15">
        <v>1.05</v>
      </c>
      <c r="AJ28" s="15">
        <v>1.0246950765959599</v>
      </c>
      <c r="AK28" s="16">
        <v>0</v>
      </c>
      <c r="AL28" s="16">
        <v>-1</v>
      </c>
      <c r="AM28" s="16" t="s">
        <v>57</v>
      </c>
      <c r="AN28" s="12">
        <v>0.85</v>
      </c>
      <c r="AO28" s="13" t="s">
        <v>71</v>
      </c>
      <c r="AP28" s="14">
        <v>4</v>
      </c>
      <c r="AQ28" s="14">
        <v>1</v>
      </c>
      <c r="AR28" s="14">
        <v>1</v>
      </c>
      <c r="AS28" s="14">
        <v>3</v>
      </c>
      <c r="AT28" s="14">
        <v>3</v>
      </c>
      <c r="AU28" s="15">
        <v>1.5279171865856971</v>
      </c>
      <c r="AV28" s="15">
        <v>1.2360894735356729</v>
      </c>
      <c r="AW28" s="16">
        <v>6.9274254044816885</v>
      </c>
      <c r="AX28" s="16">
        <v>1.2224868360850041</v>
      </c>
      <c r="AY28" s="16" t="s">
        <v>210</v>
      </c>
    </row>
    <row r="29" spans="1:51" ht="14.5" x14ac:dyDescent="0.35">
      <c r="A29">
        <v>71</v>
      </c>
      <c r="B29" t="s">
        <v>211</v>
      </c>
      <c r="C29" t="s">
        <v>212</v>
      </c>
      <c r="D29" s="12">
        <v>0.66629720892829547</v>
      </c>
      <c r="E29" s="14" t="s">
        <v>106</v>
      </c>
      <c r="F29" s="14">
        <v>4</v>
      </c>
      <c r="G29" s="14">
        <v>1</v>
      </c>
      <c r="H29" s="14">
        <v>1</v>
      </c>
      <c r="I29" s="14">
        <v>3</v>
      </c>
      <c r="J29" s="14">
        <v>3</v>
      </c>
      <c r="K29" s="15">
        <v>1.5279171865856971</v>
      </c>
      <c r="L29" s="15">
        <v>1.2360894735356729</v>
      </c>
      <c r="M29" s="16">
        <v>9.9653993060944988</v>
      </c>
      <c r="N29" s="16">
        <v>4.9909882827464136</v>
      </c>
      <c r="O29" s="16" t="s">
        <v>213</v>
      </c>
      <c r="P29" s="12">
        <v>0.85</v>
      </c>
      <c r="Q29" s="14" t="s">
        <v>140</v>
      </c>
      <c r="R29" s="14">
        <v>3</v>
      </c>
      <c r="S29" s="14">
        <v>3</v>
      </c>
      <c r="T29" s="14">
        <v>1</v>
      </c>
      <c r="U29" s="14">
        <v>3</v>
      </c>
      <c r="V29" s="14">
        <v>3</v>
      </c>
      <c r="W29" s="15">
        <v>1.3840763218302521</v>
      </c>
      <c r="X29" s="15">
        <v>1.1764677308920344</v>
      </c>
      <c r="Y29" s="16">
        <v>13.070617457485042</v>
      </c>
      <c r="Z29" s="16">
        <v>2.3065795513208904</v>
      </c>
      <c r="AA29" s="16" t="s">
        <v>141</v>
      </c>
      <c r="AB29" s="12">
        <v>0</v>
      </c>
      <c r="AC29" s="13" t="s">
        <v>187</v>
      </c>
      <c r="AD29" s="14">
        <v>1</v>
      </c>
      <c r="AE29" s="14">
        <v>1</v>
      </c>
      <c r="AF29" s="14">
        <v>1</v>
      </c>
      <c r="AG29" s="14">
        <v>1</v>
      </c>
      <c r="AH29" s="14">
        <v>1</v>
      </c>
      <c r="AI29" s="15">
        <v>1.05</v>
      </c>
      <c r="AJ29" s="15">
        <v>1.0246950765959599</v>
      </c>
      <c r="AK29" s="16">
        <v>0</v>
      </c>
      <c r="AL29" s="16">
        <v>-1</v>
      </c>
      <c r="AM29" s="16" t="s">
        <v>57</v>
      </c>
      <c r="AN29" s="12">
        <v>0</v>
      </c>
      <c r="AO29" s="13" t="s">
        <v>187</v>
      </c>
      <c r="AP29" s="14">
        <v>1</v>
      </c>
      <c r="AQ29" s="14">
        <v>1</v>
      </c>
      <c r="AR29" s="14">
        <v>1</v>
      </c>
      <c r="AS29" s="14">
        <v>1</v>
      </c>
      <c r="AT29" s="14">
        <v>1</v>
      </c>
      <c r="AU29" s="15">
        <v>1.05</v>
      </c>
      <c r="AV29" s="15">
        <v>1.0246950765959599</v>
      </c>
      <c r="AW29" s="16">
        <v>0</v>
      </c>
      <c r="AX29" s="16">
        <v>-1</v>
      </c>
      <c r="AY29" s="16" t="s">
        <v>57</v>
      </c>
    </row>
    <row r="30" spans="1:51" ht="14.5" x14ac:dyDescent="0.35">
      <c r="A30">
        <v>12</v>
      </c>
      <c r="B30" t="s">
        <v>214</v>
      </c>
      <c r="C30" t="s">
        <v>215</v>
      </c>
      <c r="D30" s="12">
        <v>0.67925000000000002</v>
      </c>
      <c r="E30" s="14" t="s">
        <v>216</v>
      </c>
      <c r="F30" s="14">
        <v>3</v>
      </c>
      <c r="G30" s="14">
        <v>2</v>
      </c>
      <c r="H30" s="14">
        <v>1</v>
      </c>
      <c r="I30" s="14">
        <v>3</v>
      </c>
      <c r="J30" s="14">
        <v>1</v>
      </c>
      <c r="K30" s="15">
        <v>1.3022280723042765</v>
      </c>
      <c r="L30" s="15">
        <v>1.1411520811461882</v>
      </c>
      <c r="M30" s="16">
        <v>29.031347033109533</v>
      </c>
      <c r="N30" s="16">
        <v>13.70895040245842</v>
      </c>
      <c r="O30" s="16" t="s">
        <v>217</v>
      </c>
      <c r="P30" s="12">
        <v>0.92</v>
      </c>
      <c r="Q30" s="14" t="s">
        <v>218</v>
      </c>
      <c r="R30" s="14">
        <v>3</v>
      </c>
      <c r="S30" s="14">
        <v>1</v>
      </c>
      <c r="T30" s="14">
        <v>1</v>
      </c>
      <c r="U30" s="14">
        <v>3</v>
      </c>
      <c r="V30" s="14">
        <v>1</v>
      </c>
      <c r="W30" s="15">
        <v>1.3000688016831126</v>
      </c>
      <c r="X30" s="15">
        <v>1.1402055962339039</v>
      </c>
      <c r="Y30" s="16">
        <v>12.85827776681664</v>
      </c>
      <c r="Z30" s="16">
        <v>1.1181111101579682</v>
      </c>
      <c r="AA30" s="16" t="s">
        <v>219</v>
      </c>
      <c r="AB30" s="12">
        <v>0</v>
      </c>
      <c r="AC30" s="14" t="s">
        <v>73</v>
      </c>
      <c r="AD30" s="14">
        <v>1</v>
      </c>
      <c r="AE30" s="14">
        <v>1</v>
      </c>
      <c r="AF30" s="14">
        <v>1</v>
      </c>
      <c r="AG30" s="14">
        <v>1</v>
      </c>
      <c r="AH30" s="14">
        <v>1</v>
      </c>
      <c r="AI30" s="15">
        <v>1.05</v>
      </c>
      <c r="AJ30" s="15">
        <v>1.0246950765959599</v>
      </c>
      <c r="AK30" s="16">
        <v>0</v>
      </c>
      <c r="AL30" s="16">
        <v>-1</v>
      </c>
      <c r="AM30" s="16" t="s">
        <v>57</v>
      </c>
      <c r="AN30" s="12">
        <v>0.95</v>
      </c>
      <c r="AO30" s="14" t="s">
        <v>220</v>
      </c>
      <c r="AP30" s="14">
        <v>4</v>
      </c>
      <c r="AQ30" s="14">
        <v>1</v>
      </c>
      <c r="AR30" s="14">
        <v>1</v>
      </c>
      <c r="AS30" s="14">
        <v>3</v>
      </c>
      <c r="AT30" s="14">
        <v>1</v>
      </c>
      <c r="AU30" s="15">
        <v>1.4707782003422192</v>
      </c>
      <c r="AV30" s="15">
        <v>1.212756447248259</v>
      </c>
      <c r="AW30" s="16">
        <v>3.037601467121025</v>
      </c>
      <c r="AX30" s="16">
        <v>0.15987376142742252</v>
      </c>
      <c r="AY30" s="16" t="s">
        <v>72</v>
      </c>
    </row>
    <row r="31" spans="1:51" ht="14.5" x14ac:dyDescent="0.35">
      <c r="A31">
        <v>25</v>
      </c>
      <c r="B31" t="s">
        <v>221</v>
      </c>
      <c r="C31" t="s">
        <v>222</v>
      </c>
      <c r="D31" s="12">
        <v>0.7</v>
      </c>
      <c r="E31" s="14" t="s">
        <v>223</v>
      </c>
      <c r="F31" s="14">
        <v>3</v>
      </c>
      <c r="G31" s="14">
        <v>1</v>
      </c>
      <c r="H31" s="14">
        <v>1</v>
      </c>
      <c r="I31" s="14">
        <v>2</v>
      </c>
      <c r="J31" s="14">
        <v>1</v>
      </c>
      <c r="K31" s="15">
        <v>1.2354522921220721</v>
      </c>
      <c r="L31" s="15">
        <v>1.1115090157628376</v>
      </c>
      <c r="M31" s="16">
        <v>46.588698466750223</v>
      </c>
      <c r="N31" s="16">
        <v>19.966585057178669</v>
      </c>
      <c r="O31" s="16" t="s">
        <v>224</v>
      </c>
      <c r="P31" s="12">
        <v>0.73008131004983912</v>
      </c>
      <c r="Q31" s="14" t="s">
        <v>225</v>
      </c>
      <c r="R31" s="14">
        <v>3</v>
      </c>
      <c r="S31" s="14">
        <v>4</v>
      </c>
      <c r="T31" s="14">
        <v>2</v>
      </c>
      <c r="U31" s="14">
        <v>2</v>
      </c>
      <c r="V31" s="14">
        <v>1</v>
      </c>
      <c r="W31" s="15">
        <v>1.2906836861283406</v>
      </c>
      <c r="X31" s="15">
        <v>1.1360826053277731</v>
      </c>
      <c r="Y31" s="16">
        <v>30.346281242458623</v>
      </c>
      <c r="Z31" s="16">
        <v>11.219337305408366</v>
      </c>
      <c r="AA31" s="16" t="s">
        <v>226</v>
      </c>
      <c r="AB31" s="12">
        <v>0.87621696801112658</v>
      </c>
      <c r="AC31" s="14" t="s">
        <v>227</v>
      </c>
      <c r="AD31" s="14">
        <v>3</v>
      </c>
      <c r="AE31" s="14">
        <v>4</v>
      </c>
      <c r="AF31" s="14">
        <v>2</v>
      </c>
      <c r="AG31" s="14">
        <v>2</v>
      </c>
      <c r="AH31" s="14">
        <v>1</v>
      </c>
      <c r="AI31" s="15">
        <v>1.2906836861283406</v>
      </c>
      <c r="AJ31" s="15">
        <v>1.1360826053277731</v>
      </c>
      <c r="AK31" s="16">
        <v>19.651431177342051</v>
      </c>
      <c r="AL31" s="16">
        <v>2.7761545631483209</v>
      </c>
      <c r="AM31" s="16" t="s">
        <v>228</v>
      </c>
      <c r="AN31" s="12">
        <v>0.8</v>
      </c>
      <c r="AO31" s="14" t="s">
        <v>103</v>
      </c>
      <c r="AP31" s="14">
        <v>3</v>
      </c>
      <c r="AQ31" s="14">
        <v>1</v>
      </c>
      <c r="AR31" s="14">
        <v>1</v>
      </c>
      <c r="AS31" s="14">
        <v>3</v>
      </c>
      <c r="AT31" s="14">
        <v>1</v>
      </c>
      <c r="AU31" s="15">
        <v>1.3000688016831126</v>
      </c>
      <c r="AV31" s="15">
        <v>1.1402055962339039</v>
      </c>
      <c r="AW31" s="16">
        <v>25.245893699086281</v>
      </c>
      <c r="AX31" s="16">
        <v>6.3114734247715685</v>
      </c>
      <c r="AY31" s="16" t="s">
        <v>229</v>
      </c>
    </row>
    <row r="32" spans="1:51" ht="14.5" x14ac:dyDescent="0.35">
      <c r="A32">
        <v>42</v>
      </c>
      <c r="B32" t="s">
        <v>230</v>
      </c>
      <c r="C32" t="s">
        <v>231</v>
      </c>
      <c r="D32" s="17">
        <v>0.6</v>
      </c>
      <c r="E32" s="14" t="s">
        <v>232</v>
      </c>
      <c r="F32" s="14">
        <v>3</v>
      </c>
      <c r="G32" s="14">
        <v>1</v>
      </c>
      <c r="H32" s="14">
        <v>1</v>
      </c>
      <c r="I32" s="13">
        <v>1</v>
      </c>
      <c r="J32" s="13">
        <v>1</v>
      </c>
      <c r="K32" s="15">
        <v>1.207723199572867</v>
      </c>
      <c r="L32" s="15">
        <v>1.098964603421269</v>
      </c>
      <c r="M32" s="16">
        <v>58.211560908790673</v>
      </c>
      <c r="N32" s="16">
        <v>38.807707272527125</v>
      </c>
      <c r="O32" s="16" t="s">
        <v>233</v>
      </c>
      <c r="P32" s="12">
        <v>0.83111111111111113</v>
      </c>
      <c r="Q32" s="13" t="s">
        <v>234</v>
      </c>
      <c r="R32" s="14">
        <v>2</v>
      </c>
      <c r="S32" s="13">
        <v>4</v>
      </c>
      <c r="T32" s="13">
        <v>2</v>
      </c>
      <c r="U32" s="13">
        <v>3</v>
      </c>
      <c r="V32" s="13">
        <v>1</v>
      </c>
      <c r="W32" s="15">
        <v>1.2906836861283406</v>
      </c>
      <c r="X32" s="15">
        <v>1.1360826053277731</v>
      </c>
      <c r="Y32" s="16">
        <v>24.367349832303088</v>
      </c>
      <c r="Z32" s="16">
        <v>4.951653976617739</v>
      </c>
      <c r="AA32" s="16" t="s">
        <v>235</v>
      </c>
      <c r="AB32" s="12">
        <v>1</v>
      </c>
      <c r="AC32" s="13" t="s">
        <v>236</v>
      </c>
      <c r="AD32" s="14">
        <v>2</v>
      </c>
      <c r="AE32" s="13">
        <v>4</v>
      </c>
      <c r="AF32" s="13">
        <v>2</v>
      </c>
      <c r="AG32" s="13">
        <v>2</v>
      </c>
      <c r="AH32" s="13">
        <v>1</v>
      </c>
      <c r="AI32" s="15">
        <v>1.2243071084719455</v>
      </c>
      <c r="AJ32" s="15">
        <v>1.1064841202981386</v>
      </c>
      <c r="AK32" s="16">
        <v>-1</v>
      </c>
      <c r="AL32" s="16">
        <v>0</v>
      </c>
      <c r="AM32" s="16" t="s">
        <v>42</v>
      </c>
      <c r="AN32" s="12">
        <v>0.5</v>
      </c>
      <c r="AO32" s="14" t="s">
        <v>103</v>
      </c>
      <c r="AP32" s="14">
        <v>4</v>
      </c>
      <c r="AQ32" s="14">
        <v>1</v>
      </c>
      <c r="AR32" s="14">
        <v>1</v>
      </c>
      <c r="AS32" s="14">
        <v>3</v>
      </c>
      <c r="AT32" s="14">
        <v>1</v>
      </c>
      <c r="AU32" s="15">
        <v>1.4707782003422192</v>
      </c>
      <c r="AV32" s="15">
        <v>1.212756447248259</v>
      </c>
      <c r="AW32" s="16">
        <v>10.545987443548537</v>
      </c>
      <c r="AX32" s="16">
        <v>10.545987443548537</v>
      </c>
      <c r="AY32" s="16" t="s">
        <v>237</v>
      </c>
    </row>
    <row r="33" spans="1:51" ht="14.5" x14ac:dyDescent="0.35">
      <c r="A33">
        <v>41</v>
      </c>
      <c r="B33" t="s">
        <v>238</v>
      </c>
      <c r="C33" t="s">
        <v>239</v>
      </c>
      <c r="D33" s="12">
        <v>0.71</v>
      </c>
      <c r="E33" s="14" t="s">
        <v>240</v>
      </c>
      <c r="F33" s="14">
        <v>2</v>
      </c>
      <c r="G33" s="14">
        <v>4</v>
      </c>
      <c r="H33" s="14">
        <v>1</v>
      </c>
      <c r="I33" s="14">
        <v>3</v>
      </c>
      <c r="J33" s="14">
        <v>1</v>
      </c>
      <c r="K33" s="15">
        <v>1.2884684415322456</v>
      </c>
      <c r="L33" s="15">
        <v>1.135107237899682</v>
      </c>
      <c r="M33" s="16">
        <v>31.324463554769682</v>
      </c>
      <c r="N33" s="16">
        <v>12.794499198427056</v>
      </c>
      <c r="O33" s="16" t="s">
        <v>241</v>
      </c>
      <c r="P33" s="12">
        <v>0.9</v>
      </c>
      <c r="Q33" s="14" t="s">
        <v>242</v>
      </c>
      <c r="R33" s="14">
        <v>3</v>
      </c>
      <c r="S33" s="14">
        <v>1</v>
      </c>
      <c r="T33" s="14">
        <v>1</v>
      </c>
      <c r="U33" s="14">
        <v>3</v>
      </c>
      <c r="V33" s="14">
        <v>1</v>
      </c>
      <c r="W33" s="15">
        <v>1.3000688016831126</v>
      </c>
      <c r="X33" s="15">
        <v>1.1402055962339039</v>
      </c>
      <c r="Y33" s="16">
        <v>15.58216710645304</v>
      </c>
      <c r="Z33" s="16">
        <v>1.731351900717004</v>
      </c>
      <c r="AA33" s="16" t="s">
        <v>65</v>
      </c>
      <c r="AB33" s="12">
        <v>0</v>
      </c>
      <c r="AC33" s="14" t="s">
        <v>243</v>
      </c>
      <c r="AD33" s="14">
        <v>1</v>
      </c>
      <c r="AE33" s="14">
        <v>1</v>
      </c>
      <c r="AF33" s="14">
        <v>1</v>
      </c>
      <c r="AG33" s="14">
        <v>1</v>
      </c>
      <c r="AH33" s="14">
        <v>1</v>
      </c>
      <c r="AI33" s="15">
        <v>1.05</v>
      </c>
      <c r="AJ33" s="15">
        <v>1.0246950765959599</v>
      </c>
      <c r="AK33" s="16">
        <v>0</v>
      </c>
      <c r="AL33" s="16">
        <v>-1</v>
      </c>
      <c r="AM33" s="16" t="s">
        <v>57</v>
      </c>
      <c r="AN33" s="18">
        <v>0.13435157686324425</v>
      </c>
      <c r="AO33" s="14" t="s">
        <v>244</v>
      </c>
      <c r="AP33" s="14">
        <v>3</v>
      </c>
      <c r="AQ33" s="14">
        <v>1</v>
      </c>
      <c r="AR33" s="14">
        <v>1</v>
      </c>
      <c r="AS33" s="14">
        <v>3</v>
      </c>
      <c r="AT33" s="14">
        <v>1</v>
      </c>
      <c r="AU33" s="15">
        <v>1.3000688016831126</v>
      </c>
      <c r="AV33" s="15">
        <v>1.1402055962339039</v>
      </c>
      <c r="AW33" s="16">
        <v>3.045130436202697</v>
      </c>
      <c r="AX33" s="16">
        <v>19.620256210522847</v>
      </c>
      <c r="AY33" s="16" t="s">
        <v>245</v>
      </c>
    </row>
    <row r="34" spans="1:51" ht="14.5" x14ac:dyDescent="0.35">
      <c r="A34">
        <v>60</v>
      </c>
      <c r="B34" t="s">
        <v>246</v>
      </c>
      <c r="C34" t="s">
        <v>4</v>
      </c>
      <c r="D34" s="12">
        <v>0.59854391398996776</v>
      </c>
      <c r="E34" s="14" t="s">
        <v>106</v>
      </c>
      <c r="F34" s="14">
        <v>3</v>
      </c>
      <c r="G34" s="14">
        <v>1</v>
      </c>
      <c r="H34" s="14">
        <v>1</v>
      </c>
      <c r="I34" s="14">
        <v>3</v>
      </c>
      <c r="J34" s="14">
        <v>3</v>
      </c>
      <c r="K34" s="15">
        <v>1.3713425173473328</v>
      </c>
      <c r="L34" s="15">
        <v>1.1710433456312934</v>
      </c>
      <c r="M34" s="16">
        <v>19.06572072857082</v>
      </c>
      <c r="N34" s="16">
        <v>12.787782887356652</v>
      </c>
      <c r="O34" s="16" t="s">
        <v>247</v>
      </c>
      <c r="P34" s="12">
        <v>0.85256410256410253</v>
      </c>
      <c r="Q34" s="14" t="s">
        <v>108</v>
      </c>
      <c r="R34" s="14">
        <v>1</v>
      </c>
      <c r="S34" s="14">
        <v>3</v>
      </c>
      <c r="T34" s="14">
        <v>1</v>
      </c>
      <c r="U34" s="14">
        <v>3</v>
      </c>
      <c r="V34" s="14">
        <v>2</v>
      </c>
      <c r="W34" s="15">
        <v>1.2456465205819256</v>
      </c>
      <c r="X34" s="15">
        <v>1.1160853554195242</v>
      </c>
      <c r="Y34" s="16">
        <v>30.957346121460425</v>
      </c>
      <c r="Z34" s="16">
        <v>5.3535260210044351</v>
      </c>
      <c r="AA34" s="16" t="s">
        <v>248</v>
      </c>
      <c r="AB34" s="12">
        <v>0.64615384615384608</v>
      </c>
      <c r="AC34" s="14" t="s">
        <v>108</v>
      </c>
      <c r="AD34" s="14">
        <v>1</v>
      </c>
      <c r="AE34" s="14">
        <v>3</v>
      </c>
      <c r="AF34" s="14">
        <v>1</v>
      </c>
      <c r="AG34" s="14">
        <v>3</v>
      </c>
      <c r="AH34" s="14">
        <v>2</v>
      </c>
      <c r="AI34" s="15">
        <v>1.2456465205819256</v>
      </c>
      <c r="AJ34" s="15">
        <v>1.1160853554195242</v>
      </c>
      <c r="AK34" s="16">
        <v>43.206054358081431</v>
      </c>
      <c r="AL34" s="16">
        <v>23.660458338949365</v>
      </c>
      <c r="AM34" s="16" t="s">
        <v>249</v>
      </c>
      <c r="AN34" s="12">
        <v>1</v>
      </c>
      <c r="AO34" s="13" t="s">
        <v>136</v>
      </c>
      <c r="AP34" s="14">
        <v>1</v>
      </c>
      <c r="AQ34" s="14">
        <v>1</v>
      </c>
      <c r="AR34" s="14">
        <v>1</v>
      </c>
      <c r="AS34" s="14">
        <v>1</v>
      </c>
      <c r="AT34" s="14">
        <v>1</v>
      </c>
      <c r="AU34" s="15">
        <v>1.05</v>
      </c>
      <c r="AV34" s="15">
        <v>1.0246950765959599</v>
      </c>
      <c r="AW34" s="16">
        <v>-1</v>
      </c>
      <c r="AX34" s="16">
        <v>0</v>
      </c>
      <c r="AY34" s="16" t="s">
        <v>42</v>
      </c>
    </row>
    <row r="35" spans="1:51" ht="14.5" x14ac:dyDescent="0.35">
      <c r="A35">
        <v>28</v>
      </c>
      <c r="B35" t="s">
        <v>250</v>
      </c>
      <c r="C35" t="s">
        <v>5</v>
      </c>
      <c r="D35" s="12">
        <v>0.78755499685732244</v>
      </c>
      <c r="E35" s="13" t="s">
        <v>251</v>
      </c>
      <c r="F35" s="14">
        <v>1</v>
      </c>
      <c r="G35" s="14">
        <v>4</v>
      </c>
      <c r="H35" s="14">
        <v>1</v>
      </c>
      <c r="I35" s="13">
        <v>2</v>
      </c>
      <c r="J35" s="13">
        <v>1</v>
      </c>
      <c r="K35" s="15">
        <v>1.1925122738235221</v>
      </c>
      <c r="L35" s="15">
        <v>1.0920221031753534</v>
      </c>
      <c r="M35" s="16">
        <v>61.454508870788956</v>
      </c>
      <c r="N35" s="16">
        <v>16.577513167060388</v>
      </c>
      <c r="O35" s="16" t="s">
        <v>252</v>
      </c>
      <c r="P35" s="12">
        <v>0.85500544069640916</v>
      </c>
      <c r="Q35" s="13" t="s">
        <v>251</v>
      </c>
      <c r="R35" s="14">
        <v>1</v>
      </c>
      <c r="S35" s="13">
        <v>4</v>
      </c>
      <c r="T35" s="14">
        <v>1</v>
      </c>
      <c r="U35" s="14">
        <v>2</v>
      </c>
      <c r="V35" s="13">
        <v>1</v>
      </c>
      <c r="W35" s="15">
        <v>1.1925122738235221</v>
      </c>
      <c r="X35" s="15">
        <v>1.0920221031753534</v>
      </c>
      <c r="Y35" s="16">
        <v>49.213559567567756</v>
      </c>
      <c r="Z35" s="16">
        <v>8.3457929524383108</v>
      </c>
      <c r="AA35" s="16" t="s">
        <v>253</v>
      </c>
      <c r="AB35" s="12">
        <v>0.84455958549222798</v>
      </c>
      <c r="AC35" s="13" t="s">
        <v>251</v>
      </c>
      <c r="AD35" s="14">
        <v>1</v>
      </c>
      <c r="AE35" s="14">
        <v>4</v>
      </c>
      <c r="AF35" s="14">
        <v>1</v>
      </c>
      <c r="AG35" s="13">
        <v>2</v>
      </c>
      <c r="AH35" s="13">
        <v>1</v>
      </c>
      <c r="AI35" s="15">
        <v>1.1925122738235221</v>
      </c>
      <c r="AJ35" s="15">
        <v>1.0920221031753534</v>
      </c>
      <c r="AK35" s="16">
        <v>51.527568101857518</v>
      </c>
      <c r="AL35" s="16">
        <v>9.4836014911394191</v>
      </c>
      <c r="AM35" s="16" t="s">
        <v>254</v>
      </c>
      <c r="AN35" s="12">
        <v>1</v>
      </c>
      <c r="AO35" s="13" t="s">
        <v>251</v>
      </c>
      <c r="AP35" s="14">
        <v>1</v>
      </c>
      <c r="AQ35" s="14">
        <v>4</v>
      </c>
      <c r="AR35" s="14">
        <v>1</v>
      </c>
      <c r="AS35" s="13">
        <v>2</v>
      </c>
      <c r="AT35" s="13">
        <v>1</v>
      </c>
      <c r="AU35" s="15">
        <v>1.1925122738235221</v>
      </c>
      <c r="AV35" s="15">
        <v>1.0920221031753534</v>
      </c>
      <c r="AW35" s="16">
        <v>-1</v>
      </c>
      <c r="AX35" s="16">
        <v>0</v>
      </c>
      <c r="AY35" s="16" t="s">
        <v>42</v>
      </c>
    </row>
    <row r="36" spans="1:51" ht="14.5" x14ac:dyDescent="0.35">
      <c r="A36">
        <v>76</v>
      </c>
      <c r="B36" t="s">
        <v>255</v>
      </c>
      <c r="C36" t="s">
        <v>256</v>
      </c>
      <c r="D36" s="12">
        <v>0.57576959999999999</v>
      </c>
      <c r="E36" s="14" t="s">
        <v>197</v>
      </c>
      <c r="F36" s="14">
        <v>3</v>
      </c>
      <c r="G36" s="14">
        <v>3</v>
      </c>
      <c r="H36" s="14">
        <v>1</v>
      </c>
      <c r="I36" s="13">
        <v>3</v>
      </c>
      <c r="J36" s="13">
        <v>1</v>
      </c>
      <c r="K36" s="15">
        <v>1.3145177818010416</v>
      </c>
      <c r="L36" s="15">
        <v>1.1465242177124046</v>
      </c>
      <c r="M36" s="16">
        <v>25.626590858230902</v>
      </c>
      <c r="N36" s="16">
        <v>18.881821635639742</v>
      </c>
      <c r="O36" s="16" t="s">
        <v>257</v>
      </c>
      <c r="P36" s="12">
        <v>1</v>
      </c>
      <c r="Q36" s="14" t="s">
        <v>94</v>
      </c>
      <c r="R36" s="14">
        <v>3</v>
      </c>
      <c r="S36" s="13">
        <v>1</v>
      </c>
      <c r="T36" s="14">
        <v>1</v>
      </c>
      <c r="U36" s="14">
        <v>3</v>
      </c>
      <c r="V36" s="13">
        <v>1</v>
      </c>
      <c r="W36" s="15">
        <v>1.3000688016831126</v>
      </c>
      <c r="X36" s="15">
        <v>1.1402055962339039</v>
      </c>
      <c r="Y36" s="16">
        <v>-1</v>
      </c>
      <c r="Z36" s="16">
        <v>0</v>
      </c>
      <c r="AA36" s="16" t="s">
        <v>42</v>
      </c>
      <c r="AB36" s="12">
        <v>0</v>
      </c>
      <c r="AC36" s="14" t="s">
        <v>73</v>
      </c>
      <c r="AD36" s="14">
        <v>1</v>
      </c>
      <c r="AE36" s="14">
        <v>1</v>
      </c>
      <c r="AF36" s="14">
        <v>1</v>
      </c>
      <c r="AG36" s="13">
        <v>1</v>
      </c>
      <c r="AH36" s="13">
        <v>1</v>
      </c>
      <c r="AI36" s="15">
        <v>1.05</v>
      </c>
      <c r="AJ36" s="15">
        <v>1.0246950765959599</v>
      </c>
      <c r="AK36" s="16">
        <v>0</v>
      </c>
      <c r="AL36" s="16">
        <v>-1</v>
      </c>
      <c r="AM36" s="16" t="s">
        <v>57</v>
      </c>
      <c r="AN36" s="12">
        <v>0</v>
      </c>
      <c r="AO36" s="14" t="s">
        <v>258</v>
      </c>
      <c r="AP36" s="14">
        <v>1</v>
      </c>
      <c r="AQ36" s="14">
        <v>1</v>
      </c>
      <c r="AR36" s="14">
        <v>1</v>
      </c>
      <c r="AS36" s="13">
        <v>1</v>
      </c>
      <c r="AT36" s="13">
        <v>1</v>
      </c>
      <c r="AU36" s="15">
        <v>1.05</v>
      </c>
      <c r="AV36" s="15">
        <v>1.0246950765959599</v>
      </c>
      <c r="AW36" s="16">
        <v>0</v>
      </c>
      <c r="AX36" s="16">
        <v>-1</v>
      </c>
      <c r="AY36" s="16" t="s">
        <v>57</v>
      </c>
    </row>
    <row r="37" spans="1:51" ht="14.5" x14ac:dyDescent="0.35">
      <c r="A37">
        <v>82</v>
      </c>
      <c r="B37" t="s">
        <v>259</v>
      </c>
      <c r="C37" t="s">
        <v>260</v>
      </c>
      <c r="D37" s="12">
        <v>0.89204545454545459</v>
      </c>
      <c r="E37" s="13" t="s">
        <v>261</v>
      </c>
      <c r="F37" s="14">
        <v>1</v>
      </c>
      <c r="G37" s="14">
        <v>4</v>
      </c>
      <c r="H37" s="14">
        <v>1</v>
      </c>
      <c r="I37" s="13">
        <v>2</v>
      </c>
      <c r="J37" s="13">
        <v>2</v>
      </c>
      <c r="K37" s="15">
        <v>1.2143010470622784</v>
      </c>
      <c r="L37" s="15">
        <v>1.1019532871507205</v>
      </c>
      <c r="M37" s="16">
        <v>32.165638869177329</v>
      </c>
      <c r="N37" s="16">
        <v>3.8926569332125416</v>
      </c>
      <c r="O37" s="16" t="s">
        <v>262</v>
      </c>
      <c r="P37" s="12">
        <v>0.94426751592356684</v>
      </c>
      <c r="Q37" s="13" t="s">
        <v>261</v>
      </c>
      <c r="R37" s="14">
        <v>1</v>
      </c>
      <c r="S37" s="13">
        <v>4</v>
      </c>
      <c r="T37" s="14">
        <v>1</v>
      </c>
      <c r="U37" s="14">
        <v>2</v>
      </c>
      <c r="V37" s="13">
        <v>2</v>
      </c>
      <c r="W37" s="15">
        <v>1.2143010470622784</v>
      </c>
      <c r="X37" s="15">
        <v>1.1019532871507205</v>
      </c>
      <c r="Y37" s="16">
        <v>18.178732513449066</v>
      </c>
      <c r="Z37" s="16">
        <v>1.0729437402541615</v>
      </c>
      <c r="AA37" s="16" t="s">
        <v>263</v>
      </c>
      <c r="AB37" s="12">
        <v>0.80285714285714282</v>
      </c>
      <c r="AC37" s="13" t="s">
        <v>261</v>
      </c>
      <c r="AD37" s="14">
        <v>1</v>
      </c>
      <c r="AE37" s="14">
        <v>4</v>
      </c>
      <c r="AF37" s="14">
        <v>1</v>
      </c>
      <c r="AG37" s="13">
        <v>2</v>
      </c>
      <c r="AH37" s="13">
        <v>2</v>
      </c>
      <c r="AI37" s="15">
        <v>1.2143010470622784</v>
      </c>
      <c r="AJ37" s="15">
        <v>1.1019532871507205</v>
      </c>
      <c r="AK37" s="16">
        <v>48.09784818947751</v>
      </c>
      <c r="AL37" s="16">
        <v>11.810503647949995</v>
      </c>
      <c r="AM37" s="16" t="s">
        <v>264</v>
      </c>
      <c r="AN37" s="12">
        <v>1</v>
      </c>
      <c r="AO37" s="13" t="s">
        <v>261</v>
      </c>
      <c r="AP37" s="14">
        <v>1</v>
      </c>
      <c r="AQ37" s="14">
        <v>4</v>
      </c>
      <c r="AR37" s="14">
        <v>1</v>
      </c>
      <c r="AS37" s="13">
        <v>2</v>
      </c>
      <c r="AT37" s="13">
        <v>2</v>
      </c>
      <c r="AU37" s="15">
        <v>1.2143010470622784</v>
      </c>
      <c r="AV37" s="15">
        <v>1.1019532871507205</v>
      </c>
      <c r="AW37" s="16">
        <v>-1</v>
      </c>
      <c r="AX37" s="16">
        <v>0</v>
      </c>
      <c r="AY37" s="16" t="s">
        <v>42</v>
      </c>
    </row>
    <row r="38" spans="1:51" ht="14.5" x14ac:dyDescent="0.35">
      <c r="A38">
        <v>46</v>
      </c>
      <c r="B38" t="s">
        <v>265</v>
      </c>
      <c r="C38" t="s">
        <v>266</v>
      </c>
      <c r="D38" s="12">
        <v>0.67917067200000003</v>
      </c>
      <c r="E38" s="14" t="s">
        <v>197</v>
      </c>
      <c r="F38" s="14">
        <v>2</v>
      </c>
      <c r="G38" s="14">
        <v>3</v>
      </c>
      <c r="H38" s="14">
        <v>1</v>
      </c>
      <c r="I38" s="13">
        <v>2</v>
      </c>
      <c r="J38" s="13">
        <v>1</v>
      </c>
      <c r="K38" s="15">
        <v>1.1766845455095114</v>
      </c>
      <c r="L38" s="15">
        <v>1.0847509140394911</v>
      </c>
      <c r="M38" s="16">
        <v>81.735232749556772</v>
      </c>
      <c r="N38" s="16">
        <v>38.610412489901933</v>
      </c>
      <c r="O38" s="16" t="s">
        <v>267</v>
      </c>
      <c r="P38" s="12">
        <v>0.99872281093139992</v>
      </c>
      <c r="Q38" s="14" t="s">
        <v>268</v>
      </c>
      <c r="R38" s="14">
        <v>2</v>
      </c>
      <c r="S38" s="13">
        <v>1</v>
      </c>
      <c r="T38" s="14">
        <v>1</v>
      </c>
      <c r="U38" s="14">
        <v>3</v>
      </c>
      <c r="V38" s="13">
        <v>1</v>
      </c>
      <c r="W38" s="15">
        <v>1.2354522921220721</v>
      </c>
      <c r="X38" s="15">
        <v>1.1115090157628376</v>
      </c>
      <c r="Y38" s="16">
        <v>-0.58891035179687889</v>
      </c>
      <c r="Z38" s="16">
        <v>-7.5311172976909801E-4</v>
      </c>
      <c r="AA38" s="16" t="s">
        <v>269</v>
      </c>
      <c r="AB38" s="12">
        <v>0</v>
      </c>
      <c r="AC38" s="14" t="s">
        <v>270</v>
      </c>
      <c r="AD38" s="14">
        <v>1</v>
      </c>
      <c r="AE38" s="14">
        <v>1</v>
      </c>
      <c r="AF38" s="14">
        <v>1</v>
      </c>
      <c r="AG38" s="14">
        <v>1</v>
      </c>
      <c r="AH38" s="14">
        <v>1</v>
      </c>
      <c r="AI38" s="15">
        <v>1.05</v>
      </c>
      <c r="AJ38" s="15">
        <v>1.0246950765959599</v>
      </c>
      <c r="AK38" s="16">
        <v>0</v>
      </c>
      <c r="AL38" s="16">
        <v>-1</v>
      </c>
      <c r="AM38" s="16" t="s">
        <v>57</v>
      </c>
      <c r="AN38" s="12">
        <v>0.98899999999999999</v>
      </c>
      <c r="AO38" s="14" t="s">
        <v>199</v>
      </c>
      <c r="AP38" s="14">
        <v>3</v>
      </c>
      <c r="AQ38" s="14">
        <v>1</v>
      </c>
      <c r="AR38" s="14">
        <v>1</v>
      </c>
      <c r="AS38" s="14">
        <v>3</v>
      </c>
      <c r="AT38" s="14">
        <v>1</v>
      </c>
      <c r="AU38" s="15">
        <v>1.3000688016831126</v>
      </c>
      <c r="AV38" s="15">
        <v>1.1402055962339039</v>
      </c>
      <c r="AW38" s="16">
        <v>1.2003468085881566</v>
      </c>
      <c r="AX38" s="16">
        <v>1.3350672289655949E-2</v>
      </c>
      <c r="AY38" s="16" t="s">
        <v>271</v>
      </c>
    </row>
    <row r="39" spans="1:51" ht="14.5" x14ac:dyDescent="0.35">
      <c r="A39">
        <v>59</v>
      </c>
      <c r="B39" t="s">
        <v>272</v>
      </c>
      <c r="C39" t="s">
        <v>273</v>
      </c>
      <c r="D39" s="12">
        <v>0.5954249168234127</v>
      </c>
      <c r="E39" s="14" t="s">
        <v>106</v>
      </c>
      <c r="F39" s="14">
        <v>3</v>
      </c>
      <c r="G39" s="14">
        <v>1</v>
      </c>
      <c r="H39" s="14">
        <v>1</v>
      </c>
      <c r="I39" s="14">
        <v>3</v>
      </c>
      <c r="J39" s="14">
        <v>3</v>
      </c>
      <c r="K39" s="15">
        <v>1.3713425173473328</v>
      </c>
      <c r="L39" s="15">
        <v>1.1710433456312934</v>
      </c>
      <c r="M39" s="16">
        <v>19.01562147883039</v>
      </c>
      <c r="N39" s="16">
        <v>12.920599095005491</v>
      </c>
      <c r="O39" s="16" t="s">
        <v>274</v>
      </c>
      <c r="P39" s="12">
        <v>0.67924528301886788</v>
      </c>
      <c r="Q39" s="14" t="s">
        <v>108</v>
      </c>
      <c r="R39" s="14">
        <v>1</v>
      </c>
      <c r="S39" s="14">
        <v>3</v>
      </c>
      <c r="T39" s="14">
        <v>1</v>
      </c>
      <c r="U39" s="14">
        <v>3</v>
      </c>
      <c r="V39" s="14">
        <v>3</v>
      </c>
      <c r="W39" s="15">
        <v>1.308762891140433</v>
      </c>
      <c r="X39" s="15">
        <v>1.1440117530604452</v>
      </c>
      <c r="Y39" s="16">
        <v>27.863150976213088</v>
      </c>
      <c r="Z39" s="16">
        <v>13.157599072100627</v>
      </c>
      <c r="AA39" s="16" t="s">
        <v>275</v>
      </c>
      <c r="AB39" s="12">
        <v>0.58823529411764708</v>
      </c>
      <c r="AC39" s="14" t="s">
        <v>108</v>
      </c>
      <c r="AD39" s="14">
        <v>1</v>
      </c>
      <c r="AE39" s="14">
        <v>3</v>
      </c>
      <c r="AF39" s="14">
        <v>1</v>
      </c>
      <c r="AG39" s="14">
        <v>3</v>
      </c>
      <c r="AH39" s="14">
        <v>3</v>
      </c>
      <c r="AI39" s="15">
        <v>1.308762891140433</v>
      </c>
      <c r="AJ39" s="15">
        <v>1.1440117530604452</v>
      </c>
      <c r="AK39" s="16">
        <v>26.891680209501288</v>
      </c>
      <c r="AL39" s="16">
        <v>18.824176146650899</v>
      </c>
      <c r="AM39" s="16" t="s">
        <v>276</v>
      </c>
      <c r="AN39" s="12">
        <v>1</v>
      </c>
      <c r="AO39" s="13" t="s">
        <v>136</v>
      </c>
      <c r="AP39" s="14">
        <v>1</v>
      </c>
      <c r="AQ39" s="14">
        <v>1</v>
      </c>
      <c r="AR39" s="14">
        <v>1</v>
      </c>
      <c r="AS39" s="14">
        <v>1</v>
      </c>
      <c r="AT39" s="14">
        <v>1</v>
      </c>
      <c r="AU39" s="15">
        <v>1.05</v>
      </c>
      <c r="AV39" s="15">
        <v>1.0246950765959599</v>
      </c>
      <c r="AW39" s="16">
        <v>-1</v>
      </c>
      <c r="AX39" s="16">
        <v>0</v>
      </c>
      <c r="AY39" s="16" t="s">
        <v>42</v>
      </c>
    </row>
    <row r="40" spans="1:51" ht="14.5" x14ac:dyDescent="0.35">
      <c r="A40">
        <v>78</v>
      </c>
      <c r="B40" t="s">
        <v>277</v>
      </c>
      <c r="C40" t="s">
        <v>278</v>
      </c>
      <c r="D40" s="12">
        <v>0.68191896000000007</v>
      </c>
      <c r="E40" s="14" t="s">
        <v>197</v>
      </c>
      <c r="F40" s="14">
        <v>2</v>
      </c>
      <c r="G40" s="14">
        <v>3</v>
      </c>
      <c r="H40" s="14">
        <v>1</v>
      </c>
      <c r="I40" s="13">
        <v>1</v>
      </c>
      <c r="J40" s="13">
        <v>1</v>
      </c>
      <c r="K40" s="15">
        <v>1.1409505340208952</v>
      </c>
      <c r="L40" s="15">
        <v>1.0681528607932926</v>
      </c>
      <c r="M40" s="16">
        <v>126.69628595974429</v>
      </c>
      <c r="N40" s="16">
        <v>59.097471644156727</v>
      </c>
      <c r="O40" s="16" t="s">
        <v>279</v>
      </c>
      <c r="P40" s="12">
        <v>1</v>
      </c>
      <c r="Q40" s="14" t="s">
        <v>94</v>
      </c>
      <c r="R40" s="14">
        <v>3</v>
      </c>
      <c r="S40" s="13">
        <v>1</v>
      </c>
      <c r="T40" s="14">
        <v>1</v>
      </c>
      <c r="U40" s="14">
        <v>3</v>
      </c>
      <c r="V40" s="13">
        <v>1</v>
      </c>
      <c r="W40" s="15">
        <v>1.3000688016831126</v>
      </c>
      <c r="X40" s="15">
        <v>1.1402055962339039</v>
      </c>
      <c r="Y40" s="16">
        <v>-1</v>
      </c>
      <c r="Z40" s="16">
        <v>0</v>
      </c>
      <c r="AA40" s="16" t="s">
        <v>42</v>
      </c>
      <c r="AB40" s="12">
        <v>0</v>
      </c>
      <c r="AC40" s="14" t="s">
        <v>73</v>
      </c>
      <c r="AD40" s="14">
        <v>1</v>
      </c>
      <c r="AE40" s="14">
        <v>1</v>
      </c>
      <c r="AF40" s="14">
        <v>1</v>
      </c>
      <c r="AG40" s="13">
        <v>1</v>
      </c>
      <c r="AH40" s="13">
        <v>1</v>
      </c>
      <c r="AI40" s="15">
        <v>1.05</v>
      </c>
      <c r="AJ40" s="15">
        <v>1.0246950765959599</v>
      </c>
      <c r="AK40" s="16">
        <v>0</v>
      </c>
      <c r="AL40" s="16">
        <v>-1</v>
      </c>
      <c r="AM40" s="16" t="s">
        <v>57</v>
      </c>
      <c r="AN40" s="12">
        <v>0.99250000000000005</v>
      </c>
      <c r="AO40" s="14" t="s">
        <v>199</v>
      </c>
      <c r="AP40" s="14">
        <v>3</v>
      </c>
      <c r="AQ40" s="14">
        <v>1</v>
      </c>
      <c r="AR40" s="14">
        <v>1</v>
      </c>
      <c r="AS40" s="13">
        <v>3</v>
      </c>
      <c r="AT40" s="13">
        <v>1</v>
      </c>
      <c r="AU40" s="15">
        <v>1.3000688016831126</v>
      </c>
      <c r="AV40" s="15">
        <v>1.1402055962339039</v>
      </c>
      <c r="AW40" s="16">
        <v>0.51082052979221104</v>
      </c>
      <c r="AX40" s="16">
        <v>3.8601047591350713E-3</v>
      </c>
      <c r="AY40" s="16" t="s">
        <v>280</v>
      </c>
    </row>
    <row r="41" spans="1:51" ht="14.5" x14ac:dyDescent="0.35">
      <c r="A41">
        <v>75</v>
      </c>
      <c r="B41" t="s">
        <v>281</v>
      </c>
      <c r="C41" t="s">
        <v>282</v>
      </c>
      <c r="D41" s="12">
        <v>0.50393700787401574</v>
      </c>
      <c r="E41" s="13" t="s">
        <v>283</v>
      </c>
      <c r="F41" s="14">
        <v>2</v>
      </c>
      <c r="G41" s="14">
        <v>3</v>
      </c>
      <c r="H41" s="14">
        <v>1</v>
      </c>
      <c r="I41" s="13">
        <v>2</v>
      </c>
      <c r="J41" s="13">
        <v>1</v>
      </c>
      <c r="K41" s="15">
        <v>1.1766845455095114</v>
      </c>
      <c r="L41" s="15">
        <v>1.0847509140394911</v>
      </c>
      <c r="M41" s="16">
        <v>69.651372398459188</v>
      </c>
      <c r="N41" s="16">
        <v>68.563069704733266</v>
      </c>
      <c r="O41" s="16" t="s">
        <v>284</v>
      </c>
      <c r="P41" s="12">
        <v>1</v>
      </c>
      <c r="Q41" s="13" t="s">
        <v>283</v>
      </c>
      <c r="R41" s="14">
        <v>1</v>
      </c>
      <c r="S41" s="13">
        <v>3</v>
      </c>
      <c r="T41" s="14">
        <v>1</v>
      </c>
      <c r="U41" s="14">
        <v>2</v>
      </c>
      <c r="V41" s="13">
        <v>1</v>
      </c>
      <c r="W41" s="15">
        <v>1.1409505340208952</v>
      </c>
      <c r="X41" s="15">
        <v>1.0681528607932926</v>
      </c>
      <c r="Y41" s="16">
        <v>-1</v>
      </c>
      <c r="Z41" s="16">
        <v>0</v>
      </c>
      <c r="AA41" s="16" t="s">
        <v>42</v>
      </c>
      <c r="AB41" s="12">
        <v>1</v>
      </c>
      <c r="AC41" s="13" t="s">
        <v>283</v>
      </c>
      <c r="AD41" s="14">
        <v>1</v>
      </c>
      <c r="AE41" s="14">
        <v>3</v>
      </c>
      <c r="AF41" s="14">
        <v>1</v>
      </c>
      <c r="AG41" s="13">
        <v>2</v>
      </c>
      <c r="AH41" s="13">
        <v>1</v>
      </c>
      <c r="AI41" s="15">
        <v>1.1409505340208952</v>
      </c>
      <c r="AJ41" s="15">
        <v>1.0681528607932926</v>
      </c>
      <c r="AK41" s="16">
        <v>-1</v>
      </c>
      <c r="AL41" s="16">
        <v>0</v>
      </c>
      <c r="AM41" s="16" t="s">
        <v>42</v>
      </c>
      <c r="AN41" s="12">
        <v>1</v>
      </c>
      <c r="AO41" s="13" t="s">
        <v>283</v>
      </c>
      <c r="AP41" s="14">
        <v>1</v>
      </c>
      <c r="AQ41" s="14">
        <v>3</v>
      </c>
      <c r="AR41" s="14">
        <v>1</v>
      </c>
      <c r="AS41" s="13">
        <v>2</v>
      </c>
      <c r="AT41" s="13">
        <v>1</v>
      </c>
      <c r="AU41" s="15">
        <v>1.1409505340208952</v>
      </c>
      <c r="AV41" s="15">
        <v>1.0681528607932926</v>
      </c>
      <c r="AW41" s="16">
        <v>-1</v>
      </c>
      <c r="AX41" s="16">
        <v>0</v>
      </c>
      <c r="AY41" s="16" t="s">
        <v>42</v>
      </c>
    </row>
    <row r="42" spans="1:51" ht="14.5" x14ac:dyDescent="0.35">
      <c r="A42">
        <v>45</v>
      </c>
      <c r="B42" t="s">
        <v>285</v>
      </c>
      <c r="C42" t="s">
        <v>286</v>
      </c>
      <c r="D42" s="12">
        <v>0.61975199999999997</v>
      </c>
      <c r="E42" s="14" t="s">
        <v>197</v>
      </c>
      <c r="F42" s="14">
        <v>2</v>
      </c>
      <c r="G42" s="14">
        <v>3</v>
      </c>
      <c r="H42" s="14">
        <v>1</v>
      </c>
      <c r="I42" s="13">
        <v>2</v>
      </c>
      <c r="J42" s="13">
        <v>1</v>
      </c>
      <c r="K42" s="15">
        <v>1.1766845455095114</v>
      </c>
      <c r="L42" s="15">
        <v>1.0847509140394911</v>
      </c>
      <c r="M42" s="16">
        <v>80.714602098934549</v>
      </c>
      <c r="N42" s="16">
        <v>49.522334770869108</v>
      </c>
      <c r="O42" s="16" t="s">
        <v>287</v>
      </c>
      <c r="P42" s="12">
        <v>1</v>
      </c>
      <c r="Q42" s="14" t="s">
        <v>94</v>
      </c>
      <c r="R42" s="14">
        <v>3</v>
      </c>
      <c r="S42" s="13">
        <v>1</v>
      </c>
      <c r="T42" s="14">
        <v>1</v>
      </c>
      <c r="U42" s="14">
        <v>3</v>
      </c>
      <c r="V42" s="13">
        <v>1</v>
      </c>
      <c r="W42" s="15">
        <v>1.3000688016831126</v>
      </c>
      <c r="X42" s="15">
        <v>1.1402055962339039</v>
      </c>
      <c r="Y42" s="16">
        <v>-1</v>
      </c>
      <c r="Z42" s="16">
        <v>0</v>
      </c>
      <c r="AA42" s="16" t="s">
        <v>42</v>
      </c>
      <c r="AB42" s="12">
        <v>0</v>
      </c>
      <c r="AC42" s="14" t="s">
        <v>270</v>
      </c>
      <c r="AD42" s="14">
        <v>1</v>
      </c>
      <c r="AE42" s="14">
        <v>1</v>
      </c>
      <c r="AF42" s="14">
        <v>1</v>
      </c>
      <c r="AG42" s="14">
        <v>1</v>
      </c>
      <c r="AH42" s="14">
        <v>1</v>
      </c>
      <c r="AI42" s="15">
        <v>1.05</v>
      </c>
      <c r="AJ42" s="15">
        <v>1.0246950765959599</v>
      </c>
      <c r="AK42" s="16">
        <v>0</v>
      </c>
      <c r="AL42" s="16">
        <v>-1</v>
      </c>
      <c r="AM42" s="16" t="s">
        <v>57</v>
      </c>
      <c r="AN42" s="12">
        <v>0.98</v>
      </c>
      <c r="AO42" s="14" t="s">
        <v>199</v>
      </c>
      <c r="AP42" s="14">
        <v>3</v>
      </c>
      <c r="AQ42" s="14">
        <v>1</v>
      </c>
      <c r="AR42" s="14">
        <v>1</v>
      </c>
      <c r="AS42" s="14">
        <v>3</v>
      </c>
      <c r="AT42" s="14">
        <v>1</v>
      </c>
      <c r="AU42" s="15">
        <v>1.3000688016831126</v>
      </c>
      <c r="AV42" s="15">
        <v>1.1402055962339039</v>
      </c>
      <c r="AW42" s="16">
        <v>2.9285119232191397</v>
      </c>
      <c r="AX42" s="16">
        <v>5.9765549453451881E-2</v>
      </c>
      <c r="AY42" s="16" t="s">
        <v>288</v>
      </c>
    </row>
    <row r="43" spans="1:51" ht="14.5" x14ac:dyDescent="0.35">
      <c r="A43">
        <v>44</v>
      </c>
      <c r="B43" t="s">
        <v>289</v>
      </c>
      <c r="C43" t="s">
        <v>290</v>
      </c>
      <c r="D43" s="12">
        <v>0.62607599999999997</v>
      </c>
      <c r="E43" s="14" t="s">
        <v>197</v>
      </c>
      <c r="F43" s="14">
        <v>2</v>
      </c>
      <c r="G43" s="14">
        <v>3</v>
      </c>
      <c r="H43" s="14">
        <v>1</v>
      </c>
      <c r="I43" s="13">
        <v>2</v>
      </c>
      <c r="J43" s="13">
        <v>1</v>
      </c>
      <c r="K43" s="15">
        <v>1.1766845455095114</v>
      </c>
      <c r="L43" s="15">
        <v>1.0847509140394911</v>
      </c>
      <c r="M43" s="16">
        <v>80.996192796078347</v>
      </c>
      <c r="N43" s="16">
        <v>48.374990248916752</v>
      </c>
      <c r="O43" s="16" t="s">
        <v>291</v>
      </c>
      <c r="P43" s="12">
        <v>1</v>
      </c>
      <c r="Q43" s="14" t="s">
        <v>94</v>
      </c>
      <c r="R43" s="14">
        <v>3</v>
      </c>
      <c r="S43" s="13">
        <v>1</v>
      </c>
      <c r="T43" s="14">
        <v>1</v>
      </c>
      <c r="U43" s="14">
        <v>3</v>
      </c>
      <c r="V43" s="13">
        <v>1</v>
      </c>
      <c r="W43" s="15">
        <v>1.3000688016831126</v>
      </c>
      <c r="X43" s="15">
        <v>1.1402055962339039</v>
      </c>
      <c r="Y43" s="16">
        <v>-1</v>
      </c>
      <c r="Z43" s="16">
        <v>0</v>
      </c>
      <c r="AA43" s="16" t="s">
        <v>42</v>
      </c>
      <c r="AB43" s="12">
        <v>0</v>
      </c>
      <c r="AC43" s="14" t="s">
        <v>270</v>
      </c>
      <c r="AD43" s="14">
        <v>1</v>
      </c>
      <c r="AE43" s="14">
        <v>1</v>
      </c>
      <c r="AF43" s="14">
        <v>1</v>
      </c>
      <c r="AG43" s="14">
        <v>1</v>
      </c>
      <c r="AH43" s="14">
        <v>1</v>
      </c>
      <c r="AI43" s="15">
        <v>1.05</v>
      </c>
      <c r="AJ43" s="15">
        <v>1.0246950765959599</v>
      </c>
      <c r="AK43" s="16">
        <v>0</v>
      </c>
      <c r="AL43" s="16">
        <v>-1</v>
      </c>
      <c r="AM43" s="16" t="s">
        <v>57</v>
      </c>
      <c r="AN43" s="12">
        <v>0.99</v>
      </c>
      <c r="AO43" s="14" t="s">
        <v>199</v>
      </c>
      <c r="AP43" s="14">
        <v>3</v>
      </c>
      <c r="AQ43" s="14">
        <v>1</v>
      </c>
      <c r="AR43" s="14">
        <v>1</v>
      </c>
      <c r="AS43" s="14">
        <v>3</v>
      </c>
      <c r="AT43" s="14">
        <v>1</v>
      </c>
      <c r="AU43" s="15">
        <v>1.3000688016831126</v>
      </c>
      <c r="AV43" s="15">
        <v>1.1402055962339039</v>
      </c>
      <c r="AW43" s="15">
        <v>1.0043422198808201</v>
      </c>
      <c r="AX43" s="16">
        <v>1.014487090788708E-2</v>
      </c>
      <c r="AY43" s="16" t="s">
        <v>292</v>
      </c>
    </row>
    <row r="44" spans="1:51" ht="14.5" x14ac:dyDescent="0.35">
      <c r="A44">
        <v>51</v>
      </c>
      <c r="B44" t="s">
        <v>293</v>
      </c>
      <c r="C44" t="s">
        <v>294</v>
      </c>
      <c r="D44" s="12">
        <v>0.83044444444444443</v>
      </c>
      <c r="E44" s="14" t="s">
        <v>295</v>
      </c>
      <c r="F44" s="14">
        <v>3</v>
      </c>
      <c r="G44" s="14">
        <v>1</v>
      </c>
      <c r="H44" s="14">
        <v>1</v>
      </c>
      <c r="I44" s="13">
        <v>2</v>
      </c>
      <c r="J44" s="13">
        <v>1</v>
      </c>
      <c r="K44" s="15">
        <v>1.2354522921220721</v>
      </c>
      <c r="L44" s="15">
        <v>1.1115090157628376</v>
      </c>
      <c r="M44" s="16">
        <v>36.785608115866296</v>
      </c>
      <c r="N44" s="16">
        <v>7.5106820959074092</v>
      </c>
      <c r="O44" s="16" t="s">
        <v>296</v>
      </c>
      <c r="P44" s="12">
        <v>0.96316758747697973</v>
      </c>
      <c r="Q44" s="14" t="s">
        <v>297</v>
      </c>
      <c r="R44" s="14">
        <v>2</v>
      </c>
      <c r="S44" s="13">
        <v>3</v>
      </c>
      <c r="T44" s="14">
        <v>1</v>
      </c>
      <c r="U44" s="14">
        <v>2</v>
      </c>
      <c r="V44" s="13">
        <v>1</v>
      </c>
      <c r="W44" s="15">
        <v>1.1766845455095114</v>
      </c>
      <c r="X44" s="15">
        <v>1.0847509140394911</v>
      </c>
      <c r="Y44" s="16">
        <v>18.065356065300808</v>
      </c>
      <c r="Z44" s="16">
        <v>0.69083579599620715</v>
      </c>
      <c r="AA44" s="16" t="s">
        <v>298</v>
      </c>
      <c r="AB44" s="12">
        <v>0.29032258064516131</v>
      </c>
      <c r="AC44" s="14" t="s">
        <v>297</v>
      </c>
      <c r="AD44" s="14">
        <v>2</v>
      </c>
      <c r="AE44" s="13">
        <v>3</v>
      </c>
      <c r="AF44" s="14">
        <v>1</v>
      </c>
      <c r="AG44" s="14">
        <v>2</v>
      </c>
      <c r="AH44" s="13">
        <v>1</v>
      </c>
      <c r="AI44" s="15">
        <v>1.1766845455095114</v>
      </c>
      <c r="AJ44" s="15">
        <v>1.0847509140394911</v>
      </c>
      <c r="AK44" s="16">
        <v>33.021149713773333</v>
      </c>
      <c r="AL44" s="16">
        <v>80.718365967001475</v>
      </c>
      <c r="AM44" s="16" t="s">
        <v>299</v>
      </c>
      <c r="AN44" s="12">
        <v>0.83003952569169959</v>
      </c>
      <c r="AO44" s="14" t="s">
        <v>297</v>
      </c>
      <c r="AP44" s="14">
        <v>2</v>
      </c>
      <c r="AQ44" s="13">
        <v>3</v>
      </c>
      <c r="AR44" s="14">
        <v>1</v>
      </c>
      <c r="AS44" s="14">
        <v>2</v>
      </c>
      <c r="AT44" s="13">
        <v>1</v>
      </c>
      <c r="AU44" s="15">
        <v>1.1766845455095114</v>
      </c>
      <c r="AV44" s="15">
        <v>1.0847509140394911</v>
      </c>
      <c r="AW44" s="16">
        <v>64.380334517770521</v>
      </c>
      <c r="AX44" s="16">
        <v>13.182639925067297</v>
      </c>
      <c r="AY44" s="16" t="s">
        <v>300</v>
      </c>
    </row>
    <row r="45" spans="1:51" ht="14.5" x14ac:dyDescent="0.35">
      <c r="A45">
        <v>21</v>
      </c>
      <c r="B45" t="s">
        <v>301</v>
      </c>
      <c r="C45" t="s">
        <v>302</v>
      </c>
      <c r="D45" s="20">
        <v>1.2609976827064825E-3</v>
      </c>
      <c r="E45" s="19" t="s">
        <v>303</v>
      </c>
      <c r="F45" s="14">
        <v>4</v>
      </c>
      <c r="G45" s="19">
        <v>1</v>
      </c>
      <c r="H45" s="19">
        <v>1</v>
      </c>
      <c r="I45" s="19">
        <v>3</v>
      </c>
      <c r="J45" s="19">
        <v>3</v>
      </c>
      <c r="K45" s="15">
        <v>1.5279171865856971</v>
      </c>
      <c r="L45" s="15">
        <v>1.2360894735356729</v>
      </c>
      <c r="M45" s="21">
        <v>-1.1470285270171981E-3</v>
      </c>
      <c r="N45" s="16">
        <v>-0.90847282466361501</v>
      </c>
      <c r="O45" s="16" t="s">
        <v>304</v>
      </c>
      <c r="P45" s="12">
        <v>0.95</v>
      </c>
      <c r="Q45" s="14" t="s">
        <v>71</v>
      </c>
      <c r="R45" s="14">
        <v>3</v>
      </c>
      <c r="S45" s="14">
        <v>1</v>
      </c>
      <c r="T45" s="14">
        <v>1</v>
      </c>
      <c r="U45" s="14">
        <v>3</v>
      </c>
      <c r="V45" s="14">
        <v>3</v>
      </c>
      <c r="W45" s="15">
        <v>1.3713425173473328</v>
      </c>
      <c r="X45" s="15">
        <v>1.1710433456312934</v>
      </c>
      <c r="Y45" s="16">
        <v>5.2197112731372268</v>
      </c>
      <c r="Z45" s="16">
        <v>0.27472164595459114</v>
      </c>
      <c r="AA45" s="16" t="s">
        <v>72</v>
      </c>
      <c r="AB45" s="12">
        <v>0</v>
      </c>
      <c r="AC45" s="14" t="s">
        <v>73</v>
      </c>
      <c r="AD45" s="14">
        <v>1</v>
      </c>
      <c r="AE45" s="14">
        <v>1</v>
      </c>
      <c r="AF45" s="14">
        <v>1</v>
      </c>
      <c r="AG45" s="14">
        <v>1</v>
      </c>
      <c r="AH45" s="14">
        <v>1</v>
      </c>
      <c r="AI45" s="15">
        <v>1.05</v>
      </c>
      <c r="AJ45" s="15">
        <v>1.0246950765959599</v>
      </c>
      <c r="AK45" s="16">
        <v>0</v>
      </c>
      <c r="AL45" s="16">
        <v>-1</v>
      </c>
      <c r="AM45" s="16" t="s">
        <v>57</v>
      </c>
      <c r="AN45" s="12">
        <v>0</v>
      </c>
      <c r="AO45" s="14" t="s">
        <v>305</v>
      </c>
      <c r="AP45" s="14">
        <v>1</v>
      </c>
      <c r="AQ45" s="19">
        <v>1</v>
      </c>
      <c r="AR45" s="19">
        <v>1</v>
      </c>
      <c r="AS45" s="19">
        <v>1</v>
      </c>
      <c r="AT45" s="19">
        <v>1</v>
      </c>
      <c r="AU45" s="15">
        <v>1.05</v>
      </c>
      <c r="AV45" s="15">
        <v>1.0246950765959599</v>
      </c>
      <c r="AW45" s="16">
        <v>0</v>
      </c>
      <c r="AX45" s="16">
        <v>-1</v>
      </c>
      <c r="AY45" s="16" t="s">
        <v>57</v>
      </c>
    </row>
    <row r="46" spans="1:51" ht="14.5" x14ac:dyDescent="0.35">
      <c r="A46">
        <v>34</v>
      </c>
      <c r="B46" t="s">
        <v>306</v>
      </c>
      <c r="C46" t="s">
        <v>307</v>
      </c>
      <c r="D46" s="12">
        <v>4.4998140572703613E-2</v>
      </c>
      <c r="E46" s="13" t="s">
        <v>308</v>
      </c>
      <c r="F46" s="14">
        <v>1</v>
      </c>
      <c r="G46" s="14">
        <v>3</v>
      </c>
      <c r="H46" s="14">
        <v>1</v>
      </c>
      <c r="I46" s="13">
        <v>2</v>
      </c>
      <c r="J46" s="13">
        <v>1</v>
      </c>
      <c r="K46" s="15">
        <v>1.1409505340208952</v>
      </c>
      <c r="L46" s="15">
        <v>1.0681528607932926</v>
      </c>
      <c r="M46" s="16">
        <v>1.6202737970160177</v>
      </c>
      <c r="N46" s="16">
        <v>34.387298435844073</v>
      </c>
      <c r="O46" s="16" t="s">
        <v>309</v>
      </c>
      <c r="P46" s="12">
        <v>0.84586466165413532</v>
      </c>
      <c r="Q46" s="13" t="s">
        <v>308</v>
      </c>
      <c r="R46" s="14">
        <v>1</v>
      </c>
      <c r="S46" s="13">
        <v>3</v>
      </c>
      <c r="T46" s="14">
        <v>1</v>
      </c>
      <c r="U46" s="14">
        <v>2</v>
      </c>
      <c r="V46" s="13">
        <v>1</v>
      </c>
      <c r="W46" s="15">
        <v>1.1409505340208952</v>
      </c>
      <c r="X46" s="15">
        <v>1.0681528607932926</v>
      </c>
      <c r="Y46" s="16">
        <v>94.126181136857795</v>
      </c>
      <c r="Z46" s="16">
        <v>17.151881896049645</v>
      </c>
      <c r="AA46" s="16" t="s">
        <v>310</v>
      </c>
      <c r="AB46" s="12">
        <v>0.24390243902439021</v>
      </c>
      <c r="AC46" s="13" t="s">
        <v>308</v>
      </c>
      <c r="AD46" s="14">
        <v>1</v>
      </c>
      <c r="AE46" s="14">
        <v>3</v>
      </c>
      <c r="AF46" s="14">
        <v>1</v>
      </c>
      <c r="AG46" s="13">
        <v>2</v>
      </c>
      <c r="AH46" s="13">
        <v>1</v>
      </c>
      <c r="AI46" s="15">
        <v>1.1409505340208952</v>
      </c>
      <c r="AJ46" s="15">
        <v>1.0681528607932926</v>
      </c>
      <c r="AK46" s="16">
        <v>38.490952500802955</v>
      </c>
      <c r="AL46" s="16">
        <v>119.32195275248918</v>
      </c>
      <c r="AM46" s="16" t="s">
        <v>311</v>
      </c>
      <c r="AN46" s="12">
        <v>1</v>
      </c>
      <c r="AO46" s="13" t="s">
        <v>308</v>
      </c>
      <c r="AP46" s="14">
        <v>1</v>
      </c>
      <c r="AQ46" s="14">
        <v>3</v>
      </c>
      <c r="AR46" s="14">
        <v>1</v>
      </c>
      <c r="AS46" s="13">
        <v>2</v>
      </c>
      <c r="AT46" s="13">
        <v>1</v>
      </c>
      <c r="AU46" s="15">
        <v>1.1409505340208952</v>
      </c>
      <c r="AV46" s="15">
        <v>1.0681528607932926</v>
      </c>
      <c r="AW46" s="16">
        <v>-1</v>
      </c>
      <c r="AX46" s="16">
        <v>0</v>
      </c>
      <c r="AY46" s="16" t="s">
        <v>42</v>
      </c>
    </row>
    <row r="47" spans="1:51" ht="14.5" x14ac:dyDescent="0.35">
      <c r="A47">
        <v>14</v>
      </c>
      <c r="B47" t="s">
        <v>312</v>
      </c>
      <c r="C47" t="s">
        <v>313</v>
      </c>
      <c r="D47" s="12">
        <v>0.8</v>
      </c>
      <c r="E47" s="14" t="s">
        <v>314</v>
      </c>
      <c r="F47" s="14">
        <v>3</v>
      </c>
      <c r="G47" s="14">
        <v>1</v>
      </c>
      <c r="H47" s="14">
        <v>1</v>
      </c>
      <c r="I47" s="14">
        <v>3</v>
      </c>
      <c r="J47" s="14">
        <v>1</v>
      </c>
      <c r="K47" s="15">
        <v>1.3000688016831126</v>
      </c>
      <c r="L47" s="15">
        <v>1.1402055962339039</v>
      </c>
      <c r="M47" s="16">
        <v>25.245893699086281</v>
      </c>
      <c r="N47" s="16">
        <v>6.3114734247715685</v>
      </c>
      <c r="O47" s="16" t="s">
        <v>229</v>
      </c>
      <c r="P47" s="12">
        <v>0.9</v>
      </c>
      <c r="Q47" s="14" t="s">
        <v>315</v>
      </c>
      <c r="R47" s="14">
        <v>3</v>
      </c>
      <c r="S47" s="14">
        <v>1</v>
      </c>
      <c r="T47" s="14">
        <v>1</v>
      </c>
      <c r="U47" s="14">
        <v>3</v>
      </c>
      <c r="V47" s="14">
        <v>1</v>
      </c>
      <c r="W47" s="15">
        <v>1.3000688016831126</v>
      </c>
      <c r="X47" s="15">
        <v>1.1402055962339039</v>
      </c>
      <c r="Y47" s="16">
        <v>15.58216710645304</v>
      </c>
      <c r="Z47" s="16">
        <v>1.731351900717004</v>
      </c>
      <c r="AA47" s="16" t="s">
        <v>65</v>
      </c>
      <c r="AB47" s="12">
        <v>0</v>
      </c>
      <c r="AC47" s="14" t="s">
        <v>73</v>
      </c>
      <c r="AD47" s="14">
        <v>1</v>
      </c>
      <c r="AE47" s="14">
        <v>1</v>
      </c>
      <c r="AF47" s="14">
        <v>1</v>
      </c>
      <c r="AG47" s="14">
        <v>1</v>
      </c>
      <c r="AH47" s="14">
        <v>1</v>
      </c>
      <c r="AI47" s="15">
        <v>1.05</v>
      </c>
      <c r="AJ47" s="15">
        <v>1.0246950765959599</v>
      </c>
      <c r="AK47" s="16">
        <v>0</v>
      </c>
      <c r="AL47" s="16">
        <v>-1</v>
      </c>
      <c r="AM47" s="16" t="s">
        <v>57</v>
      </c>
      <c r="AN47" s="12">
        <v>0</v>
      </c>
      <c r="AO47" s="14" t="s">
        <v>316</v>
      </c>
      <c r="AP47" s="14">
        <v>1</v>
      </c>
      <c r="AQ47" s="14">
        <v>1</v>
      </c>
      <c r="AR47" s="14">
        <v>1</v>
      </c>
      <c r="AS47" s="14">
        <v>1</v>
      </c>
      <c r="AT47" s="14">
        <v>1</v>
      </c>
      <c r="AU47" s="15">
        <v>1.05</v>
      </c>
      <c r="AV47" s="15">
        <v>1.0246950765959599</v>
      </c>
      <c r="AW47" s="16">
        <v>0</v>
      </c>
      <c r="AX47" s="16">
        <v>-1</v>
      </c>
      <c r="AY47" s="16" t="s">
        <v>57</v>
      </c>
    </row>
    <row r="48" spans="1:51" ht="14.5" x14ac:dyDescent="0.35">
      <c r="A48">
        <v>62</v>
      </c>
      <c r="B48" t="s">
        <v>317</v>
      </c>
      <c r="C48" t="s">
        <v>318</v>
      </c>
      <c r="D48" s="12">
        <v>0.62769185869621547</v>
      </c>
      <c r="E48" s="14" t="s">
        <v>106</v>
      </c>
      <c r="F48" s="14">
        <v>3</v>
      </c>
      <c r="G48" s="14">
        <v>1</v>
      </c>
      <c r="H48" s="14">
        <v>1</v>
      </c>
      <c r="I48" s="14">
        <v>3</v>
      </c>
      <c r="J48" s="14">
        <v>3</v>
      </c>
      <c r="K48" s="15">
        <v>1.3713425173473328</v>
      </c>
      <c r="L48" s="15">
        <v>1.1710433456312934</v>
      </c>
      <c r="M48" s="16">
        <v>19.428254083818572</v>
      </c>
      <c r="N48" s="16">
        <v>11.523643435090113</v>
      </c>
      <c r="O48" s="16" t="s">
        <v>319</v>
      </c>
      <c r="P48" s="12">
        <v>0.86363636363636365</v>
      </c>
      <c r="Q48" s="14" t="s">
        <v>108</v>
      </c>
      <c r="R48" s="14">
        <v>3</v>
      </c>
      <c r="S48" s="14">
        <v>3</v>
      </c>
      <c r="T48" s="14">
        <v>1</v>
      </c>
      <c r="U48" s="14">
        <v>3</v>
      </c>
      <c r="V48" s="14">
        <v>2</v>
      </c>
      <c r="W48" s="15">
        <v>1.3303783351797707</v>
      </c>
      <c r="X48" s="15">
        <v>1.1534202769068049</v>
      </c>
      <c r="Y48" s="16">
        <v>16.420786427081588</v>
      </c>
      <c r="Z48" s="16">
        <v>2.5927557516444608</v>
      </c>
      <c r="AA48" s="16" t="s">
        <v>320</v>
      </c>
      <c r="AB48" s="12">
        <v>0</v>
      </c>
      <c r="AC48" s="14" t="s">
        <v>108</v>
      </c>
      <c r="AD48" s="14">
        <v>1</v>
      </c>
      <c r="AE48" s="14">
        <v>3</v>
      </c>
      <c r="AF48" s="14">
        <v>1</v>
      </c>
      <c r="AG48" s="14">
        <v>3</v>
      </c>
      <c r="AH48" s="14">
        <v>2</v>
      </c>
      <c r="AI48" s="15">
        <v>1.2456465205819256</v>
      </c>
      <c r="AJ48" s="15">
        <v>1.1160853554195242</v>
      </c>
      <c r="AK48" s="16">
        <v>0</v>
      </c>
      <c r="AL48" s="16">
        <v>-1</v>
      </c>
      <c r="AM48" s="16" t="s">
        <v>57</v>
      </c>
      <c r="AN48" s="12">
        <v>0</v>
      </c>
      <c r="AO48" s="13" t="s">
        <v>143</v>
      </c>
      <c r="AP48" s="14">
        <v>3</v>
      </c>
      <c r="AQ48" s="14">
        <v>1</v>
      </c>
      <c r="AR48" s="14">
        <v>1</v>
      </c>
      <c r="AS48" s="14">
        <v>3</v>
      </c>
      <c r="AT48" s="14">
        <v>3</v>
      </c>
      <c r="AU48" s="15">
        <v>1.3713425173473328</v>
      </c>
      <c r="AV48" s="15">
        <v>1.1710433456312934</v>
      </c>
      <c r="AW48" s="16">
        <v>0</v>
      </c>
      <c r="AX48" s="16">
        <v>-1</v>
      </c>
      <c r="AY48" s="16" t="s">
        <v>57</v>
      </c>
    </row>
    <row r="49" spans="1:51" ht="14.5" x14ac:dyDescent="0.35">
      <c r="A49">
        <v>50</v>
      </c>
      <c r="B49" t="s">
        <v>321</v>
      </c>
      <c r="C49" t="s">
        <v>322</v>
      </c>
      <c r="D49" s="12">
        <v>0.88235294117647056</v>
      </c>
      <c r="E49" s="13" t="s">
        <v>323</v>
      </c>
      <c r="F49" s="14">
        <v>1</v>
      </c>
      <c r="G49" s="14">
        <v>4</v>
      </c>
      <c r="H49" s="14">
        <v>1</v>
      </c>
      <c r="I49" s="13">
        <v>2</v>
      </c>
      <c r="J49" s="13">
        <v>2</v>
      </c>
      <c r="K49" s="15">
        <v>1.2143010470622784</v>
      </c>
      <c r="L49" s="15">
        <v>1.1019532871507205</v>
      </c>
      <c r="M49" s="16">
        <v>34.364737709949509</v>
      </c>
      <c r="N49" s="16">
        <v>4.5819650279932693</v>
      </c>
      <c r="O49" s="16" t="s">
        <v>324</v>
      </c>
      <c r="P49" s="12">
        <v>0.98986125933831381</v>
      </c>
      <c r="Q49" s="13" t="s">
        <v>323</v>
      </c>
      <c r="R49" s="14">
        <v>1</v>
      </c>
      <c r="S49" s="13">
        <v>4</v>
      </c>
      <c r="T49" s="14">
        <v>1</v>
      </c>
      <c r="U49" s="14">
        <v>2</v>
      </c>
      <c r="V49" s="13">
        <v>2</v>
      </c>
      <c r="W49" s="15">
        <v>1.2143010470622784</v>
      </c>
      <c r="X49" s="15">
        <v>1.1019532871507205</v>
      </c>
      <c r="Y49" s="16">
        <v>2.8330145971623262</v>
      </c>
      <c r="Z49" s="16">
        <v>2.9017400186568162E-2</v>
      </c>
      <c r="AA49" s="16" t="s">
        <v>325</v>
      </c>
      <c r="AB49" s="12">
        <v>0.26315789473684209</v>
      </c>
      <c r="AC49" s="13" t="s">
        <v>323</v>
      </c>
      <c r="AD49" s="14">
        <v>1</v>
      </c>
      <c r="AE49" s="14">
        <v>4</v>
      </c>
      <c r="AF49" s="14">
        <v>1</v>
      </c>
      <c r="AG49" s="13">
        <v>2</v>
      </c>
      <c r="AH49" s="13">
        <v>2</v>
      </c>
      <c r="AI49" s="15">
        <v>1.2143010470622784</v>
      </c>
      <c r="AJ49" s="15">
        <v>1.1019532871507205</v>
      </c>
      <c r="AK49" s="16">
        <v>19.373373095897904</v>
      </c>
      <c r="AL49" s="16">
        <v>54.245444668514139</v>
      </c>
      <c r="AM49" s="16" t="s">
        <v>326</v>
      </c>
      <c r="AN49" s="12">
        <v>1</v>
      </c>
      <c r="AO49" s="13" t="s">
        <v>323</v>
      </c>
      <c r="AP49" s="14">
        <v>1</v>
      </c>
      <c r="AQ49" s="14">
        <v>4</v>
      </c>
      <c r="AR49" s="14">
        <v>1</v>
      </c>
      <c r="AS49" s="13">
        <v>2</v>
      </c>
      <c r="AT49" s="13">
        <v>2</v>
      </c>
      <c r="AU49" s="15">
        <v>1.2143010470622784</v>
      </c>
      <c r="AV49" s="15">
        <v>1.1019532871507205</v>
      </c>
      <c r="AW49" s="16">
        <v>-1</v>
      </c>
      <c r="AX49" s="16">
        <v>0</v>
      </c>
      <c r="AY49" s="16" t="s">
        <v>42</v>
      </c>
    </row>
    <row r="50" spans="1:51" ht="14.5" x14ac:dyDescent="0.35">
      <c r="A50">
        <v>38</v>
      </c>
      <c r="B50" t="s">
        <v>327</v>
      </c>
      <c r="C50" t="s">
        <v>328</v>
      </c>
      <c r="D50" s="12">
        <v>0.8</v>
      </c>
      <c r="E50" s="14" t="s">
        <v>329</v>
      </c>
      <c r="F50" s="14">
        <v>3</v>
      </c>
      <c r="G50" s="14">
        <v>3</v>
      </c>
      <c r="H50" s="14">
        <v>1</v>
      </c>
      <c r="I50" s="13">
        <v>3</v>
      </c>
      <c r="J50" s="13">
        <v>1</v>
      </c>
      <c r="K50" s="15">
        <v>1.3145177818010416</v>
      </c>
      <c r="L50" s="15">
        <v>1.1465242177124046</v>
      </c>
      <c r="M50" s="16">
        <v>23.047954708430922</v>
      </c>
      <c r="N50" s="16">
        <v>5.7619886771077287</v>
      </c>
      <c r="O50" s="16" t="s">
        <v>330</v>
      </c>
      <c r="P50" s="12">
        <v>0.9</v>
      </c>
      <c r="Q50" s="14" t="s">
        <v>71</v>
      </c>
      <c r="R50" s="14">
        <v>3</v>
      </c>
      <c r="S50" s="13">
        <v>1</v>
      </c>
      <c r="T50" s="14">
        <v>1</v>
      </c>
      <c r="U50" s="14">
        <v>3</v>
      </c>
      <c r="V50" s="13">
        <v>1</v>
      </c>
      <c r="W50" s="15">
        <v>1.3000688016831126</v>
      </c>
      <c r="X50" s="15">
        <v>1.1402055962339039</v>
      </c>
      <c r="Y50" s="16">
        <v>15.58216710645304</v>
      </c>
      <c r="Z50" s="16">
        <v>1.731351900717004</v>
      </c>
      <c r="AA50" s="16" t="s">
        <v>65</v>
      </c>
      <c r="AB50" s="12">
        <v>0</v>
      </c>
      <c r="AC50" s="14" t="s">
        <v>102</v>
      </c>
      <c r="AD50" s="14">
        <v>1</v>
      </c>
      <c r="AE50" s="14">
        <v>1</v>
      </c>
      <c r="AF50" s="14">
        <v>1</v>
      </c>
      <c r="AG50" s="14">
        <v>1</v>
      </c>
      <c r="AH50" s="14">
        <v>1</v>
      </c>
      <c r="AI50" s="15">
        <v>1.05</v>
      </c>
      <c r="AJ50" s="15">
        <v>1.0246950765959599</v>
      </c>
      <c r="AK50" s="16">
        <v>0</v>
      </c>
      <c r="AL50" s="16">
        <v>-1</v>
      </c>
      <c r="AM50" s="16" t="s">
        <v>57</v>
      </c>
      <c r="AN50" s="12">
        <v>0</v>
      </c>
      <c r="AO50" s="14" t="s">
        <v>331</v>
      </c>
      <c r="AP50" s="14">
        <v>1</v>
      </c>
      <c r="AQ50" s="14">
        <v>1</v>
      </c>
      <c r="AR50" s="14">
        <v>1</v>
      </c>
      <c r="AS50" s="14">
        <v>1</v>
      </c>
      <c r="AT50" s="14">
        <v>1</v>
      </c>
      <c r="AU50" s="15">
        <v>1.05</v>
      </c>
      <c r="AV50" s="15">
        <v>1.0246950765959599</v>
      </c>
      <c r="AW50" s="16">
        <v>0</v>
      </c>
      <c r="AX50" s="16">
        <v>-1</v>
      </c>
      <c r="AY50" s="16" t="s">
        <v>57</v>
      </c>
    </row>
    <row r="51" spans="1:51" ht="14.5" x14ac:dyDescent="0.35">
      <c r="A51">
        <v>73</v>
      </c>
      <c r="B51" t="s">
        <v>332</v>
      </c>
      <c r="C51" t="s">
        <v>333</v>
      </c>
      <c r="D51" s="12">
        <v>0.64768683274021355</v>
      </c>
      <c r="E51" s="13" t="s">
        <v>334</v>
      </c>
      <c r="F51" s="14">
        <v>1</v>
      </c>
      <c r="G51" s="14">
        <v>2</v>
      </c>
      <c r="H51" s="14">
        <v>1</v>
      </c>
      <c r="I51" s="13">
        <v>2</v>
      </c>
      <c r="J51" s="13">
        <v>1</v>
      </c>
      <c r="K51" s="15">
        <v>1.1174816203765749</v>
      </c>
      <c r="L51" s="15">
        <v>1.0571100322939779</v>
      </c>
      <c r="M51" s="16">
        <v>180.60906401150211</v>
      </c>
      <c r="N51" s="16">
        <v>98.243391962300592</v>
      </c>
      <c r="O51" s="16" t="s">
        <v>335</v>
      </c>
      <c r="P51" s="12">
        <v>0.76165803108808294</v>
      </c>
      <c r="Q51" s="14" t="s">
        <v>334</v>
      </c>
      <c r="R51" s="14">
        <v>1</v>
      </c>
      <c r="S51" s="13">
        <v>2</v>
      </c>
      <c r="T51" s="14">
        <v>1</v>
      </c>
      <c r="U51" s="14">
        <v>2</v>
      </c>
      <c r="V51" s="13">
        <v>1</v>
      </c>
      <c r="W51" s="15">
        <v>1.1174816203765749</v>
      </c>
      <c r="X51" s="15">
        <v>1.0571100322939779</v>
      </c>
      <c r="Y51" s="16">
        <v>168.81097120678817</v>
      </c>
      <c r="Z51" s="16">
        <v>52.825201874233016</v>
      </c>
      <c r="AA51" s="16" t="s">
        <v>336</v>
      </c>
      <c r="AB51" s="12">
        <v>0.54347826086956519</v>
      </c>
      <c r="AC51" s="14" t="s">
        <v>334</v>
      </c>
      <c r="AD51" s="14">
        <v>1</v>
      </c>
      <c r="AE51" s="14">
        <v>2</v>
      </c>
      <c r="AF51" s="14">
        <v>1</v>
      </c>
      <c r="AG51" s="13">
        <v>2</v>
      </c>
      <c r="AH51" s="13">
        <v>1</v>
      </c>
      <c r="AI51" s="15">
        <v>1.1174816203765749</v>
      </c>
      <c r="AJ51" s="15">
        <v>1.0571100322939779</v>
      </c>
      <c r="AK51" s="16">
        <v>164.82814785048697</v>
      </c>
      <c r="AL51" s="16">
        <v>138.45564419440905</v>
      </c>
      <c r="AM51" s="16" t="s">
        <v>337</v>
      </c>
      <c r="AN51" s="12">
        <v>1</v>
      </c>
      <c r="AO51" s="14" t="s">
        <v>334</v>
      </c>
      <c r="AP51" s="14">
        <v>1</v>
      </c>
      <c r="AQ51" s="14">
        <v>2</v>
      </c>
      <c r="AR51" s="14">
        <v>1</v>
      </c>
      <c r="AS51" s="13">
        <v>2</v>
      </c>
      <c r="AT51" s="13">
        <v>1</v>
      </c>
      <c r="AU51" s="15">
        <v>1.1174816203765749</v>
      </c>
      <c r="AV51" s="15">
        <v>1.0571100322939779</v>
      </c>
      <c r="AW51" s="16">
        <v>-1</v>
      </c>
      <c r="AX51" s="16">
        <v>0</v>
      </c>
      <c r="AY51" s="16" t="s">
        <v>42</v>
      </c>
    </row>
    <row r="52" spans="1:51" ht="14.5" x14ac:dyDescent="0.35">
      <c r="A52">
        <v>65</v>
      </c>
      <c r="B52" t="s">
        <v>338</v>
      </c>
      <c r="C52" t="s">
        <v>339</v>
      </c>
      <c r="D52" s="12">
        <v>0.646098758222026</v>
      </c>
      <c r="E52" s="14" t="s">
        <v>106</v>
      </c>
      <c r="F52" s="14">
        <v>3</v>
      </c>
      <c r="G52" s="14">
        <v>1</v>
      </c>
      <c r="H52" s="14">
        <v>1</v>
      </c>
      <c r="I52" s="14">
        <v>3</v>
      </c>
      <c r="J52" s="14">
        <v>3</v>
      </c>
      <c r="K52" s="15">
        <v>1.3713425173473328</v>
      </c>
      <c r="L52" s="15">
        <v>1.1710433456312934</v>
      </c>
      <c r="M52" s="16">
        <v>19.552792209602597</v>
      </c>
      <c r="N52" s="16">
        <v>10.710061511721932</v>
      </c>
      <c r="O52" s="16" t="s">
        <v>340</v>
      </c>
      <c r="P52" s="12">
        <v>0.8</v>
      </c>
      <c r="Q52" s="14" t="s">
        <v>108</v>
      </c>
      <c r="R52" s="14">
        <v>3</v>
      </c>
      <c r="S52" s="14">
        <v>3</v>
      </c>
      <c r="T52" s="14">
        <v>1</v>
      </c>
      <c r="U52" s="14">
        <v>3</v>
      </c>
      <c r="V52" s="14">
        <v>2</v>
      </c>
      <c r="W52" s="15">
        <v>1.3303783351797707</v>
      </c>
      <c r="X52" s="15">
        <v>1.1534202769068049</v>
      </c>
      <c r="Y52" s="16">
        <v>20.952262544849756</v>
      </c>
      <c r="Z52" s="16">
        <v>5.2380656362124371</v>
      </c>
      <c r="AA52" s="16" t="s">
        <v>147</v>
      </c>
      <c r="AB52" s="12">
        <v>0</v>
      </c>
      <c r="AC52" s="14" t="s">
        <v>108</v>
      </c>
      <c r="AD52" s="14">
        <v>1</v>
      </c>
      <c r="AE52" s="14">
        <v>3</v>
      </c>
      <c r="AF52" s="14">
        <v>1</v>
      </c>
      <c r="AG52" s="14">
        <v>3</v>
      </c>
      <c r="AH52" s="14">
        <v>2</v>
      </c>
      <c r="AI52" s="15">
        <v>1.2456465205819256</v>
      </c>
      <c r="AJ52" s="15">
        <v>1.1160853554195242</v>
      </c>
      <c r="AK52" s="16">
        <v>0</v>
      </c>
      <c r="AL52" s="16">
        <v>-1</v>
      </c>
      <c r="AM52" s="16" t="s">
        <v>57</v>
      </c>
      <c r="AN52" s="12">
        <v>1</v>
      </c>
      <c r="AO52" s="13" t="s">
        <v>148</v>
      </c>
      <c r="AP52" s="14">
        <v>1</v>
      </c>
      <c r="AQ52" s="14">
        <v>1</v>
      </c>
      <c r="AR52" s="14">
        <v>1</v>
      </c>
      <c r="AS52" s="14">
        <v>1</v>
      </c>
      <c r="AT52" s="14">
        <v>1</v>
      </c>
      <c r="AU52" s="15">
        <v>1.05</v>
      </c>
      <c r="AV52" s="15">
        <v>1.0246950765959599</v>
      </c>
      <c r="AW52" s="16">
        <v>-1</v>
      </c>
      <c r="AX52" s="16">
        <v>0</v>
      </c>
      <c r="AY52" s="16" t="s">
        <v>42</v>
      </c>
    </row>
    <row r="53" spans="1:51" ht="14.5" x14ac:dyDescent="0.35">
      <c r="A53">
        <v>52</v>
      </c>
      <c r="B53" t="s">
        <v>341</v>
      </c>
      <c r="C53" t="s">
        <v>342</v>
      </c>
      <c r="D53" s="12">
        <v>4.5004500450044997E-2</v>
      </c>
      <c r="E53" s="13" t="s">
        <v>343</v>
      </c>
      <c r="F53" s="14">
        <v>1</v>
      </c>
      <c r="G53" s="14">
        <v>3</v>
      </c>
      <c r="H53" s="14">
        <v>1</v>
      </c>
      <c r="I53" s="13">
        <v>2</v>
      </c>
      <c r="J53" s="13">
        <v>1</v>
      </c>
      <c r="K53" s="15">
        <v>1.1409505340208952</v>
      </c>
      <c r="L53" s="15">
        <v>1.0681528607932926</v>
      </c>
      <c r="M53" s="16">
        <v>1.6207271045567859</v>
      </c>
      <c r="N53" s="16">
        <v>34.391829158695003</v>
      </c>
      <c r="O53" s="16" t="s">
        <v>344</v>
      </c>
      <c r="P53" s="12">
        <v>0.62101910828025475</v>
      </c>
      <c r="Q53" s="13" t="s">
        <v>343</v>
      </c>
      <c r="R53" s="14">
        <v>1</v>
      </c>
      <c r="S53" s="13">
        <v>3</v>
      </c>
      <c r="T53" s="14">
        <v>1</v>
      </c>
      <c r="U53" s="14">
        <v>2</v>
      </c>
      <c r="V53" s="13">
        <v>1</v>
      </c>
      <c r="W53" s="15">
        <v>1.1409505340208952</v>
      </c>
      <c r="X53" s="15">
        <v>1.0681528607932926</v>
      </c>
      <c r="Y53" s="16">
        <v>125.2480586442753</v>
      </c>
      <c r="Z53" s="16">
        <v>76.4334306598398</v>
      </c>
      <c r="AA53" s="16" t="s">
        <v>345</v>
      </c>
      <c r="AB53" s="12">
        <v>0.53781512605042014</v>
      </c>
      <c r="AC53" s="13" t="s">
        <v>343</v>
      </c>
      <c r="AD53" s="14">
        <v>1</v>
      </c>
      <c r="AE53" s="14">
        <v>3</v>
      </c>
      <c r="AF53" s="14">
        <v>1</v>
      </c>
      <c r="AG53" s="13">
        <v>2</v>
      </c>
      <c r="AH53" s="13">
        <v>1</v>
      </c>
      <c r="AI53" s="15">
        <v>1.1409505340208952</v>
      </c>
      <c r="AJ53" s="15">
        <v>1.0681528607932926</v>
      </c>
      <c r="AK53" s="16">
        <v>114.58822409132877</v>
      </c>
      <c r="AL53" s="16">
        <v>98.474255078485683</v>
      </c>
      <c r="AM53" s="16" t="s">
        <v>346</v>
      </c>
      <c r="AN53" s="12">
        <v>1</v>
      </c>
      <c r="AO53" s="13" t="s">
        <v>343</v>
      </c>
      <c r="AP53" s="14">
        <v>1</v>
      </c>
      <c r="AQ53" s="14">
        <v>3</v>
      </c>
      <c r="AR53" s="14">
        <v>1</v>
      </c>
      <c r="AS53" s="13">
        <v>2</v>
      </c>
      <c r="AT53" s="13">
        <v>1</v>
      </c>
      <c r="AU53" s="15">
        <v>1.1409505340208952</v>
      </c>
      <c r="AV53" s="15">
        <v>1.0681528607932926</v>
      </c>
      <c r="AW53" s="16">
        <v>-1</v>
      </c>
      <c r="AX53" s="16">
        <v>0</v>
      </c>
      <c r="AY53" s="16" t="s">
        <v>42</v>
      </c>
    </row>
    <row r="54" spans="1:51" ht="14.5" x14ac:dyDescent="0.35">
      <c r="A54">
        <v>22</v>
      </c>
      <c r="B54" t="s">
        <v>347</v>
      </c>
      <c r="C54" t="s">
        <v>348</v>
      </c>
      <c r="D54" s="17">
        <v>0.85499999999999998</v>
      </c>
      <c r="E54" s="14" t="s">
        <v>349</v>
      </c>
      <c r="F54" s="14">
        <v>3</v>
      </c>
      <c r="G54" s="14">
        <v>4</v>
      </c>
      <c r="H54" s="14">
        <v>1</v>
      </c>
      <c r="I54" s="14">
        <v>2</v>
      </c>
      <c r="J54" s="14">
        <v>1</v>
      </c>
      <c r="K54" s="15">
        <v>1.2884684415322456</v>
      </c>
      <c r="L54" s="15">
        <v>1.135107237899682</v>
      </c>
      <c r="M54" s="16">
        <v>22.372527990602567</v>
      </c>
      <c r="N54" s="16">
        <v>3.7941714136109619</v>
      </c>
      <c r="O54" s="16" t="s">
        <v>350</v>
      </c>
      <c r="P54" s="12">
        <v>0.95</v>
      </c>
      <c r="Q54" s="14" t="s">
        <v>351</v>
      </c>
      <c r="R54" s="14">
        <v>3</v>
      </c>
      <c r="S54" s="14">
        <v>1</v>
      </c>
      <c r="T54" s="14">
        <v>1</v>
      </c>
      <c r="U54" s="14">
        <v>3</v>
      </c>
      <c r="V54" s="14">
        <v>1</v>
      </c>
      <c r="W54" s="15">
        <v>1.3000688016831126</v>
      </c>
      <c r="X54" s="15">
        <v>1.1402055962339039</v>
      </c>
      <c r="Y54" s="16">
        <v>8.2321949466505444</v>
      </c>
      <c r="Z54" s="16">
        <v>0.43327341824476595</v>
      </c>
      <c r="AA54" s="16" t="s">
        <v>72</v>
      </c>
      <c r="AB54" s="12">
        <v>0</v>
      </c>
      <c r="AC54" s="14" t="s">
        <v>352</v>
      </c>
      <c r="AD54" s="14">
        <v>1</v>
      </c>
      <c r="AE54" s="14">
        <v>1</v>
      </c>
      <c r="AF54" s="14">
        <v>1</v>
      </c>
      <c r="AG54" s="14">
        <v>1</v>
      </c>
      <c r="AH54" s="14">
        <v>1</v>
      </c>
      <c r="AI54" s="15">
        <v>1.05</v>
      </c>
      <c r="AJ54" s="15">
        <v>1.0246950765959599</v>
      </c>
      <c r="AK54" s="16">
        <v>0</v>
      </c>
      <c r="AL54" s="16">
        <v>-1</v>
      </c>
      <c r="AM54" s="16" t="s">
        <v>57</v>
      </c>
      <c r="AN54" s="12">
        <v>0.95</v>
      </c>
      <c r="AO54" s="14" t="s">
        <v>353</v>
      </c>
      <c r="AP54" s="14">
        <v>4</v>
      </c>
      <c r="AQ54" s="14">
        <v>1</v>
      </c>
      <c r="AR54" s="14">
        <v>1</v>
      </c>
      <c r="AS54" s="14">
        <v>3</v>
      </c>
      <c r="AT54" s="14">
        <v>1</v>
      </c>
      <c r="AU54" s="15">
        <v>1.4707782003422192</v>
      </c>
      <c r="AV54" s="15">
        <v>1.212756447248259</v>
      </c>
      <c r="AW54" s="16">
        <v>3.037601467121025</v>
      </c>
      <c r="AX54" s="16">
        <v>0.15987376142742252</v>
      </c>
      <c r="AY54" s="16" t="s">
        <v>72</v>
      </c>
    </row>
    <row r="55" spans="1:51" ht="14.5" x14ac:dyDescent="0.35">
      <c r="A55">
        <v>81</v>
      </c>
      <c r="B55" t="s">
        <v>354</v>
      </c>
      <c r="C55" t="s">
        <v>355</v>
      </c>
      <c r="D55" s="12">
        <v>0.7</v>
      </c>
      <c r="E55" s="13" t="s">
        <v>77</v>
      </c>
      <c r="F55" s="14">
        <v>3</v>
      </c>
      <c r="G55" s="13">
        <v>4</v>
      </c>
      <c r="H55" s="13">
        <v>1</v>
      </c>
      <c r="I55" s="13">
        <v>3</v>
      </c>
      <c r="J55" s="13">
        <v>1</v>
      </c>
      <c r="K55" s="15">
        <v>1.3462392336889575</v>
      </c>
      <c r="L55" s="15">
        <v>1.1602754990470829</v>
      </c>
      <c r="M55" s="16">
        <v>22.189855468283788</v>
      </c>
      <c r="N55" s="16">
        <v>9.5099380578359103</v>
      </c>
      <c r="O55" s="16" t="s">
        <v>356</v>
      </c>
      <c r="P55" s="12">
        <v>1</v>
      </c>
      <c r="Q55" s="14" t="s">
        <v>71</v>
      </c>
      <c r="R55" s="14">
        <v>3</v>
      </c>
      <c r="S55" s="13">
        <v>1</v>
      </c>
      <c r="T55" s="13">
        <v>1</v>
      </c>
      <c r="U55" s="13">
        <v>3</v>
      </c>
      <c r="V55" s="13">
        <v>1</v>
      </c>
      <c r="W55" s="15">
        <v>1.3000688016831126</v>
      </c>
      <c r="X55" s="15">
        <v>1.1402055962339039</v>
      </c>
      <c r="Y55" s="16">
        <v>-1</v>
      </c>
      <c r="Z55" s="16">
        <v>0</v>
      </c>
      <c r="AA55" s="16" t="s">
        <v>42</v>
      </c>
      <c r="AB55" s="12">
        <v>0</v>
      </c>
      <c r="AC55" s="14" t="s">
        <v>73</v>
      </c>
      <c r="AD55" s="14">
        <v>1</v>
      </c>
      <c r="AE55" s="14">
        <v>1</v>
      </c>
      <c r="AF55" s="14">
        <v>1</v>
      </c>
      <c r="AG55" s="14">
        <v>1</v>
      </c>
      <c r="AH55" s="14">
        <v>1</v>
      </c>
      <c r="AI55" s="15">
        <v>1.05</v>
      </c>
      <c r="AJ55" s="15">
        <v>1.0246950765959599</v>
      </c>
      <c r="AK55" s="16">
        <v>0</v>
      </c>
      <c r="AL55" s="16">
        <v>-1</v>
      </c>
      <c r="AM55" s="16" t="s">
        <v>57</v>
      </c>
      <c r="AN55" s="12">
        <v>0</v>
      </c>
      <c r="AO55" s="13" t="s">
        <v>357</v>
      </c>
      <c r="AP55" s="14">
        <v>1</v>
      </c>
      <c r="AQ55" s="13">
        <v>1</v>
      </c>
      <c r="AR55" s="13">
        <v>1</v>
      </c>
      <c r="AS55" s="13">
        <v>1</v>
      </c>
      <c r="AT55" s="13">
        <v>1</v>
      </c>
      <c r="AU55" s="15">
        <v>1.05</v>
      </c>
      <c r="AV55" s="15">
        <v>1.0246950765959599</v>
      </c>
      <c r="AW55" s="16">
        <v>0</v>
      </c>
      <c r="AX55" s="16">
        <v>-1</v>
      </c>
      <c r="AY55" s="16" t="s">
        <v>57</v>
      </c>
    </row>
    <row r="56" spans="1:51" ht="14.5" x14ac:dyDescent="0.35">
      <c r="A56">
        <v>69</v>
      </c>
      <c r="B56" t="s">
        <v>358</v>
      </c>
      <c r="C56" t="s">
        <v>359</v>
      </c>
      <c r="D56" s="12">
        <v>0.66776874123611263</v>
      </c>
      <c r="E56" s="14" t="s">
        <v>106</v>
      </c>
      <c r="F56" s="14">
        <v>4</v>
      </c>
      <c r="G56" s="14">
        <v>1</v>
      </c>
      <c r="H56" s="14">
        <v>1</v>
      </c>
      <c r="I56" s="14">
        <v>3</v>
      </c>
      <c r="J56" s="14">
        <v>3</v>
      </c>
      <c r="K56" s="15">
        <v>1.5279171865856971</v>
      </c>
      <c r="L56" s="15">
        <v>1.2360894735356729</v>
      </c>
      <c r="M56" s="16">
        <v>9.9638503075214313</v>
      </c>
      <c r="N56" s="16">
        <v>4.95725889126685</v>
      </c>
      <c r="O56" s="16" t="s">
        <v>360</v>
      </c>
      <c r="P56" s="12">
        <v>0.85</v>
      </c>
      <c r="Q56" s="14" t="s">
        <v>140</v>
      </c>
      <c r="R56" s="14">
        <v>3</v>
      </c>
      <c r="S56" s="14">
        <v>3</v>
      </c>
      <c r="T56" s="14">
        <v>1</v>
      </c>
      <c r="U56" s="14">
        <v>3</v>
      </c>
      <c r="V56" s="14">
        <v>3</v>
      </c>
      <c r="W56" s="15">
        <v>1.3840763218302521</v>
      </c>
      <c r="X56" s="15">
        <v>1.1764677308920344</v>
      </c>
      <c r="Y56" s="16">
        <v>13.070617457485042</v>
      </c>
      <c r="Z56" s="16">
        <v>2.3065795513208904</v>
      </c>
      <c r="AA56" s="16" t="s">
        <v>141</v>
      </c>
      <c r="AB56" s="12">
        <v>0</v>
      </c>
      <c r="AC56" s="13" t="s">
        <v>187</v>
      </c>
      <c r="AD56" s="14">
        <v>1</v>
      </c>
      <c r="AE56" s="14">
        <v>1</v>
      </c>
      <c r="AF56" s="14">
        <v>1</v>
      </c>
      <c r="AG56" s="14">
        <v>1</v>
      </c>
      <c r="AH56" s="14">
        <v>1</v>
      </c>
      <c r="AI56" s="15">
        <v>1.05</v>
      </c>
      <c r="AJ56" s="15">
        <v>1.0246950765959599</v>
      </c>
      <c r="AK56" s="16">
        <v>0</v>
      </c>
      <c r="AL56" s="16">
        <v>-1</v>
      </c>
      <c r="AM56" s="16" t="s">
        <v>57</v>
      </c>
      <c r="AN56" s="12">
        <v>0</v>
      </c>
      <c r="AO56" s="13" t="s">
        <v>187</v>
      </c>
      <c r="AP56" s="14">
        <v>1</v>
      </c>
      <c r="AQ56" s="14">
        <v>1</v>
      </c>
      <c r="AR56" s="14">
        <v>1</v>
      </c>
      <c r="AS56" s="14">
        <v>1</v>
      </c>
      <c r="AT56" s="14">
        <v>1</v>
      </c>
      <c r="AU56" s="15">
        <v>1.05</v>
      </c>
      <c r="AV56" s="15">
        <v>1.0246950765959599</v>
      </c>
      <c r="AW56" s="16">
        <v>0</v>
      </c>
      <c r="AX56" s="16">
        <v>-1</v>
      </c>
      <c r="AY56" s="16" t="s">
        <v>57</v>
      </c>
    </row>
    <row r="57" spans="1:51" ht="14.5" x14ac:dyDescent="0.35">
      <c r="A57">
        <v>23</v>
      </c>
      <c r="B57" t="s">
        <v>361</v>
      </c>
      <c r="C57" t="s">
        <v>362</v>
      </c>
      <c r="D57" s="12">
        <v>0.32871262663701512</v>
      </c>
      <c r="E57" s="14" t="s">
        <v>363</v>
      </c>
      <c r="F57" s="14">
        <v>3</v>
      </c>
      <c r="G57" s="14">
        <v>2</v>
      </c>
      <c r="H57" s="14">
        <v>2</v>
      </c>
      <c r="I57" s="14">
        <v>3</v>
      </c>
      <c r="J57" s="14">
        <v>2</v>
      </c>
      <c r="K57" s="15">
        <v>1.3205569097851895</v>
      </c>
      <c r="L57" s="15">
        <v>1.1491548676245467</v>
      </c>
      <c r="M57" s="16">
        <v>12.712752400274214</v>
      </c>
      <c r="N57" s="16">
        <v>25.961613505092799</v>
      </c>
      <c r="O57" s="16" t="s">
        <v>364</v>
      </c>
      <c r="P57" s="12">
        <v>0.67602017011855364</v>
      </c>
      <c r="Q57" s="14" t="s">
        <v>365</v>
      </c>
      <c r="R57" s="14">
        <v>2</v>
      </c>
      <c r="S57" s="14">
        <v>3</v>
      </c>
      <c r="T57" s="14">
        <v>2</v>
      </c>
      <c r="U57" s="14">
        <v>3</v>
      </c>
      <c r="V57" s="14">
        <v>2</v>
      </c>
      <c r="W57" s="15">
        <v>1.2728507410871461</v>
      </c>
      <c r="X57" s="15">
        <v>1.1282068698102961</v>
      </c>
      <c r="Y57" s="16">
        <v>35.354844000097174</v>
      </c>
      <c r="Z57" s="16">
        <v>16.943660634604768</v>
      </c>
      <c r="AA57" s="16" t="s">
        <v>366</v>
      </c>
      <c r="AB57" s="18">
        <v>8.1639485728642117E-3</v>
      </c>
      <c r="AC57" s="14" t="s">
        <v>365</v>
      </c>
      <c r="AD57" s="14">
        <v>2</v>
      </c>
      <c r="AE57" s="14">
        <v>3</v>
      </c>
      <c r="AF57" s="14">
        <v>2</v>
      </c>
      <c r="AG57" s="14">
        <v>3</v>
      </c>
      <c r="AH57" s="14">
        <v>2</v>
      </c>
      <c r="AI57" s="15">
        <v>1.2728507410871461</v>
      </c>
      <c r="AJ57" s="15">
        <v>1.1282068698102961</v>
      </c>
      <c r="AK57" s="21">
        <v>7.9231531537781695E-3</v>
      </c>
      <c r="AL57" s="21">
        <v>0.9625818767423665</v>
      </c>
      <c r="AM57" s="16" t="s">
        <v>367</v>
      </c>
      <c r="AN57" s="12">
        <v>0.95</v>
      </c>
      <c r="AO57" s="14" t="s">
        <v>71</v>
      </c>
      <c r="AP57" s="14">
        <v>4</v>
      </c>
      <c r="AQ57" s="14">
        <v>1</v>
      </c>
      <c r="AR57" s="14">
        <v>1</v>
      </c>
      <c r="AS57" s="14">
        <v>3</v>
      </c>
      <c r="AT57" s="14">
        <v>1</v>
      </c>
      <c r="AU57" s="15">
        <v>1.4707782003422192</v>
      </c>
      <c r="AV57" s="15">
        <v>1.212756447248259</v>
      </c>
      <c r="AW57" s="16">
        <v>3.037601467121025</v>
      </c>
      <c r="AX57" s="16">
        <v>0.15987376142742252</v>
      </c>
      <c r="AY57" s="16" t="s">
        <v>72</v>
      </c>
    </row>
    <row r="58" spans="1:51" ht="14.5" x14ac:dyDescent="0.35">
      <c r="A58">
        <v>74</v>
      </c>
      <c r="B58" t="s">
        <v>368</v>
      </c>
      <c r="C58" t="s">
        <v>369</v>
      </c>
      <c r="D58" s="12">
        <v>0.88571428571428568</v>
      </c>
      <c r="E58" s="13" t="s">
        <v>283</v>
      </c>
      <c r="F58" s="14">
        <v>2</v>
      </c>
      <c r="G58" s="14">
        <v>3</v>
      </c>
      <c r="H58" s="14">
        <v>1</v>
      </c>
      <c r="I58" s="13">
        <v>2</v>
      </c>
      <c r="J58" s="13">
        <v>1</v>
      </c>
      <c r="K58" s="15">
        <v>1.1766845455095114</v>
      </c>
      <c r="L58" s="15">
        <v>1.0847509140394911</v>
      </c>
      <c r="M58" s="16">
        <v>49.043008398162307</v>
      </c>
      <c r="N58" s="16">
        <v>6.3281301158919137</v>
      </c>
      <c r="O58" s="16" t="s">
        <v>370</v>
      </c>
      <c r="P58" s="12">
        <v>0.90322580645161288</v>
      </c>
      <c r="Q58" s="13" t="s">
        <v>283</v>
      </c>
      <c r="R58" s="14">
        <v>1</v>
      </c>
      <c r="S58" s="13">
        <v>3</v>
      </c>
      <c r="T58" s="14">
        <v>1</v>
      </c>
      <c r="U58" s="14">
        <v>2</v>
      </c>
      <c r="V58" s="13">
        <v>1</v>
      </c>
      <c r="W58" s="15">
        <v>1.1409505340208952</v>
      </c>
      <c r="X58" s="15">
        <v>1.0681528607932926</v>
      </c>
      <c r="Y58" s="16">
        <v>67.086618415261199</v>
      </c>
      <c r="Z58" s="16">
        <v>7.1878519730637018</v>
      </c>
      <c r="AA58" s="16" t="s">
        <v>371</v>
      </c>
      <c r="AB58" s="12">
        <v>1</v>
      </c>
      <c r="AC58" s="13" t="s">
        <v>283</v>
      </c>
      <c r="AD58" s="14">
        <v>1</v>
      </c>
      <c r="AE58" s="14">
        <v>3</v>
      </c>
      <c r="AF58" s="14">
        <v>1</v>
      </c>
      <c r="AG58" s="13">
        <v>2</v>
      </c>
      <c r="AH58" s="13">
        <v>1</v>
      </c>
      <c r="AI58" s="15">
        <v>1.1409505340208952</v>
      </c>
      <c r="AJ58" s="15">
        <v>1.0681528607932926</v>
      </c>
      <c r="AK58" s="16">
        <v>-1</v>
      </c>
      <c r="AL58" s="16">
        <v>0</v>
      </c>
      <c r="AM58" s="16" t="s">
        <v>42</v>
      </c>
      <c r="AN58" s="12">
        <v>1</v>
      </c>
      <c r="AO58" s="13" t="s">
        <v>283</v>
      </c>
      <c r="AP58" s="14">
        <v>1</v>
      </c>
      <c r="AQ58" s="14">
        <v>3</v>
      </c>
      <c r="AR58" s="14">
        <v>1</v>
      </c>
      <c r="AS58" s="13">
        <v>2</v>
      </c>
      <c r="AT58" s="13">
        <v>1</v>
      </c>
      <c r="AU58" s="15">
        <v>1.1409505340208952</v>
      </c>
      <c r="AV58" s="15">
        <v>1.0681528607932926</v>
      </c>
      <c r="AW58" s="16">
        <v>-1</v>
      </c>
      <c r="AX58" s="16">
        <v>0</v>
      </c>
      <c r="AY58" s="16" t="s">
        <v>42</v>
      </c>
    </row>
    <row r="59" spans="1:51" ht="14.5" x14ac:dyDescent="0.35">
      <c r="A59">
        <v>39</v>
      </c>
      <c r="B59" t="s">
        <v>372</v>
      </c>
      <c r="C59" t="s">
        <v>373</v>
      </c>
      <c r="D59" s="12">
        <v>0.66407609108685794</v>
      </c>
      <c r="E59" s="14" t="s">
        <v>106</v>
      </c>
      <c r="F59" s="14">
        <v>3</v>
      </c>
      <c r="G59" s="14">
        <v>1</v>
      </c>
      <c r="H59" s="14">
        <v>1</v>
      </c>
      <c r="I59" s="14">
        <v>3</v>
      </c>
      <c r="J59" s="14">
        <v>3</v>
      </c>
      <c r="K59" s="15">
        <v>1.3713425173473328</v>
      </c>
      <c r="L59" s="15">
        <v>1.1710433456312934</v>
      </c>
      <c r="M59" s="16">
        <v>19.590549982058779</v>
      </c>
      <c r="N59" s="16">
        <v>9.9099097468797677</v>
      </c>
      <c r="O59" s="16" t="s">
        <v>374</v>
      </c>
      <c r="P59" s="12">
        <v>0.84799999999999998</v>
      </c>
      <c r="Q59" s="14" t="s">
        <v>108</v>
      </c>
      <c r="R59" s="14">
        <v>1</v>
      </c>
      <c r="S59" s="14">
        <v>3</v>
      </c>
      <c r="T59" s="14">
        <v>1</v>
      </c>
      <c r="U59" s="14">
        <v>3</v>
      </c>
      <c r="V59" s="14">
        <v>2</v>
      </c>
      <c r="W59" s="15">
        <v>1.2456465205819256</v>
      </c>
      <c r="X59" s="15">
        <v>1.1160853554195242</v>
      </c>
      <c r="Y59" s="16">
        <v>31.596449746783726</v>
      </c>
      <c r="Z59" s="16">
        <v>5.6635145772536877</v>
      </c>
      <c r="AA59" s="16" t="s">
        <v>375</v>
      </c>
      <c r="AB59" s="12">
        <v>0</v>
      </c>
      <c r="AC59" s="14" t="s">
        <v>108</v>
      </c>
      <c r="AD59" s="14">
        <v>1</v>
      </c>
      <c r="AE59" s="14">
        <v>3</v>
      </c>
      <c r="AF59" s="14">
        <v>1</v>
      </c>
      <c r="AG59" s="14">
        <v>3</v>
      </c>
      <c r="AH59" s="14">
        <v>2</v>
      </c>
      <c r="AI59" s="15">
        <v>1.2456465205819256</v>
      </c>
      <c r="AJ59" s="15">
        <v>1.1160853554195242</v>
      </c>
      <c r="AK59" s="16">
        <v>0</v>
      </c>
      <c r="AL59" s="16">
        <v>-1</v>
      </c>
      <c r="AM59" s="16" t="s">
        <v>57</v>
      </c>
      <c r="AN59" s="12">
        <v>1</v>
      </c>
      <c r="AO59" s="13" t="s">
        <v>110</v>
      </c>
      <c r="AP59" s="14">
        <v>1</v>
      </c>
      <c r="AQ59" s="14">
        <v>1</v>
      </c>
      <c r="AR59" s="14">
        <v>1</v>
      </c>
      <c r="AS59" s="14">
        <v>1</v>
      </c>
      <c r="AT59" s="14">
        <v>1</v>
      </c>
      <c r="AU59" s="15">
        <v>1.05</v>
      </c>
      <c r="AV59" s="15">
        <v>1.0246950765959599</v>
      </c>
      <c r="AW59" s="16">
        <v>-1</v>
      </c>
      <c r="AX59" s="16">
        <v>0</v>
      </c>
      <c r="AY59" s="16" t="s">
        <v>42</v>
      </c>
    </row>
    <row r="60" spans="1:51" ht="14.5" x14ac:dyDescent="0.35">
      <c r="A60">
        <v>70</v>
      </c>
      <c r="B60" t="s">
        <v>376</v>
      </c>
      <c r="C60" t="s">
        <v>377</v>
      </c>
      <c r="D60" s="12">
        <v>0.66627271297591706</v>
      </c>
      <c r="E60" s="14" t="s">
        <v>106</v>
      </c>
      <c r="F60" s="14">
        <v>4</v>
      </c>
      <c r="G60" s="14">
        <v>1</v>
      </c>
      <c r="H60" s="14">
        <v>1</v>
      </c>
      <c r="I60" s="14">
        <v>3</v>
      </c>
      <c r="J60" s="14">
        <v>3</v>
      </c>
      <c r="K60" s="15">
        <v>1.5279171865856971</v>
      </c>
      <c r="L60" s="15">
        <v>1.2360894735356729</v>
      </c>
      <c r="M60" s="16">
        <v>9.9654224607932331</v>
      </c>
      <c r="N60" s="16">
        <v>4.9915497620110365</v>
      </c>
      <c r="O60" s="16" t="s">
        <v>378</v>
      </c>
      <c r="P60" s="12">
        <v>0.85</v>
      </c>
      <c r="Q60" s="14" t="s">
        <v>140</v>
      </c>
      <c r="R60" s="14">
        <v>3</v>
      </c>
      <c r="S60" s="14">
        <v>3</v>
      </c>
      <c r="T60" s="14">
        <v>1</v>
      </c>
      <c r="U60" s="14">
        <v>3</v>
      </c>
      <c r="V60" s="14">
        <v>3</v>
      </c>
      <c r="W60" s="15">
        <v>1.3840763218302521</v>
      </c>
      <c r="X60" s="15">
        <v>1.1764677308920344</v>
      </c>
      <c r="Y60" s="16">
        <v>13.070617457485042</v>
      </c>
      <c r="Z60" s="16">
        <v>2.3065795513208904</v>
      </c>
      <c r="AA60" s="16" t="s">
        <v>141</v>
      </c>
      <c r="AB60" s="12">
        <v>0</v>
      </c>
      <c r="AC60" s="13" t="s">
        <v>187</v>
      </c>
      <c r="AD60" s="14">
        <v>1</v>
      </c>
      <c r="AE60" s="14">
        <v>1</v>
      </c>
      <c r="AF60" s="14">
        <v>1</v>
      </c>
      <c r="AG60" s="14">
        <v>1</v>
      </c>
      <c r="AH60" s="14">
        <v>1</v>
      </c>
      <c r="AI60" s="15">
        <v>1.05</v>
      </c>
      <c r="AJ60" s="15">
        <v>1.0246950765959599</v>
      </c>
      <c r="AK60" s="16">
        <v>0</v>
      </c>
      <c r="AL60" s="16">
        <v>-1</v>
      </c>
      <c r="AM60" s="16" t="s">
        <v>57</v>
      </c>
      <c r="AN60" s="12">
        <v>0</v>
      </c>
      <c r="AO60" s="13" t="s">
        <v>187</v>
      </c>
      <c r="AP60" s="14">
        <v>1</v>
      </c>
      <c r="AQ60" s="14">
        <v>1</v>
      </c>
      <c r="AR60" s="14">
        <v>1</v>
      </c>
      <c r="AS60" s="14">
        <v>1</v>
      </c>
      <c r="AT60" s="14">
        <v>1</v>
      </c>
      <c r="AU60" s="15">
        <v>1.05</v>
      </c>
      <c r="AV60" s="15">
        <v>1.0246950765959599</v>
      </c>
      <c r="AW60" s="16">
        <v>0</v>
      </c>
      <c r="AX60" s="16">
        <v>-1</v>
      </c>
      <c r="AY60" s="16" t="s">
        <v>57</v>
      </c>
    </row>
    <row r="61" spans="1:51" ht="14.5" x14ac:dyDescent="0.35">
      <c r="A61">
        <v>30</v>
      </c>
      <c r="B61" t="s">
        <v>379</v>
      </c>
      <c r="C61" t="s">
        <v>380</v>
      </c>
      <c r="D61" s="12">
        <v>0.83780160857908847</v>
      </c>
      <c r="E61" s="13" t="s">
        <v>381</v>
      </c>
      <c r="F61" s="14">
        <v>1</v>
      </c>
      <c r="G61" s="14">
        <v>3</v>
      </c>
      <c r="H61" s="14">
        <v>1</v>
      </c>
      <c r="I61" s="13">
        <v>2</v>
      </c>
      <c r="J61" s="13">
        <v>1</v>
      </c>
      <c r="K61" s="15">
        <v>1.1409505340208952</v>
      </c>
      <c r="L61" s="15">
        <v>1.0681528607932926</v>
      </c>
      <c r="M61" s="16">
        <v>97.206133264302807</v>
      </c>
      <c r="N61" s="16">
        <v>18.819107399969024</v>
      </c>
      <c r="O61" s="16" t="s">
        <v>382</v>
      </c>
      <c r="P61" s="12">
        <v>0.77844311377245512</v>
      </c>
      <c r="Q61" s="13" t="s">
        <v>381</v>
      </c>
      <c r="R61" s="14">
        <v>1</v>
      </c>
      <c r="S61" s="13">
        <v>3</v>
      </c>
      <c r="T61" s="14">
        <v>1</v>
      </c>
      <c r="U61" s="14">
        <v>2</v>
      </c>
      <c r="V61" s="13">
        <v>1</v>
      </c>
      <c r="W61" s="15">
        <v>1.1409505340208952</v>
      </c>
      <c r="X61" s="15">
        <v>1.0681528607932926</v>
      </c>
      <c r="Y61" s="16">
        <v>114.84098727753249</v>
      </c>
      <c r="Z61" s="16">
        <v>32.685511763605398</v>
      </c>
      <c r="AA61" s="16" t="s">
        <v>383</v>
      </c>
      <c r="AB61" s="12">
        <v>0.91286307053941906</v>
      </c>
      <c r="AC61" s="13" t="s">
        <v>381</v>
      </c>
      <c r="AD61" s="14">
        <v>1</v>
      </c>
      <c r="AE61" s="14">
        <v>3</v>
      </c>
      <c r="AF61" s="14">
        <v>1</v>
      </c>
      <c r="AG61" s="13">
        <v>2</v>
      </c>
      <c r="AH61" s="13">
        <v>1</v>
      </c>
      <c r="AI61" s="15">
        <v>1.1409505340208952</v>
      </c>
      <c r="AJ61" s="15">
        <v>1.0681528607932926</v>
      </c>
      <c r="AK61" s="16">
        <v>61.619571717197687</v>
      </c>
      <c r="AL61" s="16">
        <v>5.8818682093688723</v>
      </c>
      <c r="AM61" s="16" t="s">
        <v>384</v>
      </c>
      <c r="AN61" s="12">
        <v>0.63840399002493764</v>
      </c>
      <c r="AO61" s="13" t="s">
        <v>381</v>
      </c>
      <c r="AP61" s="14">
        <v>1</v>
      </c>
      <c r="AQ61" s="14">
        <v>3</v>
      </c>
      <c r="AR61" s="14">
        <v>1</v>
      </c>
      <c r="AS61" s="13">
        <v>2</v>
      </c>
      <c r="AT61" s="13">
        <v>1</v>
      </c>
      <c r="AU61" s="15">
        <v>1.1409505340208952</v>
      </c>
      <c r="AV61" s="15">
        <v>1.0681528607932926</v>
      </c>
      <c r="AW61" s="16">
        <v>126.27474651577491</v>
      </c>
      <c r="AX61" s="16">
        <v>71.522805643700636</v>
      </c>
      <c r="AY61" s="16" t="s">
        <v>385</v>
      </c>
    </row>
    <row r="62" spans="1:51" ht="14.5" x14ac:dyDescent="0.35">
      <c r="A62">
        <v>40</v>
      </c>
      <c r="B62" t="s">
        <v>386</v>
      </c>
      <c r="C62" t="s">
        <v>387</v>
      </c>
      <c r="D62" s="17">
        <v>0.85499999999999998</v>
      </c>
      <c r="E62" s="14" t="s">
        <v>388</v>
      </c>
      <c r="F62" s="14">
        <v>2</v>
      </c>
      <c r="G62" s="14">
        <v>1</v>
      </c>
      <c r="H62" s="14">
        <v>2</v>
      </c>
      <c r="I62" s="13">
        <v>2</v>
      </c>
      <c r="J62" s="13">
        <v>1</v>
      </c>
      <c r="K62" s="15">
        <v>1.1576168639056454</v>
      </c>
      <c r="L62" s="15">
        <v>1.0759260494595553</v>
      </c>
      <c r="M62" s="16">
        <v>72.694312242624591</v>
      </c>
      <c r="N62" s="16">
        <v>12.328275175649786</v>
      </c>
      <c r="O62" s="16" t="s">
        <v>389</v>
      </c>
      <c r="P62" s="12">
        <v>0.95</v>
      </c>
      <c r="Q62" s="14" t="s">
        <v>71</v>
      </c>
      <c r="R62" s="14">
        <v>3</v>
      </c>
      <c r="S62" s="13">
        <v>1</v>
      </c>
      <c r="T62" s="14">
        <v>1</v>
      </c>
      <c r="U62" s="14">
        <v>3</v>
      </c>
      <c r="V62" s="13">
        <v>1</v>
      </c>
      <c r="W62" s="15">
        <v>1.3000688016831126</v>
      </c>
      <c r="X62" s="15">
        <v>1.1402055962339039</v>
      </c>
      <c r="Y62" s="16">
        <v>8.2321949466505444</v>
      </c>
      <c r="Z62" s="16">
        <v>0.43327341824476595</v>
      </c>
      <c r="AA62" s="16" t="s">
        <v>72</v>
      </c>
      <c r="AB62" s="12">
        <v>0</v>
      </c>
      <c r="AC62" s="13" t="s">
        <v>390</v>
      </c>
      <c r="AD62" s="14">
        <v>2</v>
      </c>
      <c r="AE62" s="14">
        <v>1</v>
      </c>
      <c r="AF62" s="14">
        <v>1</v>
      </c>
      <c r="AG62" s="13">
        <v>3</v>
      </c>
      <c r="AH62" s="13">
        <v>1</v>
      </c>
      <c r="AI62" s="15">
        <v>1.2354522921220721</v>
      </c>
      <c r="AJ62" s="15">
        <v>1.1115090157628376</v>
      </c>
      <c r="AK62" s="16">
        <v>0</v>
      </c>
      <c r="AL62" s="16">
        <v>-1</v>
      </c>
      <c r="AM62" s="16" t="s">
        <v>57</v>
      </c>
      <c r="AN62" s="12">
        <v>1</v>
      </c>
      <c r="AO62" s="14" t="s">
        <v>391</v>
      </c>
      <c r="AP62" s="14">
        <v>1</v>
      </c>
      <c r="AQ62" s="14">
        <v>1</v>
      </c>
      <c r="AR62" s="14">
        <v>1</v>
      </c>
      <c r="AS62" s="13">
        <v>1</v>
      </c>
      <c r="AT62" s="13">
        <v>1</v>
      </c>
      <c r="AU62" s="15">
        <v>1.05</v>
      </c>
      <c r="AV62" s="15">
        <v>1.0246950765959599</v>
      </c>
      <c r="AW62" s="16">
        <v>-1</v>
      </c>
      <c r="AX62" s="16">
        <v>0</v>
      </c>
      <c r="AY62" s="16" t="s">
        <v>42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37"/>
  <sheetViews>
    <sheetView workbookViewId="0">
      <selection activeCell="E1" sqref="E1:E1048576"/>
    </sheetView>
  </sheetViews>
  <sheetFormatPr baseColWidth="10" defaultColWidth="12.6328125" defaultRowHeight="15.75" customHeight="1" x14ac:dyDescent="0.25"/>
  <cols>
    <col min="1" max="1" width="10.36328125" bestFit="1" customWidth="1"/>
    <col min="2" max="2" width="14.7265625" bestFit="1" customWidth="1"/>
    <col min="3" max="3" width="33.1796875" bestFit="1" customWidth="1"/>
    <col min="4" max="4" width="7.1796875" bestFit="1" customWidth="1"/>
    <col min="5" max="5" width="19.6328125" bestFit="1" customWidth="1"/>
  </cols>
  <sheetData>
    <row r="1" spans="1:5" ht="13" x14ac:dyDescent="0.3">
      <c r="A1" s="2" t="s">
        <v>6</v>
      </c>
      <c r="B1" s="2" t="s">
        <v>7</v>
      </c>
      <c r="C1" s="2" t="s">
        <v>8</v>
      </c>
      <c r="D1" s="2" t="s">
        <v>9</v>
      </c>
      <c r="E1" s="2" t="s">
        <v>10</v>
      </c>
    </row>
    <row r="2" spans="1:5" ht="15.75" customHeight="1" x14ac:dyDescent="0.25">
      <c r="A2" s="4" t="s">
        <v>0</v>
      </c>
      <c r="B2" s="4" t="s">
        <v>11</v>
      </c>
      <c r="C2" s="4" t="s">
        <v>12</v>
      </c>
      <c r="D2" s="4">
        <v>2040</v>
      </c>
      <c r="E2" s="4">
        <v>9</v>
      </c>
    </row>
    <row r="3" spans="1:5" ht="15.75" customHeight="1" x14ac:dyDescent="0.25">
      <c r="A3" s="4" t="s">
        <v>0</v>
      </c>
      <c r="B3" s="4" t="s">
        <v>13</v>
      </c>
      <c r="C3" s="4" t="s">
        <v>12</v>
      </c>
      <c r="D3" s="4">
        <v>2040</v>
      </c>
      <c r="E3" s="4">
        <v>6.7</v>
      </c>
    </row>
    <row r="4" spans="1:5" ht="15.75" customHeight="1" x14ac:dyDescent="0.25">
      <c r="A4" s="4" t="s">
        <v>1</v>
      </c>
      <c r="B4" s="4" t="s">
        <v>11</v>
      </c>
      <c r="C4" s="4" t="s">
        <v>12</v>
      </c>
      <c r="D4" s="4">
        <v>2040</v>
      </c>
      <c r="E4" s="4">
        <v>289</v>
      </c>
    </row>
    <row r="5" spans="1:5" ht="15.75" customHeight="1" x14ac:dyDescent="0.25">
      <c r="A5" s="4" t="s">
        <v>1</v>
      </c>
      <c r="B5" s="4" t="s">
        <v>13</v>
      </c>
      <c r="C5" s="4" t="s">
        <v>12</v>
      </c>
      <c r="D5" s="4">
        <v>2040</v>
      </c>
      <c r="E5" s="4">
        <v>354</v>
      </c>
    </row>
    <row r="6" spans="1:5" ht="15.75" customHeight="1" x14ac:dyDescent="0.25">
      <c r="A6" s="4" t="s">
        <v>2</v>
      </c>
      <c r="B6" s="4" t="s">
        <v>11</v>
      </c>
      <c r="C6" s="4" t="s">
        <v>12</v>
      </c>
      <c r="D6" s="4">
        <v>2040</v>
      </c>
      <c r="E6" s="4">
        <v>254</v>
      </c>
    </row>
    <row r="7" spans="1:5" ht="15.75" customHeight="1" x14ac:dyDescent="0.25">
      <c r="A7" s="4" t="s">
        <v>2</v>
      </c>
      <c r="B7" s="4" t="s">
        <v>13</v>
      </c>
      <c r="C7" s="4" t="s">
        <v>12</v>
      </c>
      <c r="D7" s="4">
        <v>2040</v>
      </c>
      <c r="E7" s="4">
        <v>160</v>
      </c>
    </row>
    <row r="8" spans="1:5" ht="15.75" customHeight="1" x14ac:dyDescent="0.25">
      <c r="A8" s="4" t="s">
        <v>3</v>
      </c>
      <c r="B8" s="4" t="s">
        <v>11</v>
      </c>
      <c r="C8" s="4" t="s">
        <v>12</v>
      </c>
      <c r="D8" s="4">
        <v>2040</v>
      </c>
      <c r="E8" s="4">
        <v>120</v>
      </c>
    </row>
    <row r="9" spans="1:5" ht="15.75" customHeight="1" x14ac:dyDescent="0.25">
      <c r="A9" s="4" t="s">
        <v>3</v>
      </c>
      <c r="B9" s="4" t="s">
        <v>13</v>
      </c>
      <c r="C9" s="4" t="s">
        <v>12</v>
      </c>
      <c r="D9" s="4">
        <v>2040</v>
      </c>
      <c r="E9" s="4">
        <v>12</v>
      </c>
    </row>
    <row r="10" spans="1:5" ht="15.75" customHeight="1" x14ac:dyDescent="0.25">
      <c r="A10" s="4" t="s">
        <v>4</v>
      </c>
      <c r="B10" s="4" t="s">
        <v>11</v>
      </c>
      <c r="C10" s="4" t="s">
        <v>12</v>
      </c>
      <c r="D10" s="4">
        <v>2040</v>
      </c>
      <c r="E10" s="4">
        <v>1.3</v>
      </c>
    </row>
    <row r="11" spans="1:5" ht="15.75" customHeight="1" x14ac:dyDescent="0.25">
      <c r="A11" s="4" t="s">
        <v>4</v>
      </c>
      <c r="B11" s="4" t="s">
        <v>13</v>
      </c>
      <c r="C11" s="4" t="s">
        <v>12</v>
      </c>
      <c r="D11" s="4">
        <v>2040</v>
      </c>
      <c r="E11" s="4">
        <v>1.4</v>
      </c>
    </row>
    <row r="12" spans="1:5" ht="15.75" customHeight="1" x14ac:dyDescent="0.25">
      <c r="A12" s="4" t="s">
        <v>5</v>
      </c>
      <c r="B12" s="4" t="s">
        <v>11</v>
      </c>
      <c r="C12" s="4" t="s">
        <v>12</v>
      </c>
      <c r="D12" s="4">
        <v>2040</v>
      </c>
      <c r="E12" s="4">
        <v>87</v>
      </c>
    </row>
    <row r="13" spans="1:5" ht="15.75" customHeight="1" x14ac:dyDescent="0.25">
      <c r="A13" s="4" t="s">
        <v>5</v>
      </c>
      <c r="B13" s="4" t="s">
        <v>13</v>
      </c>
      <c r="C13" s="4" t="s">
        <v>12</v>
      </c>
      <c r="D13" s="4">
        <v>2040</v>
      </c>
      <c r="E13" s="4">
        <v>74</v>
      </c>
    </row>
    <row r="14" spans="1:5" ht="15.75" customHeight="1" x14ac:dyDescent="0.25">
      <c r="A14" s="1" t="s">
        <v>0</v>
      </c>
      <c r="B14" s="1" t="s">
        <v>11</v>
      </c>
      <c r="C14" s="1" t="s">
        <v>14</v>
      </c>
      <c r="D14" s="1">
        <v>2040</v>
      </c>
      <c r="E14" s="1">
        <v>22</v>
      </c>
    </row>
    <row r="15" spans="1:5" ht="15.75" customHeight="1" x14ac:dyDescent="0.25">
      <c r="A15" s="1" t="s">
        <v>0</v>
      </c>
      <c r="B15" s="1" t="s">
        <v>13</v>
      </c>
      <c r="C15" s="1" t="s">
        <v>14</v>
      </c>
      <c r="D15" s="1">
        <v>2040</v>
      </c>
      <c r="E15" s="1">
        <v>7</v>
      </c>
    </row>
    <row r="16" spans="1:5" ht="15.75" customHeight="1" x14ac:dyDescent="0.25">
      <c r="A16" s="1" t="s">
        <v>1</v>
      </c>
      <c r="B16" s="1" t="s">
        <v>11</v>
      </c>
      <c r="C16" s="1" t="s">
        <v>14</v>
      </c>
      <c r="D16" s="1">
        <v>2040</v>
      </c>
      <c r="E16" s="1">
        <v>809</v>
      </c>
    </row>
    <row r="17" spans="1:5" ht="15.75" customHeight="1" x14ac:dyDescent="0.25">
      <c r="A17" s="1" t="s">
        <v>1</v>
      </c>
      <c r="B17" s="1" t="s">
        <v>13</v>
      </c>
      <c r="C17" s="1" t="s">
        <v>14</v>
      </c>
      <c r="D17" s="1">
        <v>2040</v>
      </c>
      <c r="E17" s="1">
        <v>354</v>
      </c>
    </row>
    <row r="18" spans="1:5" ht="15.75" customHeight="1" x14ac:dyDescent="0.25">
      <c r="A18" s="1" t="s">
        <v>2</v>
      </c>
      <c r="B18" s="1" t="s">
        <v>11</v>
      </c>
      <c r="C18" s="1" t="s">
        <v>14</v>
      </c>
      <c r="D18" s="1">
        <v>2040</v>
      </c>
      <c r="E18" s="1">
        <v>643</v>
      </c>
    </row>
    <row r="19" spans="1:5" ht="15.75" customHeight="1" x14ac:dyDescent="0.25">
      <c r="A19" s="1" t="s">
        <v>2</v>
      </c>
      <c r="B19" s="1" t="s">
        <v>13</v>
      </c>
      <c r="C19" s="1" t="s">
        <v>14</v>
      </c>
      <c r="D19" s="1">
        <v>2040</v>
      </c>
      <c r="E19" s="1">
        <v>160</v>
      </c>
    </row>
    <row r="20" spans="1:5" ht="12.5" x14ac:dyDescent="0.25">
      <c r="A20" s="1" t="s">
        <v>3</v>
      </c>
      <c r="B20" s="1" t="s">
        <v>11</v>
      </c>
      <c r="C20" s="1" t="s">
        <v>14</v>
      </c>
      <c r="D20" s="1">
        <v>2040</v>
      </c>
      <c r="E20" s="1">
        <v>141</v>
      </c>
    </row>
    <row r="21" spans="1:5" ht="12.5" x14ac:dyDescent="0.25">
      <c r="A21" s="1" t="s">
        <v>3</v>
      </c>
      <c r="B21" s="1" t="s">
        <v>13</v>
      </c>
      <c r="C21" s="1" t="s">
        <v>14</v>
      </c>
      <c r="D21" s="1">
        <v>2040</v>
      </c>
      <c r="E21" s="1">
        <v>12</v>
      </c>
    </row>
    <row r="22" spans="1:5" ht="12.5" x14ac:dyDescent="0.25">
      <c r="A22" s="1" t="s">
        <v>4</v>
      </c>
      <c r="B22" s="1" t="s">
        <v>11</v>
      </c>
      <c r="C22" s="1" t="s">
        <v>14</v>
      </c>
      <c r="D22" s="1">
        <v>2040</v>
      </c>
      <c r="E22" s="1">
        <v>2.2999999999999998</v>
      </c>
    </row>
    <row r="23" spans="1:5" ht="12.5" x14ac:dyDescent="0.25">
      <c r="A23" s="1" t="s">
        <v>4</v>
      </c>
      <c r="B23" s="1" t="s">
        <v>13</v>
      </c>
      <c r="C23" s="1" t="s">
        <v>14</v>
      </c>
      <c r="D23" s="1">
        <v>2040</v>
      </c>
      <c r="E23" s="1">
        <v>1.4</v>
      </c>
    </row>
    <row r="24" spans="1:5" ht="12.5" x14ac:dyDescent="0.25">
      <c r="A24" s="1" t="s">
        <v>5</v>
      </c>
      <c r="B24" s="1" t="s">
        <v>11</v>
      </c>
      <c r="C24" s="1" t="s">
        <v>14</v>
      </c>
      <c r="D24" s="1">
        <v>2040</v>
      </c>
      <c r="E24" s="1">
        <v>441</v>
      </c>
    </row>
    <row r="25" spans="1:5" ht="12.5" x14ac:dyDescent="0.25">
      <c r="A25" s="1" t="s">
        <v>5</v>
      </c>
      <c r="B25" s="1" t="s">
        <v>13</v>
      </c>
      <c r="C25" s="1" t="s">
        <v>14</v>
      </c>
      <c r="D25" s="1">
        <v>2040</v>
      </c>
      <c r="E25" s="1">
        <v>74</v>
      </c>
    </row>
    <row r="26" spans="1:5" ht="12.5" x14ac:dyDescent="0.25">
      <c r="A26" s="1" t="s">
        <v>0</v>
      </c>
      <c r="B26" s="1" t="s">
        <v>11</v>
      </c>
      <c r="C26" s="1" t="s">
        <v>15</v>
      </c>
      <c r="D26" s="1">
        <v>2040</v>
      </c>
      <c r="E26" s="1">
        <v>6.8</v>
      </c>
    </row>
    <row r="27" spans="1:5" ht="12.5" x14ac:dyDescent="0.25">
      <c r="A27" s="1" t="s">
        <v>0</v>
      </c>
      <c r="B27" s="1" t="s">
        <v>13</v>
      </c>
      <c r="C27" s="1" t="s">
        <v>15</v>
      </c>
      <c r="D27" s="1">
        <v>2040</v>
      </c>
      <c r="E27" s="1">
        <v>5</v>
      </c>
    </row>
    <row r="28" spans="1:5" ht="12.5" x14ac:dyDescent="0.25">
      <c r="A28" s="1" t="s">
        <v>1</v>
      </c>
      <c r="B28" s="1" t="s">
        <v>11</v>
      </c>
      <c r="C28" s="1" t="s">
        <v>15</v>
      </c>
      <c r="D28" s="1">
        <v>2040</v>
      </c>
      <c r="E28" s="1">
        <v>217</v>
      </c>
    </row>
    <row r="29" spans="1:5" ht="12.5" x14ac:dyDescent="0.25">
      <c r="A29" s="1" t="s">
        <v>1</v>
      </c>
      <c r="B29" s="1" t="s">
        <v>13</v>
      </c>
      <c r="C29" s="1" t="s">
        <v>15</v>
      </c>
      <c r="D29" s="1">
        <v>2040</v>
      </c>
      <c r="E29" s="1">
        <v>266</v>
      </c>
    </row>
    <row r="30" spans="1:5" ht="12.5" x14ac:dyDescent="0.25">
      <c r="A30" s="1" t="s">
        <v>2</v>
      </c>
      <c r="B30" s="1" t="s">
        <v>11</v>
      </c>
      <c r="C30" s="1" t="s">
        <v>15</v>
      </c>
      <c r="D30" s="1">
        <v>2040</v>
      </c>
      <c r="E30" s="1">
        <v>191</v>
      </c>
    </row>
    <row r="31" spans="1:5" ht="12.5" x14ac:dyDescent="0.25">
      <c r="A31" s="1" t="s">
        <v>2</v>
      </c>
      <c r="B31" s="1" t="s">
        <v>13</v>
      </c>
      <c r="C31" s="1" t="s">
        <v>15</v>
      </c>
      <c r="D31" s="1">
        <v>2040</v>
      </c>
      <c r="E31" s="1">
        <v>120</v>
      </c>
    </row>
    <row r="32" spans="1:5" ht="12.5" x14ac:dyDescent="0.25">
      <c r="A32" s="1" t="s">
        <v>3</v>
      </c>
      <c r="B32" s="1" t="s">
        <v>11</v>
      </c>
      <c r="C32" s="1" t="s">
        <v>15</v>
      </c>
      <c r="D32" s="1">
        <v>2040</v>
      </c>
      <c r="E32" s="1">
        <v>90</v>
      </c>
    </row>
    <row r="33" spans="1:5" ht="12.5" x14ac:dyDescent="0.25">
      <c r="A33" s="1" t="s">
        <v>3</v>
      </c>
      <c r="B33" s="1" t="s">
        <v>13</v>
      </c>
      <c r="C33" s="1" t="s">
        <v>15</v>
      </c>
      <c r="D33" s="1">
        <v>2040</v>
      </c>
      <c r="E33" s="1">
        <v>9</v>
      </c>
    </row>
    <row r="34" spans="1:5" ht="12.5" x14ac:dyDescent="0.25">
      <c r="A34" s="1" t="s">
        <v>4</v>
      </c>
      <c r="B34" s="1" t="s">
        <v>11</v>
      </c>
      <c r="C34" s="1" t="s">
        <v>15</v>
      </c>
      <c r="D34" s="1">
        <v>2040</v>
      </c>
      <c r="E34" s="1">
        <v>1</v>
      </c>
    </row>
    <row r="35" spans="1:5" ht="12.5" x14ac:dyDescent="0.25">
      <c r="A35" s="1" t="s">
        <v>4</v>
      </c>
      <c r="B35" s="1" t="s">
        <v>13</v>
      </c>
      <c r="C35" s="1" t="s">
        <v>15</v>
      </c>
      <c r="D35" s="1">
        <v>2040</v>
      </c>
      <c r="E35" s="1">
        <v>1.03</v>
      </c>
    </row>
    <row r="36" spans="1:5" ht="12.5" x14ac:dyDescent="0.25">
      <c r="A36" s="1" t="s">
        <v>5</v>
      </c>
      <c r="B36" s="1" t="s">
        <v>11</v>
      </c>
      <c r="C36" s="1" t="s">
        <v>15</v>
      </c>
      <c r="D36" s="1">
        <v>2040</v>
      </c>
      <c r="E36" s="1">
        <v>66</v>
      </c>
    </row>
    <row r="37" spans="1:5" ht="12.5" x14ac:dyDescent="0.25">
      <c r="A37" s="1" t="s">
        <v>5</v>
      </c>
      <c r="B37" s="1" t="s">
        <v>13</v>
      </c>
      <c r="C37" s="1" t="s">
        <v>15</v>
      </c>
      <c r="D37" s="1">
        <v>2040</v>
      </c>
      <c r="E37" s="1">
        <v>55</v>
      </c>
    </row>
  </sheetData>
  <autoFilter ref="A1:E1" xr:uid="{00000000-0001-0000-02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README</vt:lpstr>
      <vt:lpstr>CCI_prod_data</vt:lpstr>
      <vt:lpstr>CCI_raw_data</vt:lpstr>
      <vt:lpstr>Graphite_assumption</vt:lpstr>
      <vt:lpstr>Chartier_Poncelet</vt:lpstr>
      <vt:lpstr>CCI_demand_data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Pellan</cp:lastModifiedBy>
  <dcterms:modified xsi:type="dcterms:W3CDTF">2025-11-24T18:09:30Z</dcterms:modified>
</cp:coreProperties>
</file>