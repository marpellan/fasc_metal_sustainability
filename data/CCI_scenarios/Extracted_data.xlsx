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CCI_scenarios/"/>
    </mc:Choice>
  </mc:AlternateContent>
  <xr:revisionPtr revIDLastSave="96" documentId="11_273A23B01633B14C0CDAEA9C5490F653FA7E0181" xr6:coauthVersionLast="47" xr6:coauthVersionMax="47" xr10:uidLastSave="{920D5B27-358F-42DE-92BE-0A05A18CD3FC}"/>
  <bookViews>
    <workbookView xWindow="28680" yWindow="-120" windowWidth="29040" windowHeight="15720" xr2:uid="{00000000-000D-0000-FFFF-FFFF00000000}"/>
  </bookViews>
  <sheets>
    <sheet name="README" sheetId="4" r:id="rId1"/>
    <sheet name="Production_mining" sheetId="1" r:id="rId2"/>
    <sheet name="Production_refining" sheetId="6" r:id="rId3"/>
    <sheet name="Chartier_Poncelet" sheetId="5" r:id="rId4"/>
    <sheet name="Demand" sheetId="3" r:id="rId5"/>
  </sheets>
  <definedNames>
    <definedName name="_xlnm._FilterDatabase" localSheetId="1" hidden="1">Production_mining!$A$1:$I$1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6" l="1"/>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2"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2" i="6"/>
</calcChain>
</file>

<file path=xl/sharedStrings.xml><?xml version="1.0" encoding="utf-8"?>
<sst xmlns="http://schemas.openxmlformats.org/spreadsheetml/2006/main" count="963" uniqueCount="396">
  <si>
    <t>Cobalt</t>
  </si>
  <si>
    <t>Copper</t>
  </si>
  <si>
    <t>Graphite</t>
  </si>
  <si>
    <t>Lithium</t>
  </si>
  <si>
    <t>Neodymium</t>
  </si>
  <si>
    <t>Nickel</t>
  </si>
  <si>
    <t>Metal</t>
  </si>
  <si>
    <t>Demand type</t>
  </si>
  <si>
    <t>Scenario</t>
  </si>
  <si>
    <t>Year</t>
  </si>
  <si>
    <t>Value in kt by 2040</t>
  </si>
  <si>
    <t>Cleand demand</t>
  </si>
  <si>
    <t>Domestic demand</t>
  </si>
  <si>
    <t>Other demand</t>
  </si>
  <si>
    <t>Domestic demand with exports</t>
  </si>
  <si>
    <t>Domestic demand with greater recycling</t>
  </si>
  <si>
    <t>Unit</t>
  </si>
  <si>
    <t>Existing production</t>
  </si>
  <si>
    <t>Production potential</t>
  </si>
  <si>
    <t>t</t>
  </si>
  <si>
    <t>Z</t>
  </si>
  <si>
    <t>Symbol</t>
  </si>
  <si>
    <t>Mineral</t>
  </si>
  <si>
    <t>production yield</t>
  </si>
  <si>
    <t>comment</t>
  </si>
  <si>
    <t>U1</t>
  </si>
  <si>
    <t>U2</t>
  </si>
  <si>
    <t>U3</t>
  </si>
  <si>
    <t>U4</t>
  </si>
  <si>
    <t>U5</t>
  </si>
  <si>
    <t>GSD^2</t>
  </si>
  <si>
    <t>GSD</t>
  </si>
  <si>
    <t xml:space="preserve"> α </t>
  </si>
  <si>
    <t>β</t>
  </si>
  <si>
    <t>uncertainty string</t>
  </si>
  <si>
    <t>fabrication and manufacturing yield</t>
  </si>
  <si>
    <t>New scrap recovery</t>
  </si>
  <si>
    <t>Remelting yield</t>
  </si>
  <si>
    <t>Ag</t>
  </si>
  <si>
    <t>Silver</t>
  </si>
  <si>
    <t>Value from Helbig et al. (2020), based on Johnson et al. (2005)</t>
  </si>
  <si>
    <t>10;51.9512154283539;9.70714751948482</t>
  </si>
  <si>
    <t>10;34.2893818471338;3.39055454831733</t>
  </si>
  <si>
    <t>1;1</t>
  </si>
  <si>
    <t>Al</t>
  </si>
  <si>
    <t>Aluminum</t>
  </si>
  <si>
    <t>Value from Helbig et al. (2020), based on Bertram et al. (2017)</t>
  </si>
  <si>
    <t>10;113.573278520256;15.5905136877806</t>
  </si>
  <si>
    <t>10;174.593862569104;120.872674086303</t>
  </si>
  <si>
    <t>10;57.8315762843693;3.26874126824696</t>
  </si>
  <si>
    <t>10;33.6478349590029;1.0406546894537</t>
  </si>
  <si>
    <t>As</t>
  </si>
  <si>
    <t>Arsenic</t>
  </si>
  <si>
    <t>Calculated based an arsenic SFA for China (Shi et al., 2017). China processes most of the world's arsenic.</t>
  </si>
  <si>
    <t>10;3.77122629323981;40.9416853238295</t>
  </si>
  <si>
    <t>Calculated based an arsenic SFA for China (Shi et al., 2017). China processes most of the world's arsenic. Assumed to include the potential recovery of new scraps in the manufacture of GaAs semiconductors.</t>
  </si>
  <si>
    <t>10;45.6538461538461;1</t>
  </si>
  <si>
    <t>While the recycling of arsenic from new scraps may occur in the manufacture of GaAs semiconductors (Ciacci et al., 2015), it is here assumed to be included in the fabrication and manufacturing yield.</t>
  </si>
  <si>
    <t>1;0</t>
  </si>
  <si>
    <t>No functional recycling of arsenic is estimated to occur currently (Ciacci et al., 2015; Graedel et al., 2011; USGS, 2020)</t>
  </si>
  <si>
    <t>Au</t>
  </si>
  <si>
    <t>Gold</t>
  </si>
  <si>
    <t>Best estimate based on the literature survey realized for gold. We estimated an extraction yield of 85%, concentration yield of 87.5%, and refining yield of 98.5%. See supporting information for details.</t>
  </si>
  <si>
    <t>10;45.4350806497305;16.5843955602843</t>
  </si>
  <si>
    <t>Calculated from US statistics (USGS, 2004a), and considering a fabrication rate of 100% for investment products. We consider these values to be reasonnable estimates for the current global yields.</t>
  </si>
  <si>
    <t>10;16.1291948710862;1.8778288493111</t>
  </si>
  <si>
    <t>10;15.582167106453;1.731351900717</t>
  </si>
  <si>
    <t>10;40.5454545454546;1</t>
  </si>
  <si>
    <t>B</t>
  </si>
  <si>
    <t>Boron</t>
  </si>
  <si>
    <t>Estimate considering an extraction yield of 80% and refining yield of 97%  (Althaus et al., 2007, Graedel et al., 2015)</t>
  </si>
  <si>
    <t>10;33.0690797489152;9.54571374195491</t>
  </si>
  <si>
    <t>Assumption</t>
  </si>
  <si>
    <t>10;19;1</t>
  </si>
  <si>
    <t>Assumed to be included in the fabrication and manufacturing yield, if any recovery occurs.</t>
  </si>
  <si>
    <t>No recycling of old boron scraps is considered to occur (European Commission, 2020a; Graedel et al., 2015)</t>
  </si>
  <si>
    <t>Ba</t>
  </si>
  <si>
    <t>Barium</t>
  </si>
  <si>
    <t>Panousi et al., 2016</t>
  </si>
  <si>
    <t>10;24.8977671397931;6.22444178494826</t>
  </si>
  <si>
    <t>Assumed to be included in the fabrication and manufacturing yield.</t>
  </si>
  <si>
    <t>Negligible recycling is considered to occur for barium (Panousi et al., 2016)</t>
  </si>
  <si>
    <t>Be</t>
  </si>
  <si>
    <t>Beryllium</t>
  </si>
  <si>
    <t>Calculated based on US production, which represents over 50% of the global production (Lederer et al., 2016)</t>
  </si>
  <si>
    <t>10;26.3901895778364;3.94336166105602</t>
  </si>
  <si>
    <t>Calculated based on USGS static MFA for the year 2000 (Cunningham, 2004)</t>
  </si>
  <si>
    <t>10;26.6275683629337;2.42068803299398</t>
  </si>
  <si>
    <t>Calculated based on USGS static MFA for the year 2000 (Cunningham, 2004).</t>
  </si>
  <si>
    <t>10;40.4560030051636;6.75053492384878</t>
  </si>
  <si>
    <t>Assumed that recovered new scraps are mostly from copper alloys and remelted with a 100% yield (BeST, 2016), and that collected old scraps are targetted specifically for their Be content.</t>
  </si>
  <si>
    <t>Bi</t>
  </si>
  <si>
    <t>Bismuth</t>
  </si>
  <si>
    <t>Estimate from Panousi et al., 2016</t>
  </si>
  <si>
    <t>10;42.6955994779466;14.2318664926489</t>
  </si>
  <si>
    <t>Assumption, including the recovery of new scraps.</t>
  </si>
  <si>
    <t>No EOL recycling is considered to occur (European Commission, 2020a; Panousi et al., 2016)</t>
  </si>
  <si>
    <t>Cd</t>
  </si>
  <si>
    <t>Cadmium</t>
  </si>
  <si>
    <t>Average value from US (Llewellyn, 1994) and Australian statistics (Kwonpongsagoon et al., 2007)</t>
  </si>
  <si>
    <t>10;42.3184399435594;13.1622533658747</t>
  </si>
  <si>
    <t>Estimate based on Cha et al., 2013; Plachy, 2003</t>
  </si>
  <si>
    <t>10;499;1</t>
  </si>
  <si>
    <t>Assumed to be included in the fabrication yield.</t>
  </si>
  <si>
    <t>Estimate based on the literature review. See the Supporting information for details.</t>
  </si>
  <si>
    <t>Ce</t>
  </si>
  <si>
    <t>Cerium</t>
  </si>
  <si>
    <t>Calculated using the grouped methodogy for REEs, detailed in section 2.4.3.1 of the Supporting information.</t>
  </si>
  <si>
    <t>10;18.7670384112497;13.5057366157051</t>
  </si>
  <si>
    <t>Calculated based on the MFA of Du and Graedel, 2011</t>
  </si>
  <si>
    <t>10;30.6393317476184;5.20513743974985</t>
  </si>
  <si>
    <t>Assumption; the EOL-RR efficiency and related uncertainty is already attributed to the collection and separation step.</t>
  </si>
  <si>
    <t>Co</t>
  </si>
  <si>
    <t>Value from Helbig et al. (2020), based on Harper et al. (2012)</t>
  </si>
  <si>
    <t>10;50.6799230657896;64.6730283941691</t>
  </si>
  <si>
    <t>10;24.0978829490536;1.53779651908868</t>
  </si>
  <si>
    <t>10;1;20.3522012578616</t>
  </si>
  <si>
    <t>10;30.8185626977511;68.9961322424396</t>
  </si>
  <si>
    <t>Cr</t>
  </si>
  <si>
    <t>Chromium</t>
  </si>
  <si>
    <t>Value from Helbig et al. (2020), based on Johnson et al. (2006)</t>
  </si>
  <si>
    <t>10;65.5453497043691;21.6803849022144</t>
  </si>
  <si>
    <t>10;66.923274053289;24.189135199984</t>
  </si>
  <si>
    <t>The value from Helbig et al. (2020), based on Johnson et al. (2006), was recalculated considering that new scrap recovery losses attributed to downgraded scraps were re-allocated to remelting losses. See the supporting information for details.</t>
  </si>
  <si>
    <t>10;69.253563031311;33.0670165825179</t>
  </si>
  <si>
    <t>Based on a personal communication with B.K. Reck (01-27-2022). See supporting information for details.</t>
  </si>
  <si>
    <t>10;40.1801752469583;37.5267674476309</t>
  </si>
  <si>
    <t>Cu</t>
  </si>
  <si>
    <t>Value from Helbig et al. (2020), based on Glöser-Chahoud (2017). The works of Glöser-Chahoud were published in a scientific article (Glöser et al., 2013), and we considered this value to be as relevant in our uncertainty assessment (U1=1).</t>
  </si>
  <si>
    <t>10;98.3289857122141;19.4661443795754</t>
  </si>
  <si>
    <t>10;102.049119404496;21.7802676906478</t>
  </si>
  <si>
    <t>10;55.5217629571599;4.62681357976332</t>
  </si>
  <si>
    <t>Dy</t>
  </si>
  <si>
    <t>Dysprosium</t>
  </si>
  <si>
    <t>10;19.5906215801558;9.99436493141161</t>
  </si>
  <si>
    <t>10;40.5267516342231;31.520806826618</t>
  </si>
  <si>
    <t>10;23.2101995752731;17.4076496814548</t>
  </si>
  <si>
    <t>Assumption; the EOL-RR efficiency and related uncertainty is already attributed to the collection and separation step. The yield of remelting for new scraps is assumed to be included in the new scrap recovery as calculated based on the MFA of Du and Graedel, 2011.</t>
  </si>
  <si>
    <t>Er</t>
  </si>
  <si>
    <t>Erbium</t>
  </si>
  <si>
    <t>10;9.96416644793705;4.96362393988681</t>
  </si>
  <si>
    <t>Assumption based on the process yields for other REEs</t>
  </si>
  <si>
    <t>10;13.070617457485;2.30657955132089</t>
  </si>
  <si>
    <t>Assumed to be negligible</t>
  </si>
  <si>
    <t>Negligible EoL recycling is estimated to occur.</t>
  </si>
  <si>
    <t>Eu</t>
  </si>
  <si>
    <t>Europium</t>
  </si>
  <si>
    <t>10;19.331367438052;11.9407025185134</t>
  </si>
  <si>
    <t>10;20.9522625448498;5.23806563621244</t>
  </si>
  <si>
    <t>Assumption. The yield of remelting for new scraps may be included in the new scrap recovery as calculated based on the MFA of Du and Graedel, 2011</t>
  </si>
  <si>
    <t>Fe</t>
  </si>
  <si>
    <t>Iron</t>
  </si>
  <si>
    <t>Value from Helbig et al. (2020), based on Wang et al. (2007)</t>
  </si>
  <si>
    <t>10;630.102164893499;90.7647166096587</t>
  </si>
  <si>
    <t>10;58.9289612399502;7.42536508921625</t>
  </si>
  <si>
    <t>10;34.9905897306072;2.23344189769833</t>
  </si>
  <si>
    <t>Ga</t>
  </si>
  <si>
    <t>Gallium</t>
  </si>
  <si>
    <t>Value from Helbig et al. (2020), based on Licht et al. (2015). Currently uncertainty distribution value is fixed.</t>
  </si>
  <si>
    <t>10;1;54.6507936507936</t>
  </si>
  <si>
    <t>Value from Helbig et al. (2020), based on Licht et al. (2015)</t>
  </si>
  <si>
    <t>10;33.6440094512501;88.1574941986766</t>
  </si>
  <si>
    <t>10;77.4739569780957;19.1564443689497</t>
  </si>
  <si>
    <t>10;88.8258781426306;35.5303512570522</t>
  </si>
  <si>
    <t>Gd</t>
  </si>
  <si>
    <t>Gadolinium</t>
  </si>
  <si>
    <t>10;19.5200540391943;10.9867893058402</t>
  </si>
  <si>
    <t>10;27.710905865485;12.1235213161497</t>
  </si>
  <si>
    <t>10;5.97183199402422;23.8873279760969</t>
  </si>
  <si>
    <t>Ge</t>
  </si>
  <si>
    <t>Germanium</t>
  </si>
  <si>
    <t>10;1;151.033898305085</t>
  </si>
  <si>
    <t>10;61.5199008450466;86.6300644552697</t>
  </si>
  <si>
    <t>Assumption, based on Du and Graedel (2011). The yield of remelting may be included in the new scrap recovery yield reported in the MFA of the authors.</t>
  </si>
  <si>
    <t>10;78.2170069715507;74.2398710238448</t>
  </si>
  <si>
    <t>Hf</t>
  </si>
  <si>
    <t>Hafnium</t>
  </si>
  <si>
    <t>Estimate based on the average hafnium content of zirconium minerals and production statistics in 2016. See supporting information for details.</t>
  </si>
  <si>
    <t>10;1;367</t>
  </si>
  <si>
    <t>No EOL recycling is considered to occur (BRGM, 2018a; Ciacci et al., 2015)</t>
  </si>
  <si>
    <t>Hg</t>
  </si>
  <si>
    <t>Mercury</t>
  </si>
  <si>
    <t>Calculated based on Panousi et al., 2016</t>
  </si>
  <si>
    <t>10;15.6503959597742;2.65416071832429</t>
  </si>
  <si>
    <t>Assumption, see supporting information for details.</t>
  </si>
  <si>
    <t>Ho</t>
  </si>
  <si>
    <t>Holmium</t>
  </si>
  <si>
    <t>10;9.9642827837121;4.96602422084293</t>
  </si>
  <si>
    <t>No recovery and recycling is expected to occur (European Commission, 2020a)</t>
  </si>
  <si>
    <t>In</t>
  </si>
  <si>
    <t>Indium</t>
  </si>
  <si>
    <t>The value of 54% from Helbig et al. (2020), as calculated based on Licht et al. (2015), was revised to 30% given other available information (Lokanc et al., 2015; Mikolajczak and Peng, 2018).</t>
  </si>
  <si>
    <t>10;11.307969912614;26.3852631294327</t>
  </si>
  <si>
    <t>10;9.07888120596333;60.021492417202</t>
  </si>
  <si>
    <t>10;81.3350364270653;22.8589925981145</t>
  </si>
  <si>
    <t>10;24.6430020283976;1</t>
  </si>
  <si>
    <t>Ir</t>
  </si>
  <si>
    <t>Iridium</t>
  </si>
  <si>
    <t>Calculated using a mining yield of 85% (for all PGEs) and statistics reported by Nassar (2013)</t>
  </si>
  <si>
    <t>10;77.7438299100146;57.2821073920149</t>
  </si>
  <si>
    <t>Assumed to be the same yield as refining</t>
  </si>
  <si>
    <t>10;24;1</t>
  </si>
  <si>
    <t>La</t>
  </si>
  <si>
    <t>Lanthanum</t>
  </si>
  <si>
    <t>10;19.0898082890213;12.7216416029444</t>
  </si>
  <si>
    <t>10;30.1166290188405;4.96924378810868</t>
  </si>
  <si>
    <t>Li</t>
  </si>
  <si>
    <t>Calculated using the share of production from brines and from ores and their respective estimated yields. See supporting information for details.</t>
  </si>
  <si>
    <t>10;20.4650678707801;8.80543012948845</t>
  </si>
  <si>
    <t>Calculated considering an average yield of 80% for batteries based on Chung et al. (2016), and 90% for other applications (assumption). See supporting information for details.</t>
  </si>
  <si>
    <t>10;30.5333891191343;6.03354395767324</t>
  </si>
  <si>
    <t>10;6.92742540448169;1.222486836085</t>
  </si>
  <si>
    <t>Lu</t>
  </si>
  <si>
    <t>Lutetium</t>
  </si>
  <si>
    <t>10;9.9653993060945;4.99098828274641</t>
  </si>
  <si>
    <t>Mg</t>
  </si>
  <si>
    <t>Magnesium</t>
  </si>
  <si>
    <t>Estimated based on Graedel et al., 2015; Ramakrishnan and Koltun, 2004; Harraz, 2017. See supporting information for details.</t>
  </si>
  <si>
    <t>10;29.0313470331095;13.7089504024584</t>
  </si>
  <si>
    <t>Estimate considering a yield of 92% for Mg metal and 90-95% for refractories and other non-metal Mg applications. Assumed to include the recovery of new scraps whenever it occurs.</t>
  </si>
  <si>
    <t>10;12.8582777668166;1.11811111015797</t>
  </si>
  <si>
    <t>Assumption, including different potential recycling routes for both metal and non-metal Mg applications</t>
  </si>
  <si>
    <t>Mn</t>
  </si>
  <si>
    <t>Manganese</t>
  </si>
  <si>
    <t>Estimate based on a literature review. See supporting information for details.</t>
  </si>
  <si>
    <t>10;46.5886984667502;19.9665850571787</t>
  </si>
  <si>
    <t>Estimate based on national statistics (Jeong et al., 2009; Nakajima et al., 2008; USGS, 2004b) and some assumptions. See supporting information for details.</t>
  </si>
  <si>
    <t>10;30.3462812424586;11.2193373054084</t>
  </si>
  <si>
    <t>Estimate based on national US statistics (USGS, 2004b) and considering an additional approx. 8% losses of manganese to slags. See supporting information for details.</t>
  </si>
  <si>
    <t>10;19.6514311773421;2.77615456314832</t>
  </si>
  <si>
    <t>10;25.2458936990863;6.31147342477157</t>
  </si>
  <si>
    <t>Mo</t>
  </si>
  <si>
    <t>Molybdenum</t>
  </si>
  <si>
    <t>Henckens et al., 2018</t>
  </si>
  <si>
    <t>10;58.2115609087907;38.8077072725271</t>
  </si>
  <si>
    <t xml:space="preserve">Calculated from US statistics for 1998 (USGS, 2004b) </t>
  </si>
  <si>
    <t>10;24.3673498323031;4.95165397661774</t>
  </si>
  <si>
    <t>Calculated from US statistics for 1998 (USGS, 2004b). Same as that reported for iron products in this dataset.</t>
  </si>
  <si>
    <t>10;10.5459874435485;10.5459874435485</t>
  </si>
  <si>
    <t>Nb</t>
  </si>
  <si>
    <t>Niobium</t>
  </si>
  <si>
    <t>Nuss et al., 2014</t>
  </si>
  <si>
    <t>10;31.3244635547697;12.7944991984271</t>
  </si>
  <si>
    <t>Estimate based on US data (USGS, 2004b) and CBMM, 2018b. The yield is estimated to include the recovery and remelting of new scraps, whenever it occurs. See supporting information for details.</t>
  </si>
  <si>
    <t>The recovery of new scraps is taken into account in the fabrication and manufacturing yield to avoid interfering with the EoL remelting rate. See supporting information for details.</t>
  </si>
  <si>
    <t>The value is estimated considering the reportede collection yields for niobium products and an EOL-RR of 9.5% (Graedel et al., 2022). Represents the remelting yield of old scraps only. See the supporting information for details.</t>
  </si>
  <si>
    <t>10;3.0451304362027;19.6202562105228</t>
  </si>
  <si>
    <t>Nd</t>
  </si>
  <si>
    <t>10;19.0657207285708;12.7877828873567</t>
  </si>
  <si>
    <t>10;30.9573461214604;5.35352602100444</t>
  </si>
  <si>
    <t>10;43.2060543580814;23.6604583389494</t>
  </si>
  <si>
    <t>Ni</t>
  </si>
  <si>
    <t>Value from Helbig et al. (2020), based on Reck and Rotter (2012)</t>
  </si>
  <si>
    <t>10;61.454508870789;16.5775131670604</t>
  </si>
  <si>
    <t>10;49.2135595675678;8.34579295243831</t>
  </si>
  <si>
    <t>10;51.5275681018575;9.48360149113942</t>
  </si>
  <si>
    <t>Os</t>
  </si>
  <si>
    <t>Osmium</t>
  </si>
  <si>
    <t>10;25.6265908582309;18.8818216356397</t>
  </si>
  <si>
    <t>No recycling considered to occur (Ciacci et al., 2015; UNEP, 2011)</t>
  </si>
  <si>
    <t>Pb</t>
  </si>
  <si>
    <t>Lead</t>
  </si>
  <si>
    <t>Value from Helbig et al. (2020), based on Mao et al. (2008a)</t>
  </si>
  <si>
    <t>10;32.1656388691773;3.89265693321254</t>
  </si>
  <si>
    <t>10;18.1787325134491;1.07294374025416</t>
  </si>
  <si>
    <t>10;48.0978481894775;11.81050364795</t>
  </si>
  <si>
    <t>Pd</t>
  </si>
  <si>
    <t>Palladium</t>
  </si>
  <si>
    <t>10;81.7352327495568;38.6104124899019</t>
  </si>
  <si>
    <t>Minor losses reported by Nassar (2013) for jewellery and dental applications.</t>
  </si>
  <si>
    <t>10;781.969432314429;1</t>
  </si>
  <si>
    <t>N/A (included in fabrication and manufacturing yield)</t>
  </si>
  <si>
    <t>10;89.9090909090908;1</t>
  </si>
  <si>
    <t>Pr</t>
  </si>
  <si>
    <t>Praseodymium</t>
  </si>
  <si>
    <t>10;19.0156214788304;12.9205990950055</t>
  </si>
  <si>
    <t>10;27.8631509762131;13.1575990721006</t>
  </si>
  <si>
    <t>10;26.8916802095013;18.8241761466509</t>
  </si>
  <si>
    <t>Pt</t>
  </si>
  <si>
    <t>Platinum</t>
  </si>
  <si>
    <t>10;126.696285959744;59.0974716441567</t>
  </si>
  <si>
    <t>10;132.333333333334;1</t>
  </si>
  <si>
    <t>Re</t>
  </si>
  <si>
    <t>Rhenium</t>
  </si>
  <si>
    <t>Value from Helbig et al. (2020), based on Meylan et al. (2015)</t>
  </si>
  <si>
    <t>10;69.6513723984592;68.5630697047333</t>
  </si>
  <si>
    <t>Rh</t>
  </si>
  <si>
    <t>Rhodium</t>
  </si>
  <si>
    <t>10;80.7146020989345;49.5223347708691</t>
  </si>
  <si>
    <t>10;49;1</t>
  </si>
  <si>
    <t>Ru</t>
  </si>
  <si>
    <t>Ruthenium</t>
  </si>
  <si>
    <t>10;80.9961927960783;48.3749902489168</t>
  </si>
  <si>
    <t>10;98.9999999999999;1</t>
  </si>
  <si>
    <t>Sb</t>
  </si>
  <si>
    <t>Antimony</t>
  </si>
  <si>
    <t>Averaged value from an MFA for China (Chu et al., 2019), producing more than 50% of global antimony, as well as global production yields (Haarman, 2015; Panousi et al., 2016)</t>
  </si>
  <si>
    <t>10;36.7856081158663;7.51068209590741</t>
  </si>
  <si>
    <t>Calculated based on Haarman (2015)</t>
  </si>
  <si>
    <t>10;26.15;1</t>
  </si>
  <si>
    <t>10;33.0211497137733;80.7183659670015</t>
  </si>
  <si>
    <t>10;64.3803345177705;13.1826399250673</t>
  </si>
  <si>
    <t>Sc</t>
  </si>
  <si>
    <t>Scandium</t>
  </si>
  <si>
    <t>Estimate based on current production of scandium and the content of scandium in red mud. See supporting information for details.</t>
  </si>
  <si>
    <t>10;1;792.022868887195</t>
  </si>
  <si>
    <t>No functional recycling is considered to occur (BRGM, 2017c; Panousi et al., 2016)</t>
  </si>
  <si>
    <t>Se</t>
  </si>
  <si>
    <t>Selenium</t>
  </si>
  <si>
    <t>Value from Helbig et al. (2020), based on Kavlak and Graedel (2013a)</t>
  </si>
  <si>
    <t>10;1.62027379701602;34.3872984358441</t>
  </si>
  <si>
    <t>10;94.1261811368578;17.1518818960496</t>
  </si>
  <si>
    <t>10;38.490952500803;119.321952752489</t>
  </si>
  <si>
    <t>Si</t>
  </si>
  <si>
    <t>Silicon</t>
  </si>
  <si>
    <t>Estimate based on the yield of 85% for a well-operated furnace (Ali et al., 2018)</t>
  </si>
  <si>
    <t>Estimate based on the literature survey for silicon. See Supporting information for details.</t>
  </si>
  <si>
    <t>No functional recycling is considered to occur (BRGM, 2019a; CRM Alliance, n.d.; European Commission, 2020a)</t>
  </si>
  <si>
    <t>Sm</t>
  </si>
  <si>
    <t>Samarium</t>
  </si>
  <si>
    <t>10;19.4282540838186;11.5236434350901</t>
  </si>
  <si>
    <t>10;16.4207864270816;2.59275575164446</t>
  </si>
  <si>
    <t>Sn</t>
  </si>
  <si>
    <t>Tin</t>
  </si>
  <si>
    <t>Value from Helbig et al. (2020), based on Izard and Müller (2010)</t>
  </si>
  <si>
    <t>10;34.3647377099495;4.58196502799327</t>
  </si>
  <si>
    <t>10;97.6315789473689;1</t>
  </si>
  <si>
    <t>10;19.3733730958979;54.2454446685141</t>
  </si>
  <si>
    <t>Sr</t>
  </si>
  <si>
    <t>Strontium</t>
  </si>
  <si>
    <t>Based on an informed estimate of Panousi et al. (2016)</t>
  </si>
  <si>
    <t>10;23.0479547084309;5.76198867710773</t>
  </si>
  <si>
    <t>No functional recycling is considered to occur (European Commission, 2020a; Panousi et al., 2016)</t>
  </si>
  <si>
    <t>Ta</t>
  </si>
  <si>
    <t>Tantalum</t>
  </si>
  <si>
    <t>Value from Helbig et al. (2020), based on Nassar (2017)</t>
  </si>
  <si>
    <t>10;180.609064011502;98.2433919623006</t>
  </si>
  <si>
    <t>10;168.810971206788;52.825201874233</t>
  </si>
  <si>
    <t>10;164.828147850487;138.455644194409</t>
  </si>
  <si>
    <t>Tb</t>
  </si>
  <si>
    <t>Terbium</t>
  </si>
  <si>
    <t>10;19.5527922096026;10.7100615117219</t>
  </si>
  <si>
    <t>Te</t>
  </si>
  <si>
    <t>Tellurium</t>
  </si>
  <si>
    <t>Value from Helbig et al. (2020), based on Kavlak and Graedel (2013b)</t>
  </si>
  <si>
    <t>10;1.62072710455679;34.391829158695</t>
  </si>
  <si>
    <t>10;125.248058644275;76.4334306598398</t>
  </si>
  <si>
    <t>10;114.588224091329;98.4742550784857</t>
  </si>
  <si>
    <t>Ti</t>
  </si>
  <si>
    <t>Titanium</t>
  </si>
  <si>
    <t>Calculated considering 90% mining yield and 95% refining yield (Graedel et al., 2015)</t>
  </si>
  <si>
    <t>10;22.3725279906026;3.79417141361096</t>
  </si>
  <si>
    <t>Estimated yield including the recovery of new scraps of titanium metal whenever it occurs, which  are collected and recycled efficiently (Goonan, 2010; Takeda and Okabe, 2019). See supporting information for details.</t>
  </si>
  <si>
    <t>The collection of titanium new scraps is considered to occur mostly in-house (Takeda and Okabe, 2019); it is here included in the fabrication and manufacturing yield.</t>
  </si>
  <si>
    <t>Assumed to be the same as the refining yield.</t>
  </si>
  <si>
    <t>Tl</t>
  </si>
  <si>
    <t>Thallium</t>
  </si>
  <si>
    <t>10;22.1898554682838;9.50993805783591</t>
  </si>
  <si>
    <t>No recycling considered to occur (Ciacci et al., 2015; Panousi et al., 2016)</t>
  </si>
  <si>
    <t>Tm</t>
  </si>
  <si>
    <t>Thulium</t>
  </si>
  <si>
    <t>10;9.96385030752143;4.95725889126685</t>
  </si>
  <si>
    <t>V</t>
  </si>
  <si>
    <t>Vanadium</t>
  </si>
  <si>
    <t>Calculated considering statistics for China (Zhang et al., 2014) and US (Goonan, 2011b), weighted accordingly with their respective share of global production in 2019 (USGS, 2020). See Supporting information for details.</t>
  </si>
  <si>
    <t>10;12.7127524002742;25.9616135050928</t>
  </si>
  <si>
    <t>Calculated based on data for China (Zhang et al., 2014) and the US (Goonan, 2011b). See Supporting information for details.</t>
  </si>
  <si>
    <t>10;35.3548440000972;16.9436606346048</t>
  </si>
  <si>
    <t>10;1;121.489747586585</t>
  </si>
  <si>
    <t>W</t>
  </si>
  <si>
    <t>Tungsten</t>
  </si>
  <si>
    <t>10;49.0430083981623;6.32813011589191</t>
  </si>
  <si>
    <t>10;67.0866184152612;7.1878519730637</t>
  </si>
  <si>
    <t>Y</t>
  </si>
  <si>
    <t>Yttrium</t>
  </si>
  <si>
    <t>10;19.5905499820588;9.90990974687977</t>
  </si>
  <si>
    <t>10;31.5964497467837;5.66351457725369</t>
  </si>
  <si>
    <t>Yb</t>
  </si>
  <si>
    <t>Ytterbium</t>
  </si>
  <si>
    <t>10;9.96542246079323;4.99154976201104</t>
  </si>
  <si>
    <t>Zn</t>
  </si>
  <si>
    <t>Zinc</t>
  </si>
  <si>
    <t>Value from Helbig et al. (2020), based on Meylan and Reck (2017)</t>
  </si>
  <si>
    <t>10;97.2061332643028;18.819107399969</t>
  </si>
  <si>
    <t>10;114.840987277532;32.6855117636054</t>
  </si>
  <si>
    <t>10;61.6195717171977;5.88186820936887</t>
  </si>
  <si>
    <t>10;126.274746515775;71.5228056437006</t>
  </si>
  <si>
    <t>Zr</t>
  </si>
  <si>
    <t>Zirconium</t>
  </si>
  <si>
    <t>Calculated considering average losses of 10% at the concentration and refining stages (Iluka, 2020), and assuming 5% extraction losses</t>
  </si>
  <si>
    <t>10;72.6943122426246;12.3282751756498</t>
  </si>
  <si>
    <t xml:space="preserve">The recovery of zirconium from new scraps is estimated to be overall negligible (European Commission, 2020c). </t>
  </si>
  <si>
    <t>Assumption that all EOL losses are due to collection and separation. The uncertainty is already taken into account for that process.</t>
  </si>
  <si>
    <t>Production_mining</t>
  </si>
  <si>
    <t>Production_refining</t>
  </si>
  <si>
    <t>Chartier_Poncelet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</si>
</sst>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
  </numFmts>
  <fonts count="14" x14ac:knownFonts="1">
    <font>
      <sz val="10"/>
      <color rgb="FF000000"/>
      <name val="Arial"/>
      <scheme val="minor"/>
    </font>
    <font>
      <sz val="10"/>
      <color theme="1"/>
      <name val="Arial"/>
      <family val="2"/>
      <scheme val="minor"/>
    </font>
    <font>
      <b/>
      <sz val="10"/>
      <color theme="1"/>
      <name val="Arial"/>
      <family val="2"/>
      <scheme val="minor"/>
    </font>
    <font>
      <sz val="10"/>
      <color rgb="FF000000"/>
      <name val="Arial"/>
      <family val="2"/>
      <scheme val="minor"/>
    </font>
    <font>
      <sz val="10"/>
      <color rgb="FF000000"/>
      <name val="Arial"/>
      <scheme val="minor"/>
    </font>
    <font>
      <b/>
      <sz val="11"/>
      <color theme="1"/>
      <name val="Arial"/>
      <family val="2"/>
      <scheme val="minor"/>
    </font>
    <font>
      <b/>
      <sz val="10"/>
      <color rgb="FF000000"/>
      <name val="Arial"/>
      <family val="2"/>
      <scheme val="minor"/>
    </font>
    <font>
      <b/>
      <sz val="11"/>
      <color rgb="FF000000"/>
      <name val="Calibri"/>
      <family val="2"/>
    </font>
    <font>
      <b/>
      <i/>
      <sz val="11"/>
      <color rgb="FF000000"/>
      <name val="Calibri"/>
      <family val="2"/>
    </font>
    <font>
      <b/>
      <i/>
      <sz val="11"/>
      <name val="Calibri"/>
      <family val="2"/>
    </font>
    <font>
      <b/>
      <sz val="11"/>
      <name val="Calibri"/>
      <family val="2"/>
    </font>
    <font>
      <sz val="11"/>
      <color theme="1"/>
      <name val="Calibri"/>
      <family val="2"/>
    </font>
    <font>
      <sz val="11"/>
      <name val="Calibri"/>
      <family val="2"/>
    </font>
    <font>
      <sz val="11"/>
      <color rgb="FF000000"/>
      <name val="Calibri"/>
      <family val="2"/>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4" fillId="0" borderId="0" applyFont="0" applyFill="0" applyBorder="0" applyAlignment="0" applyProtection="0"/>
  </cellStyleXfs>
  <cellXfs count="23">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xf numFmtId="0" fontId="6" fillId="0" borderId="0" xfId="0" applyFont="1"/>
    <xf numFmtId="0" fontId="5" fillId="0" borderId="0" xfId="0" applyFont="1"/>
    <xf numFmtId="0" fontId="7" fillId="0" borderId="1" xfId="0" applyFont="1" applyBorder="1"/>
    <xf numFmtId="0" fontId="8" fillId="0" borderId="1" xfId="0" applyFont="1" applyBorder="1"/>
    <xf numFmtId="0" fontId="9" fillId="0" borderId="1" xfId="0" applyFont="1" applyBorder="1"/>
    <xf numFmtId="0" fontId="10" fillId="0" borderId="1" xfId="0" applyFont="1" applyBorder="1"/>
    <xf numFmtId="0" fontId="11" fillId="0" borderId="1" xfId="0" applyFont="1" applyBorder="1"/>
    <xf numFmtId="0" fontId="12" fillId="0" borderId="1" xfId="0" applyFont="1" applyBorder="1"/>
    <xf numFmtId="9" fontId="11" fillId="0" borderId="0" xfId="0" applyNumberFormat="1" applyFont="1"/>
    <xf numFmtId="0" fontId="13" fillId="0" borderId="0" xfId="0" applyFont="1"/>
    <xf numFmtId="0" fontId="11" fillId="0" borderId="0" xfId="0" applyFont="1"/>
    <xf numFmtId="2" fontId="11" fillId="0" borderId="0" xfId="0" applyNumberFormat="1" applyFont="1"/>
    <xf numFmtId="164" fontId="11" fillId="0" borderId="0" xfId="0" applyNumberFormat="1" applyFont="1"/>
    <xf numFmtId="9" fontId="11" fillId="0" borderId="0" xfId="1" applyFont="1" applyFill="1" applyBorder="1"/>
    <xf numFmtId="165" fontId="11" fillId="0" borderId="0" xfId="0" applyNumberFormat="1" applyFont="1"/>
    <xf numFmtId="0" fontId="12" fillId="0" borderId="0" xfId="0" applyFont="1"/>
    <xf numFmtId="10" fontId="11" fillId="0" borderId="0" xfId="0" applyNumberFormat="1" applyFont="1"/>
    <xf numFmtId="166" fontId="11" fillId="0" borderId="0" xfId="0" applyNumberFormat="1" applyFont="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2AF83-21B5-4B20-B6B7-FF4E4CD7DEC6}">
  <sheetPr>
    <tabColor rgb="FFC00000"/>
  </sheetPr>
  <dimension ref="A1:A3"/>
  <sheetViews>
    <sheetView tabSelected="1" workbookViewId="0">
      <selection sqref="A1:XFD1"/>
    </sheetView>
  </sheetViews>
  <sheetFormatPr baseColWidth="10" defaultRowHeight="12.5" x14ac:dyDescent="0.25"/>
  <cols>
    <col min="1" max="1" width="16.08984375" bestFit="1" customWidth="1"/>
  </cols>
  <sheetData>
    <row r="1" spans="1:1" x14ac:dyDescent="0.25">
      <c r="A1" s="3" t="s">
        <v>393</v>
      </c>
    </row>
    <row r="2" spans="1:1" x14ac:dyDescent="0.25">
      <c r="A2" s="3" t="s">
        <v>394</v>
      </c>
    </row>
    <row r="3" spans="1:1" x14ac:dyDescent="0.25">
      <c r="A3" s="3" t="s">
        <v>395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5"/>
  <sheetViews>
    <sheetView topLeftCell="A13" workbookViewId="0">
      <selection activeCell="I43" sqref="I43"/>
    </sheetView>
  </sheetViews>
  <sheetFormatPr baseColWidth="10" defaultColWidth="12.6328125" defaultRowHeight="12.5" x14ac:dyDescent="0.25"/>
  <cols>
    <col min="1" max="1" width="16.7265625" customWidth="1"/>
    <col min="2" max="2" width="7.1796875" bestFit="1" customWidth="1"/>
    <col min="3" max="3" width="6.6328125" bestFit="1" customWidth="1"/>
    <col min="4" max="4" width="8.81640625" bestFit="1" customWidth="1"/>
    <col min="5" max="5" width="9.54296875" bestFit="1" customWidth="1"/>
    <col min="6" max="6" width="10.7265625" bestFit="1" customWidth="1"/>
    <col min="7" max="7" width="9.81640625" bestFit="1" customWidth="1"/>
    <col min="8" max="8" width="13.6328125" bestFit="1" customWidth="1"/>
    <col min="9" max="9" width="8.54296875" bestFit="1" customWidth="1"/>
  </cols>
  <sheetData>
    <row r="1" spans="1:9" ht="13" x14ac:dyDescent="0.3">
      <c r="A1" s="5" t="s">
        <v>8</v>
      </c>
      <c r="B1" s="5" t="s">
        <v>9</v>
      </c>
      <c r="C1" s="5" t="s">
        <v>16</v>
      </c>
      <c r="D1" s="2" t="s">
        <v>0</v>
      </c>
      <c r="E1" s="2" t="s">
        <v>1</v>
      </c>
      <c r="F1" s="2" t="s">
        <v>2</v>
      </c>
      <c r="G1" s="2" t="s">
        <v>3</v>
      </c>
      <c r="H1" s="2" t="s">
        <v>4</v>
      </c>
      <c r="I1" s="2" t="s">
        <v>5</v>
      </c>
    </row>
    <row r="2" spans="1:9" x14ac:dyDescent="0.25">
      <c r="A2" s="3" t="s">
        <v>17</v>
      </c>
      <c r="B2" s="1">
        <v>2020</v>
      </c>
      <c r="C2" s="1" t="s">
        <v>19</v>
      </c>
      <c r="D2" s="1">
        <v>3200</v>
      </c>
      <c r="E2" s="1">
        <v>530900</v>
      </c>
      <c r="F2" s="1">
        <v>8200</v>
      </c>
      <c r="G2" s="1">
        <v>0</v>
      </c>
      <c r="H2" s="1">
        <v>0</v>
      </c>
      <c r="I2" s="1">
        <v>154400</v>
      </c>
    </row>
    <row r="3" spans="1:9" x14ac:dyDescent="0.25">
      <c r="A3" s="3" t="s">
        <v>17</v>
      </c>
      <c r="B3" s="1">
        <v>2021</v>
      </c>
      <c r="C3" s="1" t="s">
        <v>19</v>
      </c>
      <c r="D3" s="1">
        <v>3800</v>
      </c>
      <c r="E3" s="1">
        <v>488500</v>
      </c>
      <c r="F3" s="1">
        <v>4200</v>
      </c>
      <c r="G3" s="1">
        <v>200</v>
      </c>
      <c r="H3" s="1">
        <v>0</v>
      </c>
      <c r="I3" s="1">
        <v>138900</v>
      </c>
    </row>
    <row r="4" spans="1:9" x14ac:dyDescent="0.25">
      <c r="A4" s="3" t="s">
        <v>17</v>
      </c>
      <c r="B4" s="1">
        <v>2022</v>
      </c>
      <c r="C4" s="1" t="s">
        <v>19</v>
      </c>
      <c r="D4" s="1">
        <v>2500</v>
      </c>
      <c r="E4" s="1">
        <v>460400</v>
      </c>
      <c r="F4" s="1">
        <v>13600</v>
      </c>
      <c r="G4" s="1">
        <v>3500</v>
      </c>
      <c r="H4" s="1">
        <v>0</v>
      </c>
      <c r="I4" s="1">
        <v>126600</v>
      </c>
    </row>
    <row r="5" spans="1:9" x14ac:dyDescent="0.25">
      <c r="A5" s="3" t="s">
        <v>17</v>
      </c>
      <c r="B5" s="1">
        <v>2023</v>
      </c>
      <c r="C5" s="1" t="s">
        <v>19</v>
      </c>
      <c r="D5" s="1">
        <v>4800</v>
      </c>
      <c r="E5" s="1">
        <v>404000</v>
      </c>
      <c r="F5" s="1">
        <v>4200</v>
      </c>
      <c r="G5" s="1">
        <v>16700</v>
      </c>
      <c r="H5" s="1">
        <v>0</v>
      </c>
      <c r="I5" s="1">
        <v>186800</v>
      </c>
    </row>
    <row r="6" spans="1:9" x14ac:dyDescent="0.25">
      <c r="A6" s="3" t="s">
        <v>17</v>
      </c>
      <c r="B6" s="1">
        <v>2024</v>
      </c>
      <c r="C6" s="1" t="s">
        <v>19</v>
      </c>
      <c r="D6" s="1">
        <v>3400</v>
      </c>
      <c r="E6" s="1">
        <v>478900</v>
      </c>
      <c r="F6" s="1">
        <v>6300</v>
      </c>
      <c r="G6" s="1">
        <v>39900</v>
      </c>
      <c r="H6" s="1">
        <v>0</v>
      </c>
      <c r="I6" s="1">
        <v>134600</v>
      </c>
    </row>
    <row r="7" spans="1:9" x14ac:dyDescent="0.25">
      <c r="A7" s="3" t="s">
        <v>17</v>
      </c>
      <c r="B7" s="1">
        <v>2025</v>
      </c>
      <c r="C7" s="1" t="s">
        <v>19</v>
      </c>
      <c r="D7" s="1">
        <v>3500</v>
      </c>
      <c r="E7" s="1">
        <v>483900</v>
      </c>
      <c r="F7" s="1">
        <v>0</v>
      </c>
      <c r="G7" s="1">
        <v>37600</v>
      </c>
      <c r="H7" s="1">
        <v>0</v>
      </c>
      <c r="I7" s="1">
        <v>154600</v>
      </c>
    </row>
    <row r="8" spans="1:9" x14ac:dyDescent="0.25">
      <c r="A8" s="3" t="s">
        <v>17</v>
      </c>
      <c r="B8" s="1">
        <v>2026</v>
      </c>
      <c r="C8" s="1" t="s">
        <v>19</v>
      </c>
      <c r="D8" s="1">
        <v>3500</v>
      </c>
      <c r="E8" s="1">
        <v>475600</v>
      </c>
      <c r="F8" s="1">
        <v>0</v>
      </c>
      <c r="G8" s="1">
        <v>40000</v>
      </c>
      <c r="H8" s="1">
        <v>0</v>
      </c>
      <c r="I8" s="1">
        <v>158500</v>
      </c>
    </row>
    <row r="9" spans="1:9" x14ac:dyDescent="0.25">
      <c r="A9" s="3" t="s">
        <v>17</v>
      </c>
      <c r="B9" s="1">
        <v>2027</v>
      </c>
      <c r="C9" s="1" t="s">
        <v>19</v>
      </c>
      <c r="D9" s="1">
        <v>4200</v>
      </c>
      <c r="E9" s="1">
        <v>495000</v>
      </c>
      <c r="F9" s="1">
        <v>0</v>
      </c>
      <c r="G9" s="1">
        <v>41700</v>
      </c>
      <c r="H9" s="1">
        <v>0</v>
      </c>
      <c r="I9" s="1">
        <v>158500</v>
      </c>
    </row>
    <row r="10" spans="1:9" x14ac:dyDescent="0.25">
      <c r="A10" s="3" t="s">
        <v>17</v>
      </c>
      <c r="B10" s="1">
        <v>2028</v>
      </c>
      <c r="C10" s="1" t="s">
        <v>19</v>
      </c>
      <c r="D10" s="1">
        <v>4200</v>
      </c>
      <c r="E10" s="1">
        <v>461100</v>
      </c>
      <c r="F10" s="1">
        <v>0</v>
      </c>
      <c r="G10" s="1">
        <v>40300</v>
      </c>
      <c r="H10" s="1">
        <v>0</v>
      </c>
      <c r="I10" s="1">
        <v>154800</v>
      </c>
    </row>
    <row r="11" spans="1:9" x14ac:dyDescent="0.25">
      <c r="A11" s="3" t="s">
        <v>17</v>
      </c>
      <c r="B11" s="1">
        <v>2029</v>
      </c>
      <c r="C11" s="1" t="s">
        <v>19</v>
      </c>
      <c r="D11" s="1">
        <v>3900</v>
      </c>
      <c r="E11" s="1">
        <v>348300</v>
      </c>
      <c r="F11" s="1">
        <v>0</v>
      </c>
      <c r="G11" s="1">
        <v>37900</v>
      </c>
      <c r="H11" s="1">
        <v>0</v>
      </c>
      <c r="I11" s="1">
        <v>152100</v>
      </c>
    </row>
    <row r="12" spans="1:9" x14ac:dyDescent="0.25">
      <c r="A12" s="3" t="s">
        <v>17</v>
      </c>
      <c r="B12" s="1">
        <v>2030</v>
      </c>
      <c r="C12" s="1" t="s">
        <v>19</v>
      </c>
      <c r="D12" s="1">
        <v>3900</v>
      </c>
      <c r="E12" s="1">
        <v>331700</v>
      </c>
      <c r="F12" s="1">
        <v>0</v>
      </c>
      <c r="G12" s="1">
        <v>39000</v>
      </c>
      <c r="H12" s="1">
        <v>0</v>
      </c>
      <c r="I12" s="1">
        <v>150200</v>
      </c>
    </row>
    <row r="13" spans="1:9" x14ac:dyDescent="0.25">
      <c r="A13" s="3" t="s">
        <v>17</v>
      </c>
      <c r="B13" s="1">
        <v>2031</v>
      </c>
      <c r="C13" s="1" t="s">
        <v>19</v>
      </c>
      <c r="D13" s="1">
        <v>3700</v>
      </c>
      <c r="E13" s="1">
        <v>311100</v>
      </c>
      <c r="F13" s="1">
        <v>0</v>
      </c>
      <c r="G13" s="1">
        <v>38200</v>
      </c>
      <c r="H13" s="1">
        <v>0</v>
      </c>
      <c r="I13" s="1">
        <v>139300</v>
      </c>
    </row>
    <row r="14" spans="1:9" x14ac:dyDescent="0.25">
      <c r="A14" s="3" t="s">
        <v>17</v>
      </c>
      <c r="B14" s="1">
        <v>2032</v>
      </c>
      <c r="C14" s="1" t="s">
        <v>19</v>
      </c>
      <c r="D14" s="1">
        <v>3400</v>
      </c>
      <c r="E14" s="1">
        <v>309500</v>
      </c>
      <c r="F14" s="1">
        <v>0</v>
      </c>
      <c r="G14" s="1">
        <v>40600</v>
      </c>
      <c r="H14" s="1">
        <v>0</v>
      </c>
      <c r="I14" s="1">
        <v>139300</v>
      </c>
    </row>
    <row r="15" spans="1:9" x14ac:dyDescent="0.25">
      <c r="A15" s="3" t="s">
        <v>17</v>
      </c>
      <c r="B15" s="1">
        <v>2033</v>
      </c>
      <c r="C15" s="1" t="s">
        <v>19</v>
      </c>
      <c r="D15" s="1">
        <v>3100</v>
      </c>
      <c r="E15" s="1">
        <v>276900</v>
      </c>
      <c r="F15" s="1">
        <v>0</v>
      </c>
      <c r="G15" s="1">
        <v>37800</v>
      </c>
      <c r="H15" s="1">
        <v>0</v>
      </c>
      <c r="I15" s="1">
        <v>120300</v>
      </c>
    </row>
    <row r="16" spans="1:9" x14ac:dyDescent="0.25">
      <c r="A16" s="3" t="s">
        <v>17</v>
      </c>
      <c r="B16" s="1">
        <v>2034</v>
      </c>
      <c r="C16" s="1" t="s">
        <v>19</v>
      </c>
      <c r="D16" s="1">
        <v>3100</v>
      </c>
      <c r="E16" s="1">
        <v>265800</v>
      </c>
      <c r="F16" s="1">
        <v>0</v>
      </c>
      <c r="G16" s="1">
        <v>39800</v>
      </c>
      <c r="H16" s="1">
        <v>0</v>
      </c>
      <c r="I16" s="1">
        <v>118000</v>
      </c>
    </row>
    <row r="17" spans="1:9" x14ac:dyDescent="0.25">
      <c r="A17" s="3" t="s">
        <v>17</v>
      </c>
      <c r="B17" s="1">
        <v>2035</v>
      </c>
      <c r="C17" s="1" t="s">
        <v>19</v>
      </c>
      <c r="D17" s="1">
        <v>3100</v>
      </c>
      <c r="E17" s="1">
        <v>268900</v>
      </c>
      <c r="F17" s="1">
        <v>0</v>
      </c>
      <c r="G17" s="1">
        <v>40500</v>
      </c>
      <c r="H17" s="1">
        <v>0</v>
      </c>
      <c r="I17" s="1">
        <v>118000</v>
      </c>
    </row>
    <row r="18" spans="1:9" x14ac:dyDescent="0.25">
      <c r="A18" s="3" t="s">
        <v>17</v>
      </c>
      <c r="B18" s="1">
        <v>2036</v>
      </c>
      <c r="C18" s="1" t="s">
        <v>19</v>
      </c>
      <c r="D18" s="1">
        <v>2800</v>
      </c>
      <c r="E18" s="1">
        <v>260899.99999999997</v>
      </c>
      <c r="F18" s="1">
        <v>0</v>
      </c>
      <c r="G18" s="1">
        <v>37200</v>
      </c>
      <c r="H18" s="1">
        <v>0</v>
      </c>
      <c r="I18" s="1">
        <v>116700</v>
      </c>
    </row>
    <row r="19" spans="1:9" x14ac:dyDescent="0.25">
      <c r="A19" s="3" t="s">
        <v>17</v>
      </c>
      <c r="B19" s="1">
        <v>2037</v>
      </c>
      <c r="C19" s="1" t="s">
        <v>19</v>
      </c>
      <c r="D19" s="1">
        <v>900</v>
      </c>
      <c r="E19" s="1">
        <v>216700</v>
      </c>
      <c r="F19" s="1">
        <v>0</v>
      </c>
      <c r="G19" s="1">
        <v>39300</v>
      </c>
      <c r="H19" s="1">
        <v>0</v>
      </c>
      <c r="I19" s="1">
        <v>82700</v>
      </c>
    </row>
    <row r="20" spans="1:9" x14ac:dyDescent="0.25">
      <c r="A20" s="3" t="s">
        <v>17</v>
      </c>
      <c r="B20" s="1">
        <v>2038</v>
      </c>
      <c r="C20" s="1" t="s">
        <v>19</v>
      </c>
      <c r="D20" s="1">
        <v>300</v>
      </c>
      <c r="E20" s="1">
        <v>149600</v>
      </c>
      <c r="F20" s="1">
        <v>0</v>
      </c>
      <c r="G20" s="1">
        <v>42600</v>
      </c>
      <c r="H20" s="1">
        <v>0</v>
      </c>
      <c r="I20" s="1">
        <v>40800</v>
      </c>
    </row>
    <row r="21" spans="1:9" x14ac:dyDescent="0.25">
      <c r="A21" s="3" t="s">
        <v>17</v>
      </c>
      <c r="B21" s="1">
        <v>2039</v>
      </c>
      <c r="C21" s="1" t="s">
        <v>19</v>
      </c>
      <c r="D21" s="1">
        <v>300</v>
      </c>
      <c r="E21" s="1">
        <v>174100</v>
      </c>
      <c r="F21" s="1">
        <v>0</v>
      </c>
      <c r="G21" s="1">
        <v>41000</v>
      </c>
      <c r="H21" s="1">
        <v>0</v>
      </c>
      <c r="I21" s="1">
        <v>37000</v>
      </c>
    </row>
    <row r="22" spans="1:9" x14ac:dyDescent="0.25">
      <c r="A22" s="3" t="s">
        <v>17</v>
      </c>
      <c r="B22" s="1">
        <v>2040</v>
      </c>
      <c r="C22" s="1" t="s">
        <v>19</v>
      </c>
      <c r="D22" s="1">
        <v>300</v>
      </c>
      <c r="E22" s="1">
        <v>183000</v>
      </c>
      <c r="F22" s="1">
        <v>0</v>
      </c>
      <c r="G22" s="1">
        <v>42800</v>
      </c>
      <c r="H22" s="1">
        <v>0</v>
      </c>
      <c r="I22" s="1">
        <v>37000</v>
      </c>
    </row>
    <row r="23" spans="1:9" x14ac:dyDescent="0.25">
      <c r="A23" s="3" t="s">
        <v>18</v>
      </c>
      <c r="B23" s="1">
        <v>2020</v>
      </c>
      <c r="C23" s="1" t="s">
        <v>19</v>
      </c>
      <c r="D23" s="1">
        <v>6500</v>
      </c>
      <c r="E23" s="1">
        <v>1100000</v>
      </c>
      <c r="F23" s="1">
        <v>0</v>
      </c>
      <c r="G23" s="1">
        <v>0</v>
      </c>
      <c r="H23" s="1">
        <v>0</v>
      </c>
      <c r="I23" s="1">
        <v>308800</v>
      </c>
    </row>
    <row r="24" spans="1:9" x14ac:dyDescent="0.25">
      <c r="A24" s="3" t="s">
        <v>18</v>
      </c>
      <c r="B24" s="1">
        <v>2021</v>
      </c>
      <c r="C24" s="1" t="s">
        <v>19</v>
      </c>
      <c r="D24" s="1">
        <v>7600</v>
      </c>
      <c r="E24" s="1">
        <v>1000000</v>
      </c>
      <c r="F24" s="1">
        <v>0</v>
      </c>
      <c r="G24" s="1">
        <v>400</v>
      </c>
      <c r="H24" s="1">
        <v>0</v>
      </c>
      <c r="I24" s="1">
        <v>277700</v>
      </c>
    </row>
    <row r="25" spans="1:9" x14ac:dyDescent="0.25">
      <c r="A25" s="3" t="s">
        <v>18</v>
      </c>
      <c r="B25" s="1">
        <v>2022</v>
      </c>
      <c r="C25" s="1" t="s">
        <v>19</v>
      </c>
      <c r="D25" s="1">
        <v>5100</v>
      </c>
      <c r="E25" s="1">
        <v>900000</v>
      </c>
      <c r="F25" s="1">
        <v>0</v>
      </c>
      <c r="G25" s="1">
        <v>7000</v>
      </c>
      <c r="H25" s="1">
        <v>0</v>
      </c>
      <c r="I25" s="1">
        <v>253200</v>
      </c>
    </row>
    <row r="26" spans="1:9" x14ac:dyDescent="0.25">
      <c r="A26" s="3" t="s">
        <v>18</v>
      </c>
      <c r="B26" s="1">
        <v>2023</v>
      </c>
      <c r="C26" s="1" t="s">
        <v>19</v>
      </c>
      <c r="D26" s="1">
        <v>9600</v>
      </c>
      <c r="E26" s="1">
        <v>900000</v>
      </c>
      <c r="F26" s="1">
        <v>100000</v>
      </c>
      <c r="G26" s="1">
        <v>33500</v>
      </c>
      <c r="H26" s="1">
        <v>0</v>
      </c>
      <c r="I26" s="1">
        <v>373600</v>
      </c>
    </row>
    <row r="27" spans="1:9" x14ac:dyDescent="0.25">
      <c r="A27" s="3" t="s">
        <v>18</v>
      </c>
      <c r="B27" s="1">
        <v>2024</v>
      </c>
      <c r="C27" s="1" t="s">
        <v>19</v>
      </c>
      <c r="D27" s="1">
        <v>6800</v>
      </c>
      <c r="E27" s="1">
        <v>1000000</v>
      </c>
      <c r="F27" s="1">
        <v>100000</v>
      </c>
      <c r="G27" s="1">
        <v>80700</v>
      </c>
      <c r="H27" s="1">
        <v>0</v>
      </c>
      <c r="I27" s="1">
        <v>273000</v>
      </c>
    </row>
    <row r="28" spans="1:9" x14ac:dyDescent="0.25">
      <c r="A28" s="3" t="s">
        <v>18</v>
      </c>
      <c r="B28" s="1">
        <v>2025</v>
      </c>
      <c r="C28" s="1" t="s">
        <v>19</v>
      </c>
      <c r="D28" s="1">
        <v>7300</v>
      </c>
      <c r="E28" s="1">
        <v>1000000</v>
      </c>
      <c r="F28" s="1">
        <v>100000</v>
      </c>
      <c r="G28" s="1">
        <v>122400</v>
      </c>
      <c r="H28" s="1">
        <v>0</v>
      </c>
      <c r="I28" s="1">
        <v>309200</v>
      </c>
    </row>
    <row r="29" spans="1:9" x14ac:dyDescent="0.25">
      <c r="A29" s="3" t="s">
        <v>18</v>
      </c>
      <c r="B29" s="1">
        <v>2026</v>
      </c>
      <c r="C29" s="1" t="s">
        <v>19</v>
      </c>
      <c r="D29" s="1">
        <v>8000</v>
      </c>
      <c r="E29" s="1">
        <v>1000000</v>
      </c>
      <c r="F29" s="1">
        <v>100000</v>
      </c>
      <c r="G29" s="1">
        <v>184300</v>
      </c>
      <c r="H29" s="1">
        <v>0</v>
      </c>
      <c r="I29" s="1">
        <v>367500</v>
      </c>
    </row>
    <row r="30" spans="1:9" x14ac:dyDescent="0.25">
      <c r="A30" s="3" t="s">
        <v>18</v>
      </c>
      <c r="B30" s="1">
        <v>2027</v>
      </c>
      <c r="C30" s="1" t="s">
        <v>19</v>
      </c>
      <c r="D30" s="1">
        <v>9500</v>
      </c>
      <c r="E30" s="1">
        <v>1100000</v>
      </c>
      <c r="F30" s="1">
        <v>100000</v>
      </c>
      <c r="G30" s="1">
        <v>196400</v>
      </c>
      <c r="H30" s="1">
        <v>0</v>
      </c>
      <c r="I30" s="1">
        <v>374400</v>
      </c>
    </row>
    <row r="31" spans="1:9" x14ac:dyDescent="0.25">
      <c r="A31" s="3" t="s">
        <v>18</v>
      </c>
      <c r="B31" s="1">
        <v>2028</v>
      </c>
      <c r="C31" s="1" t="s">
        <v>19</v>
      </c>
      <c r="D31" s="1">
        <v>11400</v>
      </c>
      <c r="E31" s="1">
        <v>1100000</v>
      </c>
      <c r="F31" s="1">
        <v>100000</v>
      </c>
      <c r="G31" s="1">
        <v>202900</v>
      </c>
      <c r="H31" s="1">
        <v>0</v>
      </c>
      <c r="I31" s="1">
        <v>364800</v>
      </c>
    </row>
    <row r="32" spans="1:9" x14ac:dyDescent="0.25">
      <c r="A32" s="3" t="s">
        <v>18</v>
      </c>
      <c r="B32" s="1">
        <v>2029</v>
      </c>
      <c r="C32" s="1" t="s">
        <v>19</v>
      </c>
      <c r="D32" s="1">
        <v>10600</v>
      </c>
      <c r="E32" s="1">
        <v>1000000</v>
      </c>
      <c r="F32" s="1">
        <v>100000</v>
      </c>
      <c r="G32" s="1">
        <v>190700</v>
      </c>
      <c r="H32" s="1">
        <v>0</v>
      </c>
      <c r="I32" s="1">
        <v>342800</v>
      </c>
    </row>
    <row r="33" spans="1:9" x14ac:dyDescent="0.25">
      <c r="A33" s="3" t="s">
        <v>18</v>
      </c>
      <c r="B33" s="1">
        <v>2030</v>
      </c>
      <c r="C33" s="1" t="s">
        <v>19</v>
      </c>
      <c r="D33" s="1">
        <v>11600</v>
      </c>
      <c r="E33" s="1">
        <v>1000000</v>
      </c>
      <c r="F33" s="1">
        <v>100000</v>
      </c>
      <c r="G33" s="1">
        <v>185500</v>
      </c>
      <c r="H33" s="1">
        <v>0</v>
      </c>
      <c r="I33" s="1">
        <v>343300</v>
      </c>
    </row>
    <row r="34" spans="1:9" x14ac:dyDescent="0.25">
      <c r="A34" s="3" t="s">
        <v>18</v>
      </c>
      <c r="B34" s="1">
        <v>2031</v>
      </c>
      <c r="C34" s="1" t="s">
        <v>19</v>
      </c>
      <c r="D34" s="1">
        <v>12600</v>
      </c>
      <c r="E34" s="1">
        <v>1000000</v>
      </c>
      <c r="F34" s="1">
        <v>100000</v>
      </c>
      <c r="G34" s="1">
        <v>183100</v>
      </c>
      <c r="H34" s="1">
        <v>0</v>
      </c>
      <c r="I34" s="1">
        <v>332100</v>
      </c>
    </row>
    <row r="35" spans="1:9" x14ac:dyDescent="0.25">
      <c r="A35" s="3" t="s">
        <v>18</v>
      </c>
      <c r="B35" s="1">
        <v>2032</v>
      </c>
      <c r="C35" s="1" t="s">
        <v>19</v>
      </c>
      <c r="D35" s="1">
        <v>13600</v>
      </c>
      <c r="E35" s="1">
        <v>1100000</v>
      </c>
      <c r="F35" s="1">
        <v>100000</v>
      </c>
      <c r="G35" s="1">
        <v>187900</v>
      </c>
      <c r="H35" s="1">
        <v>0</v>
      </c>
      <c r="I35" s="1">
        <v>336900</v>
      </c>
    </row>
    <row r="36" spans="1:9" x14ac:dyDescent="0.25">
      <c r="A36" s="3" t="s">
        <v>18</v>
      </c>
      <c r="B36" s="1">
        <v>2033</v>
      </c>
      <c r="C36" s="1" t="s">
        <v>19</v>
      </c>
      <c r="D36" s="1">
        <v>14800</v>
      </c>
      <c r="E36" s="1">
        <v>1100000</v>
      </c>
      <c r="F36" s="1">
        <v>100000</v>
      </c>
      <c r="G36" s="1">
        <v>174900</v>
      </c>
      <c r="H36" s="1">
        <v>0</v>
      </c>
      <c r="I36" s="1">
        <v>326900</v>
      </c>
    </row>
    <row r="37" spans="1:9" x14ac:dyDescent="0.25">
      <c r="A37" s="3" t="s">
        <v>18</v>
      </c>
      <c r="B37" s="1">
        <v>2034</v>
      </c>
      <c r="C37" s="1" t="s">
        <v>19</v>
      </c>
      <c r="D37" s="1">
        <v>16600</v>
      </c>
      <c r="E37" s="1">
        <v>1100000</v>
      </c>
      <c r="F37" s="1">
        <v>100000</v>
      </c>
      <c r="G37" s="1">
        <v>182600</v>
      </c>
      <c r="H37" s="1">
        <v>100</v>
      </c>
      <c r="I37" s="1">
        <v>334000</v>
      </c>
    </row>
    <row r="38" spans="1:9" x14ac:dyDescent="0.25">
      <c r="A38" s="3" t="s">
        <v>18</v>
      </c>
      <c r="B38" s="1">
        <v>2035</v>
      </c>
      <c r="C38" s="1" t="s">
        <v>19</v>
      </c>
      <c r="D38" s="1">
        <v>18600</v>
      </c>
      <c r="E38" s="1">
        <v>1100000</v>
      </c>
      <c r="F38" s="1">
        <v>200000</v>
      </c>
      <c r="G38" s="1">
        <v>186600</v>
      </c>
      <c r="H38" s="1">
        <v>100</v>
      </c>
      <c r="I38" s="1">
        <v>343800</v>
      </c>
    </row>
    <row r="39" spans="1:9" x14ac:dyDescent="0.25">
      <c r="A39" s="3" t="s">
        <v>18</v>
      </c>
      <c r="B39" s="1">
        <v>2036</v>
      </c>
      <c r="C39" s="1" t="s">
        <v>19</v>
      </c>
      <c r="D39" s="1">
        <v>20600</v>
      </c>
      <c r="E39" s="1">
        <v>1200000</v>
      </c>
      <c r="F39" s="1">
        <v>200000</v>
      </c>
      <c r="G39" s="1">
        <v>232000</v>
      </c>
      <c r="H39" s="1">
        <v>100</v>
      </c>
      <c r="I39" s="1">
        <v>352800</v>
      </c>
    </row>
    <row r="40" spans="1:9" x14ac:dyDescent="0.25">
      <c r="A40" s="3" t="s">
        <v>18</v>
      </c>
      <c r="B40" s="1">
        <v>2037</v>
      </c>
      <c r="C40" s="1" t="s">
        <v>19</v>
      </c>
      <c r="D40" s="1">
        <v>21400</v>
      </c>
      <c r="E40" s="1">
        <v>1200000</v>
      </c>
      <c r="F40" s="1">
        <v>200000</v>
      </c>
      <c r="G40" s="1">
        <v>299000</v>
      </c>
      <c r="H40" s="1">
        <v>200</v>
      </c>
      <c r="I40" s="1">
        <v>329500</v>
      </c>
    </row>
    <row r="41" spans="1:9" x14ac:dyDescent="0.25">
      <c r="A41" s="3" t="s">
        <v>18</v>
      </c>
      <c r="B41" s="1">
        <v>2038</v>
      </c>
      <c r="C41" s="1" t="s">
        <v>19</v>
      </c>
      <c r="D41" s="1">
        <v>23800</v>
      </c>
      <c r="E41" s="1">
        <v>1200000</v>
      </c>
      <c r="F41" s="1">
        <v>300000</v>
      </c>
      <c r="G41" s="1">
        <v>388900</v>
      </c>
      <c r="H41" s="1">
        <v>200</v>
      </c>
      <c r="I41" s="1">
        <v>298900</v>
      </c>
    </row>
    <row r="42" spans="1:9" x14ac:dyDescent="0.25">
      <c r="A42" s="3" t="s">
        <v>18</v>
      </c>
      <c r="B42" s="1">
        <v>2039</v>
      </c>
      <c r="C42" s="1" t="s">
        <v>19</v>
      </c>
      <c r="D42" s="1">
        <v>27300</v>
      </c>
      <c r="E42" s="1">
        <v>1200000</v>
      </c>
      <c r="F42" s="1">
        <v>300000</v>
      </c>
      <c r="G42" s="1">
        <v>502600</v>
      </c>
      <c r="H42" s="1">
        <v>300</v>
      </c>
      <c r="I42" s="1">
        <v>306800</v>
      </c>
    </row>
    <row r="43" spans="1:9" x14ac:dyDescent="0.25">
      <c r="A43" s="3" t="s">
        <v>18</v>
      </c>
      <c r="B43" s="1">
        <v>2040</v>
      </c>
      <c r="C43" s="1" t="s">
        <v>19</v>
      </c>
      <c r="D43" s="1">
        <v>31300</v>
      </c>
      <c r="E43" s="1">
        <v>1300000</v>
      </c>
      <c r="F43" s="1">
        <v>400000</v>
      </c>
      <c r="G43" s="1">
        <v>658300</v>
      </c>
      <c r="H43" s="1">
        <v>400</v>
      </c>
      <c r="I43" s="1">
        <v>319100</v>
      </c>
    </row>
    <row r="45" spans="1:9" x14ac:dyDescent="0.25">
      <c r="D45" s="1"/>
      <c r="E45" s="1"/>
      <c r="F45" s="1"/>
      <c r="G45" s="1"/>
      <c r="H45" s="1"/>
      <c r="I45" s="1"/>
    </row>
  </sheetData>
  <autoFilter ref="A1:I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A7953-4E28-45DF-B058-FB322A3D694B}">
  <dimension ref="A1:I43"/>
  <sheetViews>
    <sheetView workbookViewId="0">
      <selection activeCell="L19" sqref="L19"/>
    </sheetView>
  </sheetViews>
  <sheetFormatPr baseColWidth="10" defaultRowHeight="12.5" x14ac:dyDescent="0.25"/>
  <cols>
    <col min="1" max="1" width="16.7265625" bestFit="1" customWidth="1"/>
  </cols>
  <sheetData>
    <row r="1" spans="1:9" ht="13" x14ac:dyDescent="0.3">
      <c r="A1" s="5" t="s">
        <v>8</v>
      </c>
      <c r="B1" s="5" t="s">
        <v>9</v>
      </c>
      <c r="C1" s="5" t="s">
        <v>16</v>
      </c>
      <c r="D1" s="2" t="s">
        <v>0</v>
      </c>
      <c r="E1" s="2" t="s">
        <v>1</v>
      </c>
      <c r="F1" s="2" t="s">
        <v>2</v>
      </c>
      <c r="G1" s="2" t="s">
        <v>3</v>
      </c>
      <c r="H1" s="2" t="s">
        <v>4</v>
      </c>
      <c r="I1" s="2" t="s">
        <v>5</v>
      </c>
    </row>
    <row r="2" spans="1:9" x14ac:dyDescent="0.25">
      <c r="A2" s="3" t="s">
        <v>17</v>
      </c>
      <c r="B2" s="1">
        <v>2020</v>
      </c>
      <c r="C2" s="1" t="s">
        <v>19</v>
      </c>
      <c r="D2" s="1">
        <f>Production_mining!D2*Chartier_Poncelet!$D$12</f>
        <v>1405.9090101983309</v>
      </c>
      <c r="E2" s="1">
        <f>Production_mining!E2*Chartier_Poncelet!$D$14</f>
        <v>443166.5254237288</v>
      </c>
      <c r="F2" s="1">
        <f>Production_mining!F2</f>
        <v>8200</v>
      </c>
      <c r="G2" s="1">
        <f>Production_mining!G2*Chartier_Poncelet!$D$28</f>
        <v>0</v>
      </c>
      <c r="H2" s="1">
        <f>Production_mining!H2*Chartier_Poncelet!$D$34</f>
        <v>0</v>
      </c>
      <c r="I2" s="1">
        <f>Production_mining!I2*Chartier_Poncelet!$D$35</f>
        <v>121598.49151477059</v>
      </c>
    </row>
    <row r="3" spans="1:9" x14ac:dyDescent="0.25">
      <c r="A3" s="3" t="s">
        <v>17</v>
      </c>
      <c r="B3" s="1">
        <v>2021</v>
      </c>
      <c r="C3" s="1" t="s">
        <v>19</v>
      </c>
      <c r="D3" s="1">
        <f>Production_mining!D3*Chartier_Poncelet!$D$12</f>
        <v>1669.5169496105179</v>
      </c>
      <c r="E3" s="1">
        <f>Production_mining!E3*Chartier_Poncelet!$D$14</f>
        <v>407773.30508474575</v>
      </c>
      <c r="F3" s="1">
        <f>Production_mining!F3</f>
        <v>4200</v>
      </c>
      <c r="G3" s="1">
        <f>Production_mining!G3*Chartier_Poncelet!$D$28</f>
        <v>139.83409418310779</v>
      </c>
      <c r="H3" s="1">
        <f>Production_mining!H3*Chartier_Poncelet!$D$34</f>
        <v>0</v>
      </c>
      <c r="I3" s="1">
        <f>Production_mining!I3*Chartier_Poncelet!$D$35</f>
        <v>109391.38906348209</v>
      </c>
    </row>
    <row r="4" spans="1:9" x14ac:dyDescent="0.25">
      <c r="A4" s="3" t="s">
        <v>17</v>
      </c>
      <c r="B4" s="1">
        <v>2022</v>
      </c>
      <c r="C4" s="1" t="s">
        <v>19</v>
      </c>
      <c r="D4" s="1">
        <f>Production_mining!D4*Chartier_Poncelet!$D$12</f>
        <v>1098.3664142174459</v>
      </c>
      <c r="E4" s="1">
        <f>Production_mining!E4*Chartier_Poncelet!$D$14</f>
        <v>384316.94915254239</v>
      </c>
      <c r="F4" s="1">
        <f>Production_mining!F4</f>
        <v>13600</v>
      </c>
      <c r="G4" s="1">
        <f>Production_mining!G4*Chartier_Poncelet!$D$28</f>
        <v>2447.0966482043864</v>
      </c>
      <c r="H4" s="1">
        <f>Production_mining!H4*Chartier_Poncelet!$D$34</f>
        <v>0</v>
      </c>
      <c r="I4" s="1">
        <f>Production_mining!I4*Chartier_Poncelet!$D$35</f>
        <v>99704.46260213702</v>
      </c>
    </row>
    <row r="5" spans="1:9" x14ac:dyDescent="0.25">
      <c r="A5" s="3" t="s">
        <v>17</v>
      </c>
      <c r="B5" s="1">
        <v>2023</v>
      </c>
      <c r="C5" s="1" t="s">
        <v>19</v>
      </c>
      <c r="D5" s="1">
        <f>Production_mining!D5*Chartier_Poncelet!$D$12</f>
        <v>2108.8635152974962</v>
      </c>
      <c r="E5" s="1">
        <f>Production_mining!E5*Chartier_Poncelet!$D$14</f>
        <v>337237.28813559323</v>
      </c>
      <c r="F5" s="1">
        <f>Production_mining!F5</f>
        <v>4200</v>
      </c>
      <c r="G5" s="1">
        <f>Production_mining!G5*Chartier_Poncelet!$D$28</f>
        <v>11676.146864289502</v>
      </c>
      <c r="H5" s="1">
        <f>Production_mining!H5*Chartier_Poncelet!$D$34</f>
        <v>0</v>
      </c>
      <c r="I5" s="1">
        <f>Production_mining!I5*Chartier_Poncelet!$D$35</f>
        <v>147115.27341294783</v>
      </c>
    </row>
    <row r="6" spans="1:9" x14ac:dyDescent="0.25">
      <c r="A6" s="3" t="s">
        <v>17</v>
      </c>
      <c r="B6" s="1">
        <v>2024</v>
      </c>
      <c r="C6" s="1" t="s">
        <v>19</v>
      </c>
      <c r="D6" s="1">
        <f>Production_mining!D6*Chartier_Poncelet!$D$12</f>
        <v>1493.7783233357266</v>
      </c>
      <c r="E6" s="1">
        <f>Production_mining!E6*Chartier_Poncelet!$D$14</f>
        <v>399759.74576271186</v>
      </c>
      <c r="F6" s="1">
        <f>Production_mining!F6</f>
        <v>6300</v>
      </c>
      <c r="G6" s="1">
        <f>Production_mining!G6*Chartier_Poncelet!$D$28</f>
        <v>27896.901789530006</v>
      </c>
      <c r="H6" s="1">
        <f>Production_mining!H6*Chartier_Poncelet!$D$34</f>
        <v>0</v>
      </c>
      <c r="I6" s="1">
        <f>Production_mining!I6*Chartier_Poncelet!$D$35</f>
        <v>106004.90257699561</v>
      </c>
    </row>
    <row r="7" spans="1:9" x14ac:dyDescent="0.25">
      <c r="A7" s="3" t="s">
        <v>17</v>
      </c>
      <c r="B7" s="1">
        <v>2025</v>
      </c>
      <c r="C7" s="1" t="s">
        <v>19</v>
      </c>
      <c r="D7" s="1">
        <f>Production_mining!D7*Chartier_Poncelet!$D$12</f>
        <v>1537.7129799044244</v>
      </c>
      <c r="E7" s="1">
        <f>Production_mining!E7*Chartier_Poncelet!$D$14</f>
        <v>403933.4745762712</v>
      </c>
      <c r="F7" s="1">
        <f>Production_mining!F7</f>
        <v>0</v>
      </c>
      <c r="G7" s="1">
        <f>Production_mining!G7*Chartier_Poncelet!$D$28</f>
        <v>26288.809706424265</v>
      </c>
      <c r="H7" s="1">
        <f>Production_mining!H7*Chartier_Poncelet!$D$34</f>
        <v>0</v>
      </c>
      <c r="I7" s="1">
        <f>Production_mining!I7*Chartier_Poncelet!$D$35</f>
        <v>121756.00251414205</v>
      </c>
    </row>
    <row r="8" spans="1:9" x14ac:dyDescent="0.25">
      <c r="A8" s="3" t="s">
        <v>17</v>
      </c>
      <c r="B8" s="1">
        <v>2026</v>
      </c>
      <c r="C8" s="1" t="s">
        <v>19</v>
      </c>
      <c r="D8" s="1">
        <f>Production_mining!D8*Chartier_Poncelet!$D$12</f>
        <v>1537.7129799044244</v>
      </c>
      <c r="E8" s="1">
        <f>Production_mining!E8*Chartier_Poncelet!$D$14</f>
        <v>397005.0847457627</v>
      </c>
      <c r="F8" s="1">
        <f>Production_mining!F8</f>
        <v>0</v>
      </c>
      <c r="G8" s="1">
        <f>Production_mining!G8*Chartier_Poncelet!$D$28</f>
        <v>27966.818836621558</v>
      </c>
      <c r="H8" s="1">
        <f>Production_mining!H8*Chartier_Poncelet!$D$34</f>
        <v>0</v>
      </c>
      <c r="I8" s="1">
        <f>Production_mining!I8*Chartier_Poncelet!$D$35</f>
        <v>124827.46700188561</v>
      </c>
    </row>
    <row r="9" spans="1:9" x14ac:dyDescent="0.25">
      <c r="A9" s="3" t="s">
        <v>17</v>
      </c>
      <c r="B9" s="1">
        <v>2027</v>
      </c>
      <c r="C9" s="1" t="s">
        <v>19</v>
      </c>
      <c r="D9" s="1">
        <f>Production_mining!D9*Chartier_Poncelet!$D$12</f>
        <v>1845.2555758853093</v>
      </c>
      <c r="E9" s="1">
        <f>Production_mining!E9*Chartier_Poncelet!$D$14</f>
        <v>413199.15254237287</v>
      </c>
      <c r="F9" s="1">
        <f>Production_mining!F9</f>
        <v>0</v>
      </c>
      <c r="G9" s="1">
        <f>Production_mining!G9*Chartier_Poncelet!$D$28</f>
        <v>29155.408637177974</v>
      </c>
      <c r="H9" s="1">
        <f>Production_mining!H9*Chartier_Poncelet!$D$34</f>
        <v>0</v>
      </c>
      <c r="I9" s="1">
        <f>Production_mining!I9*Chartier_Poncelet!$D$35</f>
        <v>124827.46700188561</v>
      </c>
    </row>
    <row r="10" spans="1:9" x14ac:dyDescent="0.25">
      <c r="A10" s="3" t="s">
        <v>17</v>
      </c>
      <c r="B10" s="1">
        <v>2028</v>
      </c>
      <c r="C10" s="1" t="s">
        <v>19</v>
      </c>
      <c r="D10" s="1">
        <f>Production_mining!D10*Chartier_Poncelet!$D$12</f>
        <v>1845.2555758853093</v>
      </c>
      <c r="E10" s="1">
        <f>Production_mining!E10*Chartier_Poncelet!$D$14</f>
        <v>384901.27118644066</v>
      </c>
      <c r="F10" s="1">
        <f>Production_mining!F10</f>
        <v>0</v>
      </c>
      <c r="G10" s="1">
        <f>Production_mining!G10*Chartier_Poncelet!$D$28</f>
        <v>28176.569977896219</v>
      </c>
      <c r="H10" s="1">
        <f>Production_mining!H10*Chartier_Poncelet!$D$34</f>
        <v>0</v>
      </c>
      <c r="I10" s="1">
        <f>Production_mining!I10*Chartier_Poncelet!$D$35</f>
        <v>121913.51351351352</v>
      </c>
    </row>
    <row r="11" spans="1:9" x14ac:dyDescent="0.25">
      <c r="A11" s="3" t="s">
        <v>17</v>
      </c>
      <c r="B11" s="1">
        <v>2029</v>
      </c>
      <c r="C11" s="1" t="s">
        <v>19</v>
      </c>
      <c r="D11" s="1">
        <f>Production_mining!D11*Chartier_Poncelet!$D$12</f>
        <v>1713.4516061792158</v>
      </c>
      <c r="E11" s="1">
        <f>Production_mining!E11*Chartier_Poncelet!$D$14</f>
        <v>290741.94915254239</v>
      </c>
      <c r="F11" s="1">
        <f>Production_mining!F11</f>
        <v>0</v>
      </c>
      <c r="G11" s="1">
        <f>Production_mining!G11*Chartier_Poncelet!$D$28</f>
        <v>26498.560847698925</v>
      </c>
      <c r="H11" s="1">
        <f>Production_mining!H11*Chartier_Poncelet!$D$34</f>
        <v>0</v>
      </c>
      <c r="I11" s="1">
        <f>Production_mining!I11*Chartier_Poncelet!$D$35</f>
        <v>119787.11502199875</v>
      </c>
    </row>
    <row r="12" spans="1:9" x14ac:dyDescent="0.25">
      <c r="A12" s="3" t="s">
        <v>17</v>
      </c>
      <c r="B12" s="1">
        <v>2030</v>
      </c>
      <c r="C12" s="1" t="s">
        <v>19</v>
      </c>
      <c r="D12" s="1">
        <f>Production_mining!D12*Chartier_Poncelet!$D$12</f>
        <v>1713.4516061792158</v>
      </c>
      <c r="E12" s="1">
        <f>Production_mining!E12*Chartier_Poncelet!$D$14</f>
        <v>276885.16949152545</v>
      </c>
      <c r="F12" s="1">
        <f>Production_mining!F12</f>
        <v>0</v>
      </c>
      <c r="G12" s="1">
        <f>Production_mining!G12*Chartier_Poncelet!$D$28</f>
        <v>27267.64836570602</v>
      </c>
      <c r="H12" s="1">
        <f>Production_mining!H12*Chartier_Poncelet!$D$34</f>
        <v>0</v>
      </c>
      <c r="I12" s="1">
        <f>Production_mining!I12*Chartier_Poncelet!$D$35</f>
        <v>118290.76052796983</v>
      </c>
    </row>
    <row r="13" spans="1:9" x14ac:dyDescent="0.25">
      <c r="A13" s="3" t="s">
        <v>17</v>
      </c>
      <c r="B13" s="1">
        <v>2031</v>
      </c>
      <c r="C13" s="1" t="s">
        <v>19</v>
      </c>
      <c r="D13" s="1">
        <f>Production_mining!D13*Chartier_Poncelet!$D$12</f>
        <v>1625.5822930418201</v>
      </c>
      <c r="E13" s="1">
        <f>Production_mining!E13*Chartier_Poncelet!$D$14</f>
        <v>259689.40677966102</v>
      </c>
      <c r="F13" s="1">
        <f>Production_mining!F13</f>
        <v>0</v>
      </c>
      <c r="G13" s="1">
        <f>Production_mining!G13*Chartier_Poncelet!$D$28</f>
        <v>26708.31198897359</v>
      </c>
      <c r="H13" s="1">
        <f>Production_mining!H13*Chartier_Poncelet!$D$34</f>
        <v>0</v>
      </c>
      <c r="I13" s="1">
        <f>Production_mining!I13*Chartier_Poncelet!$D$35</f>
        <v>109706.41106222502</v>
      </c>
    </row>
    <row r="14" spans="1:9" x14ac:dyDescent="0.25">
      <c r="A14" s="3" t="s">
        <v>17</v>
      </c>
      <c r="B14" s="1">
        <v>2032</v>
      </c>
      <c r="C14" s="1" t="s">
        <v>19</v>
      </c>
      <c r="D14" s="1">
        <f>Production_mining!D14*Chartier_Poncelet!$D$12</f>
        <v>1493.7783233357266</v>
      </c>
      <c r="E14" s="1">
        <f>Production_mining!E14*Chartier_Poncelet!$D$14</f>
        <v>258353.81355932204</v>
      </c>
      <c r="F14" s="1">
        <f>Production_mining!F14</f>
        <v>0</v>
      </c>
      <c r="G14" s="1">
        <f>Production_mining!G14*Chartier_Poncelet!$D$28</f>
        <v>28386.321119170883</v>
      </c>
      <c r="H14" s="1">
        <f>Production_mining!H14*Chartier_Poncelet!$D$34</f>
        <v>0</v>
      </c>
      <c r="I14" s="1">
        <f>Production_mining!I14*Chartier_Poncelet!$D$35</f>
        <v>109706.41106222502</v>
      </c>
    </row>
    <row r="15" spans="1:9" x14ac:dyDescent="0.25">
      <c r="A15" s="3" t="s">
        <v>17</v>
      </c>
      <c r="B15" s="1">
        <v>2033</v>
      </c>
      <c r="C15" s="1" t="s">
        <v>19</v>
      </c>
      <c r="D15" s="1">
        <f>Production_mining!D15*Chartier_Poncelet!$D$12</f>
        <v>1361.974353629633</v>
      </c>
      <c r="E15" s="1">
        <f>Production_mining!E15*Chartier_Poncelet!$D$14</f>
        <v>231141.10169491524</v>
      </c>
      <c r="F15" s="1">
        <f>Production_mining!F15</f>
        <v>0</v>
      </c>
      <c r="G15" s="1">
        <f>Production_mining!G15*Chartier_Poncelet!$D$28</f>
        <v>26428.643800607373</v>
      </c>
      <c r="H15" s="1">
        <f>Production_mining!H15*Chartier_Poncelet!$D$34</f>
        <v>0</v>
      </c>
      <c r="I15" s="1">
        <f>Production_mining!I15*Chartier_Poncelet!$D$35</f>
        <v>94742.866121935891</v>
      </c>
    </row>
    <row r="16" spans="1:9" x14ac:dyDescent="0.25">
      <c r="A16" s="3" t="s">
        <v>17</v>
      </c>
      <c r="B16" s="1">
        <v>2034</v>
      </c>
      <c r="C16" s="1" t="s">
        <v>19</v>
      </c>
      <c r="D16" s="1">
        <f>Production_mining!D16*Chartier_Poncelet!$D$12</f>
        <v>1361.974353629633</v>
      </c>
      <c r="E16" s="1">
        <f>Production_mining!E16*Chartier_Poncelet!$D$14</f>
        <v>221875.42372881356</v>
      </c>
      <c r="F16" s="1">
        <f>Production_mining!F16</f>
        <v>0</v>
      </c>
      <c r="G16" s="1">
        <f>Production_mining!G16*Chartier_Poncelet!$D$28</f>
        <v>27826.98474243845</v>
      </c>
      <c r="H16" s="1">
        <f>Production_mining!H16*Chartier_Poncelet!$D$34</f>
        <v>0</v>
      </c>
      <c r="I16" s="1">
        <f>Production_mining!I16*Chartier_Poncelet!$D$35</f>
        <v>92931.489629164047</v>
      </c>
    </row>
    <row r="17" spans="1:9" x14ac:dyDescent="0.25">
      <c r="A17" s="3" t="s">
        <v>17</v>
      </c>
      <c r="B17" s="1">
        <v>2035</v>
      </c>
      <c r="C17" s="1" t="s">
        <v>19</v>
      </c>
      <c r="D17" s="1">
        <f>Production_mining!D17*Chartier_Poncelet!$D$12</f>
        <v>1361.974353629633</v>
      </c>
      <c r="E17" s="1">
        <f>Production_mining!E17*Chartier_Poncelet!$D$14</f>
        <v>224463.13559322033</v>
      </c>
      <c r="F17" s="1">
        <f>Production_mining!F17</f>
        <v>0</v>
      </c>
      <c r="G17" s="1">
        <f>Production_mining!G17*Chartier_Poncelet!$D$28</f>
        <v>28316.404072079327</v>
      </c>
      <c r="H17" s="1">
        <f>Production_mining!H17*Chartier_Poncelet!$D$34</f>
        <v>0</v>
      </c>
      <c r="I17" s="1">
        <f>Production_mining!I17*Chartier_Poncelet!$D$35</f>
        <v>92931.489629164047</v>
      </c>
    </row>
    <row r="18" spans="1:9" x14ac:dyDescent="0.25">
      <c r="A18" s="3" t="s">
        <v>17</v>
      </c>
      <c r="B18" s="1">
        <v>2036</v>
      </c>
      <c r="C18" s="1" t="s">
        <v>19</v>
      </c>
      <c r="D18" s="1">
        <f>Production_mining!D18*Chartier_Poncelet!$D$12</f>
        <v>1230.1703839235395</v>
      </c>
      <c r="E18" s="1">
        <f>Production_mining!E18*Chartier_Poncelet!$D$14</f>
        <v>217785.16949152539</v>
      </c>
      <c r="F18" s="1">
        <f>Production_mining!F18</f>
        <v>0</v>
      </c>
      <c r="G18" s="1">
        <f>Production_mining!G18*Chartier_Poncelet!$D$28</f>
        <v>26009.141518058048</v>
      </c>
      <c r="H18" s="1">
        <f>Production_mining!H18*Chartier_Poncelet!$D$34</f>
        <v>0</v>
      </c>
      <c r="I18" s="1">
        <f>Production_mining!I18*Chartier_Poncelet!$D$35</f>
        <v>91907.668133249535</v>
      </c>
    </row>
    <row r="19" spans="1:9" x14ac:dyDescent="0.25">
      <c r="A19" s="3" t="s">
        <v>17</v>
      </c>
      <c r="B19" s="1">
        <v>2037</v>
      </c>
      <c r="C19" s="1" t="s">
        <v>19</v>
      </c>
      <c r="D19" s="1">
        <f>Production_mining!D19*Chartier_Poncelet!$D$12</f>
        <v>395.41190911828056</v>
      </c>
      <c r="E19" s="1">
        <f>Production_mining!E19*Chartier_Poncelet!$D$14</f>
        <v>180889.40677966102</v>
      </c>
      <c r="F19" s="1">
        <f>Production_mining!F19</f>
        <v>0</v>
      </c>
      <c r="G19" s="1">
        <f>Production_mining!G19*Chartier_Poncelet!$D$28</f>
        <v>27477.399506980681</v>
      </c>
      <c r="H19" s="1">
        <f>Production_mining!H19*Chartier_Poncelet!$D$34</f>
        <v>0</v>
      </c>
      <c r="I19" s="1">
        <f>Production_mining!I19*Chartier_Poncelet!$D$35</f>
        <v>65130.798240100565</v>
      </c>
    </row>
    <row r="20" spans="1:9" x14ac:dyDescent="0.25">
      <c r="A20" s="3" t="s">
        <v>17</v>
      </c>
      <c r="B20" s="1">
        <v>2038</v>
      </c>
      <c r="C20" s="1" t="s">
        <v>19</v>
      </c>
      <c r="D20" s="1">
        <f>Production_mining!D20*Chartier_Poncelet!$D$12</f>
        <v>131.80396970609351</v>
      </c>
      <c r="E20" s="1">
        <f>Production_mining!E20*Chartier_Poncelet!$D$14</f>
        <v>124877.96610169491</v>
      </c>
      <c r="F20" s="1">
        <f>Production_mining!F20</f>
        <v>0</v>
      </c>
      <c r="G20" s="1">
        <f>Production_mining!G20*Chartier_Poncelet!$D$28</f>
        <v>29784.66206100196</v>
      </c>
      <c r="H20" s="1">
        <f>Production_mining!H20*Chartier_Poncelet!$D$34</f>
        <v>0</v>
      </c>
      <c r="I20" s="1">
        <f>Production_mining!I20*Chartier_Poncelet!$D$35</f>
        <v>32132.243871778755</v>
      </c>
    </row>
    <row r="21" spans="1:9" x14ac:dyDescent="0.25">
      <c r="A21" s="3" t="s">
        <v>17</v>
      </c>
      <c r="B21" s="1">
        <v>2039</v>
      </c>
      <c r="C21" s="1" t="s">
        <v>19</v>
      </c>
      <c r="D21" s="1">
        <f>Production_mining!D21*Chartier_Poncelet!$D$12</f>
        <v>131.80396970609351</v>
      </c>
      <c r="E21" s="1">
        <f>Production_mining!E21*Chartier_Poncelet!$D$14</f>
        <v>145329.2372881356</v>
      </c>
      <c r="F21" s="1">
        <f>Production_mining!F21</f>
        <v>0</v>
      </c>
      <c r="G21" s="1">
        <f>Production_mining!G21*Chartier_Poncelet!$D$28</f>
        <v>28665.989307537096</v>
      </c>
      <c r="H21" s="1">
        <f>Production_mining!H21*Chartier_Poncelet!$D$34</f>
        <v>0</v>
      </c>
      <c r="I21" s="1">
        <f>Production_mining!I21*Chartier_Poncelet!$D$35</f>
        <v>29139.534883720931</v>
      </c>
    </row>
    <row r="22" spans="1:9" x14ac:dyDescent="0.25">
      <c r="A22" s="3" t="s">
        <v>17</v>
      </c>
      <c r="B22" s="1">
        <v>2040</v>
      </c>
      <c r="C22" s="1" t="s">
        <v>19</v>
      </c>
      <c r="D22" s="1">
        <f>Production_mining!D22*Chartier_Poncelet!$D$12</f>
        <v>131.80396970609351</v>
      </c>
      <c r="E22" s="1">
        <f>Production_mining!E22*Chartier_Poncelet!$D$14</f>
        <v>152758.4745762712</v>
      </c>
      <c r="F22" s="1">
        <f>Production_mining!F22</f>
        <v>0</v>
      </c>
      <c r="G22" s="1">
        <f>Production_mining!G22*Chartier_Poncelet!$D$28</f>
        <v>29924.496155185068</v>
      </c>
      <c r="H22" s="1">
        <f>Production_mining!H22*Chartier_Poncelet!$D$34</f>
        <v>0</v>
      </c>
      <c r="I22" s="1">
        <f>Production_mining!I22*Chartier_Poncelet!$D$35</f>
        <v>29139.534883720931</v>
      </c>
    </row>
    <row r="23" spans="1:9" x14ac:dyDescent="0.25">
      <c r="A23" s="3" t="s">
        <v>18</v>
      </c>
      <c r="B23" s="1">
        <v>2020</v>
      </c>
      <c r="C23" s="1" t="s">
        <v>19</v>
      </c>
      <c r="D23" s="1">
        <f>Production_mining!D23*Chartier_Poncelet!$D$12</f>
        <v>2855.7526769653596</v>
      </c>
      <c r="E23" s="1">
        <f>Production_mining!E23*Chartier_Poncelet!$D$14</f>
        <v>918220.3389830509</v>
      </c>
      <c r="F23" s="1">
        <f>Production_mining!F23</f>
        <v>0</v>
      </c>
      <c r="G23" s="1">
        <f>Production_mining!G23*Chartier_Poncelet!$D$28</f>
        <v>0</v>
      </c>
      <c r="H23" s="1">
        <f>Production_mining!H23*Chartier_Poncelet!$D$34</f>
        <v>0</v>
      </c>
      <c r="I23" s="1">
        <f>Production_mining!I23*Chartier_Poncelet!$D$35</f>
        <v>243196.98302954118</v>
      </c>
    </row>
    <row r="24" spans="1:9" x14ac:dyDescent="0.25">
      <c r="A24" s="3" t="s">
        <v>18</v>
      </c>
      <c r="B24" s="1">
        <v>2021</v>
      </c>
      <c r="C24" s="1" t="s">
        <v>19</v>
      </c>
      <c r="D24" s="1">
        <f>Production_mining!D24*Chartier_Poncelet!$D$12</f>
        <v>3339.0338992210359</v>
      </c>
      <c r="E24" s="1">
        <f>Production_mining!E24*Chartier_Poncelet!$D$14</f>
        <v>834745.76271186443</v>
      </c>
      <c r="F24" s="1">
        <f>Production_mining!F24</f>
        <v>0</v>
      </c>
      <c r="G24" s="1">
        <f>Production_mining!G24*Chartier_Poncelet!$D$28</f>
        <v>279.66818836621559</v>
      </c>
      <c r="H24" s="1">
        <f>Production_mining!H24*Chartier_Poncelet!$D$34</f>
        <v>0</v>
      </c>
      <c r="I24" s="1">
        <f>Production_mining!I24*Chartier_Poncelet!$D$35</f>
        <v>218704.02262727843</v>
      </c>
    </row>
    <row r="25" spans="1:9" x14ac:dyDescent="0.25">
      <c r="A25" s="3" t="s">
        <v>18</v>
      </c>
      <c r="B25" s="1">
        <v>2022</v>
      </c>
      <c r="C25" s="1" t="s">
        <v>19</v>
      </c>
      <c r="D25" s="1">
        <f>Production_mining!D25*Chartier_Poncelet!$D$12</f>
        <v>2240.6674850035897</v>
      </c>
      <c r="E25" s="1">
        <f>Production_mining!E25*Chartier_Poncelet!$D$14</f>
        <v>751271.18644067796</v>
      </c>
      <c r="F25" s="1">
        <f>Production_mining!F25</f>
        <v>0</v>
      </c>
      <c r="G25" s="1">
        <f>Production_mining!G25*Chartier_Poncelet!$D$28</f>
        <v>4894.1932964087728</v>
      </c>
      <c r="H25" s="1">
        <f>Production_mining!H25*Chartier_Poncelet!$D$34</f>
        <v>0</v>
      </c>
      <c r="I25" s="1">
        <f>Production_mining!I25*Chartier_Poncelet!$D$35</f>
        <v>199408.92520427404</v>
      </c>
    </row>
    <row r="26" spans="1:9" x14ac:dyDescent="0.25">
      <c r="A26" s="3" t="s">
        <v>18</v>
      </c>
      <c r="B26" s="1">
        <v>2023</v>
      </c>
      <c r="C26" s="1" t="s">
        <v>19</v>
      </c>
      <c r="D26" s="1">
        <f>Production_mining!D26*Chartier_Poncelet!$D$12</f>
        <v>4217.7270305949924</v>
      </c>
      <c r="E26" s="1">
        <f>Production_mining!E26*Chartier_Poncelet!$D$14</f>
        <v>751271.18644067796</v>
      </c>
      <c r="F26" s="1">
        <f>Production_mining!F26</f>
        <v>100000</v>
      </c>
      <c r="G26" s="1">
        <f>Production_mining!G26*Chartier_Poncelet!$D$28</f>
        <v>23422.210775670555</v>
      </c>
      <c r="H26" s="1">
        <f>Production_mining!H26*Chartier_Poncelet!$D$34</f>
        <v>0</v>
      </c>
      <c r="I26" s="1">
        <f>Production_mining!I26*Chartier_Poncelet!$D$35</f>
        <v>294230.54682589567</v>
      </c>
    </row>
    <row r="27" spans="1:9" x14ac:dyDescent="0.25">
      <c r="A27" s="3" t="s">
        <v>18</v>
      </c>
      <c r="B27" s="1">
        <v>2024</v>
      </c>
      <c r="C27" s="1" t="s">
        <v>19</v>
      </c>
      <c r="D27" s="1">
        <f>Production_mining!D27*Chartier_Poncelet!$D$12</f>
        <v>2987.5566466714531</v>
      </c>
      <c r="E27" s="1">
        <f>Production_mining!E27*Chartier_Poncelet!$D$14</f>
        <v>834745.76271186443</v>
      </c>
      <c r="F27" s="1">
        <f>Production_mining!F27</f>
        <v>100000</v>
      </c>
      <c r="G27" s="1">
        <f>Production_mining!G27*Chartier_Poncelet!$D$28</f>
        <v>56423.057002883994</v>
      </c>
      <c r="H27" s="1">
        <f>Production_mining!H27*Chartier_Poncelet!$D$34</f>
        <v>0</v>
      </c>
      <c r="I27" s="1">
        <f>Production_mining!I27*Chartier_Poncelet!$D$35</f>
        <v>215002.51414204904</v>
      </c>
    </row>
    <row r="28" spans="1:9" x14ac:dyDescent="0.25">
      <c r="A28" s="3" t="s">
        <v>18</v>
      </c>
      <c r="B28" s="1">
        <v>2025</v>
      </c>
      <c r="C28" s="1" t="s">
        <v>19</v>
      </c>
      <c r="D28" s="1">
        <f>Production_mining!D28*Chartier_Poncelet!$D$12</f>
        <v>3207.2299295149423</v>
      </c>
      <c r="E28" s="1">
        <f>Production_mining!E28*Chartier_Poncelet!$D$14</f>
        <v>834745.76271186443</v>
      </c>
      <c r="F28" s="1">
        <f>Production_mining!F28</f>
        <v>100000</v>
      </c>
      <c r="G28" s="1">
        <f>Production_mining!G28*Chartier_Poncelet!$D$28</f>
        <v>85578.465640061971</v>
      </c>
      <c r="H28" s="1">
        <f>Production_mining!H28*Chartier_Poncelet!$D$34</f>
        <v>0</v>
      </c>
      <c r="I28" s="1">
        <f>Production_mining!I28*Chartier_Poncelet!$D$35</f>
        <v>243512.0050282841</v>
      </c>
    </row>
    <row r="29" spans="1:9" x14ac:dyDescent="0.25">
      <c r="A29" s="3" t="s">
        <v>18</v>
      </c>
      <c r="B29" s="1">
        <v>2026</v>
      </c>
      <c r="C29" s="1" t="s">
        <v>19</v>
      </c>
      <c r="D29" s="1">
        <f>Production_mining!D29*Chartier_Poncelet!$D$12</f>
        <v>3514.7725254958273</v>
      </c>
      <c r="E29" s="1">
        <f>Production_mining!E29*Chartier_Poncelet!$D$14</f>
        <v>834745.76271186443</v>
      </c>
      <c r="F29" s="1">
        <f>Production_mining!F29</f>
        <v>100000</v>
      </c>
      <c r="G29" s="1">
        <f>Production_mining!G29*Chartier_Poncelet!$D$28</f>
        <v>128857.11778973383</v>
      </c>
      <c r="H29" s="1">
        <f>Production_mining!H29*Chartier_Poncelet!$D$34</f>
        <v>0</v>
      </c>
      <c r="I29" s="1">
        <f>Production_mining!I29*Chartier_Poncelet!$D$35</f>
        <v>289426.46134506603</v>
      </c>
    </row>
    <row r="30" spans="1:9" x14ac:dyDescent="0.25">
      <c r="A30" s="3" t="s">
        <v>18</v>
      </c>
      <c r="B30" s="1">
        <v>2027</v>
      </c>
      <c r="C30" s="1" t="s">
        <v>19</v>
      </c>
      <c r="D30" s="1">
        <f>Production_mining!D30*Chartier_Poncelet!$D$12</f>
        <v>4173.792374026295</v>
      </c>
      <c r="E30" s="1">
        <f>Production_mining!E30*Chartier_Poncelet!$D$14</f>
        <v>918220.3389830509</v>
      </c>
      <c r="F30" s="1">
        <f>Production_mining!F30</f>
        <v>100000</v>
      </c>
      <c r="G30" s="1">
        <f>Production_mining!G30*Chartier_Poncelet!$D$28</f>
        <v>137317.08048781185</v>
      </c>
      <c r="H30" s="1">
        <f>Production_mining!H30*Chartier_Poncelet!$D$34</f>
        <v>0</v>
      </c>
      <c r="I30" s="1">
        <f>Production_mining!I30*Chartier_Poncelet!$D$35</f>
        <v>294860.5908233815</v>
      </c>
    </row>
    <row r="31" spans="1:9" x14ac:dyDescent="0.25">
      <c r="A31" s="3" t="s">
        <v>18</v>
      </c>
      <c r="B31" s="1">
        <v>2028</v>
      </c>
      <c r="C31" s="1" t="s">
        <v>19</v>
      </c>
      <c r="D31" s="1">
        <f>Production_mining!D31*Chartier_Poncelet!$D$12</f>
        <v>5008.5508488315536</v>
      </c>
      <c r="E31" s="1">
        <f>Production_mining!E31*Chartier_Poncelet!$D$14</f>
        <v>918220.3389830509</v>
      </c>
      <c r="F31" s="1">
        <f>Production_mining!F31</f>
        <v>100000</v>
      </c>
      <c r="G31" s="1">
        <f>Production_mining!G31*Chartier_Poncelet!$D$28</f>
        <v>141861.68854876285</v>
      </c>
      <c r="H31" s="1">
        <f>Production_mining!H31*Chartier_Poncelet!$D$34</f>
        <v>0</v>
      </c>
      <c r="I31" s="1">
        <f>Production_mining!I31*Chartier_Poncelet!$D$35</f>
        <v>287300.06285355124</v>
      </c>
    </row>
    <row r="32" spans="1:9" x14ac:dyDescent="0.25">
      <c r="A32" s="3" t="s">
        <v>18</v>
      </c>
      <c r="B32" s="1">
        <v>2029</v>
      </c>
      <c r="C32" s="1" t="s">
        <v>19</v>
      </c>
      <c r="D32" s="1">
        <f>Production_mining!D32*Chartier_Poncelet!$D$12</f>
        <v>4657.0735962819708</v>
      </c>
      <c r="E32" s="1">
        <f>Production_mining!E32*Chartier_Poncelet!$D$14</f>
        <v>834745.76271186443</v>
      </c>
      <c r="F32" s="1">
        <f>Production_mining!F32</f>
        <v>100000</v>
      </c>
      <c r="G32" s="1">
        <f>Production_mining!G32*Chartier_Poncelet!$D$28</f>
        <v>133331.80880359327</v>
      </c>
      <c r="H32" s="1">
        <f>Production_mining!H32*Chartier_Poncelet!$D$34</f>
        <v>0</v>
      </c>
      <c r="I32" s="1">
        <f>Production_mining!I32*Chartier_Poncelet!$D$35</f>
        <v>269973.85292269016</v>
      </c>
    </row>
    <row r="33" spans="1:9" x14ac:dyDescent="0.25">
      <c r="A33" s="3" t="s">
        <v>18</v>
      </c>
      <c r="B33" s="1">
        <v>2030</v>
      </c>
      <c r="C33" s="1" t="s">
        <v>19</v>
      </c>
      <c r="D33" s="1">
        <f>Production_mining!D33*Chartier_Poncelet!$D$12</f>
        <v>5096.4201619689493</v>
      </c>
      <c r="E33" s="1">
        <f>Production_mining!E33*Chartier_Poncelet!$D$14</f>
        <v>834745.76271186443</v>
      </c>
      <c r="F33" s="1">
        <f>Production_mining!F33</f>
        <v>100000</v>
      </c>
      <c r="G33" s="1">
        <f>Production_mining!G33*Chartier_Poncelet!$D$28</f>
        <v>129696.12235483248</v>
      </c>
      <c r="H33" s="1">
        <f>Production_mining!H33*Chartier_Poncelet!$D$34</f>
        <v>0</v>
      </c>
      <c r="I33" s="1">
        <f>Production_mining!I33*Chartier_Poncelet!$D$35</f>
        <v>270367.63042111881</v>
      </c>
    </row>
    <row r="34" spans="1:9" x14ac:dyDescent="0.25">
      <c r="A34" s="3" t="s">
        <v>18</v>
      </c>
      <c r="B34" s="1">
        <v>2031</v>
      </c>
      <c r="C34" s="1" t="s">
        <v>19</v>
      </c>
      <c r="D34" s="1">
        <f>Production_mining!D34*Chartier_Poncelet!$D$12</f>
        <v>5535.7667276559278</v>
      </c>
      <c r="E34" s="1">
        <f>Production_mining!E34*Chartier_Poncelet!$D$14</f>
        <v>834745.76271186443</v>
      </c>
      <c r="F34" s="1">
        <f>Production_mining!F34</f>
        <v>100000</v>
      </c>
      <c r="G34" s="1">
        <f>Production_mining!G34*Chartier_Poncelet!$D$28</f>
        <v>128018.11322463519</v>
      </c>
      <c r="H34" s="1">
        <f>Production_mining!H34*Chartier_Poncelet!$D$34</f>
        <v>0</v>
      </c>
      <c r="I34" s="1">
        <f>Production_mining!I34*Chartier_Poncelet!$D$35</f>
        <v>261547.01445631677</v>
      </c>
    </row>
    <row r="35" spans="1:9" x14ac:dyDescent="0.25">
      <c r="A35" s="3" t="s">
        <v>18</v>
      </c>
      <c r="B35" s="1">
        <v>2032</v>
      </c>
      <c r="C35" s="1" t="s">
        <v>19</v>
      </c>
      <c r="D35" s="1">
        <f>Production_mining!D35*Chartier_Poncelet!$D$12</f>
        <v>5975.1132933429062</v>
      </c>
      <c r="E35" s="1">
        <f>Production_mining!E35*Chartier_Poncelet!$D$14</f>
        <v>918220.3389830509</v>
      </c>
      <c r="F35" s="1">
        <f>Production_mining!F35</f>
        <v>100000</v>
      </c>
      <c r="G35" s="1">
        <f>Production_mining!G35*Chartier_Poncelet!$D$28</f>
        <v>131374.13148502976</v>
      </c>
      <c r="H35" s="1">
        <f>Production_mining!H35*Chartier_Poncelet!$D$34</f>
        <v>0</v>
      </c>
      <c r="I35" s="1">
        <f>Production_mining!I35*Chartier_Poncelet!$D$35</f>
        <v>265327.27844123193</v>
      </c>
    </row>
    <row r="36" spans="1:9" x14ac:dyDescent="0.25">
      <c r="A36" s="3" t="s">
        <v>18</v>
      </c>
      <c r="B36" s="1">
        <v>2033</v>
      </c>
      <c r="C36" s="1" t="s">
        <v>19</v>
      </c>
      <c r="D36" s="1">
        <f>Production_mining!D36*Chartier_Poncelet!$D$12</f>
        <v>6502.3291721672804</v>
      </c>
      <c r="E36" s="1">
        <f>Production_mining!E36*Chartier_Poncelet!$D$14</f>
        <v>918220.3389830509</v>
      </c>
      <c r="F36" s="1">
        <f>Production_mining!F36</f>
        <v>100000</v>
      </c>
      <c r="G36" s="1">
        <f>Production_mining!G36*Chartier_Poncelet!$D$28</f>
        <v>122284.91536312776</v>
      </c>
      <c r="H36" s="1">
        <f>Production_mining!H36*Chartier_Poncelet!$D$34</f>
        <v>0</v>
      </c>
      <c r="I36" s="1">
        <f>Production_mining!I36*Chartier_Poncelet!$D$35</f>
        <v>257451.72847265869</v>
      </c>
    </row>
    <row r="37" spans="1:9" x14ac:dyDescent="0.25">
      <c r="A37" s="3" t="s">
        <v>18</v>
      </c>
      <c r="B37" s="1">
        <v>2034</v>
      </c>
      <c r="C37" s="1" t="s">
        <v>19</v>
      </c>
      <c r="D37" s="1">
        <f>Production_mining!D37*Chartier_Poncelet!$D$12</f>
        <v>7293.1529904038416</v>
      </c>
      <c r="E37" s="1">
        <f>Production_mining!E37*Chartier_Poncelet!$D$14</f>
        <v>918220.3389830509</v>
      </c>
      <c r="F37" s="1">
        <f>Production_mining!F37</f>
        <v>100000</v>
      </c>
      <c r="G37" s="1">
        <f>Production_mining!G37*Chartier_Poncelet!$D$28</f>
        <v>127668.52798917741</v>
      </c>
      <c r="H37" s="1">
        <f>Production_mining!H37*Chartier_Poncelet!$D$34</f>
        <v>59.854391398996775</v>
      </c>
      <c r="I37" s="1">
        <f>Production_mining!I37*Chartier_Poncelet!$D$35</f>
        <v>263043.36895034567</v>
      </c>
    </row>
    <row r="38" spans="1:9" x14ac:dyDescent="0.25">
      <c r="A38" s="3" t="s">
        <v>18</v>
      </c>
      <c r="B38" s="1">
        <v>2035</v>
      </c>
      <c r="C38" s="1" t="s">
        <v>19</v>
      </c>
      <c r="D38" s="1">
        <f>Production_mining!D38*Chartier_Poncelet!$D$12</f>
        <v>8171.8461217777976</v>
      </c>
      <c r="E38" s="1">
        <f>Production_mining!E38*Chartier_Poncelet!$D$14</f>
        <v>918220.3389830509</v>
      </c>
      <c r="F38" s="1">
        <f>Production_mining!F38</f>
        <v>200000</v>
      </c>
      <c r="G38" s="1">
        <f>Production_mining!G38*Chartier_Poncelet!$D$28</f>
        <v>130465.20987283956</v>
      </c>
      <c r="H38" s="1">
        <f>Production_mining!H38*Chartier_Poncelet!$D$34</f>
        <v>59.854391398996775</v>
      </c>
      <c r="I38" s="1">
        <f>Production_mining!I38*Chartier_Poncelet!$D$35</f>
        <v>270761.40791954746</v>
      </c>
    </row>
    <row r="39" spans="1:9" x14ac:dyDescent="0.25">
      <c r="A39" s="3" t="s">
        <v>18</v>
      </c>
      <c r="B39" s="1">
        <v>2036</v>
      </c>
      <c r="C39" s="1" t="s">
        <v>19</v>
      </c>
      <c r="D39" s="1">
        <f>Production_mining!D39*Chartier_Poncelet!$D$12</f>
        <v>9050.5392531517555</v>
      </c>
      <c r="E39" s="1">
        <f>Production_mining!E39*Chartier_Poncelet!$D$14</f>
        <v>1001694.9152542372</v>
      </c>
      <c r="F39" s="1">
        <f>Production_mining!F39</f>
        <v>200000</v>
      </c>
      <c r="G39" s="1">
        <f>Production_mining!G39*Chartier_Poncelet!$D$28</f>
        <v>162207.54925240504</v>
      </c>
      <c r="H39" s="1">
        <f>Production_mining!H39*Chartier_Poncelet!$D$34</f>
        <v>59.854391398996775</v>
      </c>
      <c r="I39" s="1">
        <f>Production_mining!I39*Chartier_Poncelet!$D$35</f>
        <v>277849.40289126337</v>
      </c>
    </row>
    <row r="40" spans="1:9" x14ac:dyDescent="0.25">
      <c r="A40" s="3" t="s">
        <v>18</v>
      </c>
      <c r="B40" s="1">
        <v>2037</v>
      </c>
      <c r="C40" s="1" t="s">
        <v>19</v>
      </c>
      <c r="D40" s="1">
        <f>Production_mining!D40*Chartier_Poncelet!$D$12</f>
        <v>9402.0165057013382</v>
      </c>
      <c r="E40" s="1">
        <f>Production_mining!E40*Chartier_Poncelet!$D$14</f>
        <v>1001694.9152542372</v>
      </c>
      <c r="F40" s="1">
        <f>Production_mining!F40</f>
        <v>200000</v>
      </c>
      <c r="G40" s="1">
        <f>Production_mining!G40*Chartier_Poncelet!$D$28</f>
        <v>209051.97080374614</v>
      </c>
      <c r="H40" s="1">
        <f>Production_mining!H40*Chartier_Poncelet!$D$34</f>
        <v>119.70878279799355</v>
      </c>
      <c r="I40" s="1">
        <f>Production_mining!I40*Chartier_Poncelet!$D$35</f>
        <v>259499.37146448775</v>
      </c>
    </row>
    <row r="41" spans="1:9" x14ac:dyDescent="0.25">
      <c r="A41" s="3" t="s">
        <v>18</v>
      </c>
      <c r="B41" s="1">
        <v>2038</v>
      </c>
      <c r="C41" s="1" t="s">
        <v>19</v>
      </c>
      <c r="D41" s="1">
        <f>Production_mining!D41*Chartier_Poncelet!$D$12</f>
        <v>10456.448263350085</v>
      </c>
      <c r="E41" s="1">
        <f>Production_mining!E41*Chartier_Poncelet!$D$14</f>
        <v>1001694.9152542372</v>
      </c>
      <c r="F41" s="1">
        <f>Production_mining!F41</f>
        <v>300000</v>
      </c>
      <c r="G41" s="1">
        <f>Production_mining!G41*Chartier_Poncelet!$D$28</f>
        <v>271907.3961390531</v>
      </c>
      <c r="H41" s="1">
        <f>Production_mining!H41*Chartier_Poncelet!$D$34</f>
        <v>119.70878279799355</v>
      </c>
      <c r="I41" s="1">
        <f>Production_mining!I41*Chartier_Poncelet!$D$35</f>
        <v>235400.18856065368</v>
      </c>
    </row>
    <row r="42" spans="1:9" x14ac:dyDescent="0.25">
      <c r="A42" s="3" t="s">
        <v>18</v>
      </c>
      <c r="B42" s="1">
        <v>2039</v>
      </c>
      <c r="C42" s="1" t="s">
        <v>19</v>
      </c>
      <c r="D42" s="1">
        <f>Production_mining!D42*Chartier_Poncelet!$D$12</f>
        <v>11994.16124325451</v>
      </c>
      <c r="E42" s="1">
        <f>Production_mining!E42*Chartier_Poncelet!$D$14</f>
        <v>1001694.9152542372</v>
      </c>
      <c r="F42" s="1">
        <f>Production_mining!F42</f>
        <v>300000</v>
      </c>
      <c r="G42" s="1">
        <f>Production_mining!G42*Chartier_Poncelet!$D$28</f>
        <v>351403.07868214988</v>
      </c>
      <c r="H42" s="1">
        <f>Production_mining!H42*Chartier_Poncelet!$D$34</f>
        <v>179.56317419699033</v>
      </c>
      <c r="I42" s="1">
        <f>Production_mining!I42*Chartier_Poncelet!$D$35</f>
        <v>241621.87303582652</v>
      </c>
    </row>
    <row r="43" spans="1:9" x14ac:dyDescent="0.25">
      <c r="A43" s="3" t="s">
        <v>18</v>
      </c>
      <c r="B43" s="1">
        <v>2040</v>
      </c>
      <c r="C43" s="1" t="s">
        <v>19</v>
      </c>
      <c r="D43" s="1">
        <f>Production_mining!D43*Chartier_Poncelet!$D$12</f>
        <v>13751.547506002424</v>
      </c>
      <c r="E43" s="1">
        <f>Production_mining!E43*Chartier_Poncelet!$D$14</f>
        <v>1085169.4915254237</v>
      </c>
      <c r="F43" s="1">
        <f>Production_mining!F43</f>
        <v>400000</v>
      </c>
      <c r="G43" s="1">
        <f>Production_mining!G43*Chartier_Poncelet!$D$28</f>
        <v>460263.9210036993</v>
      </c>
      <c r="H43" s="1">
        <f>Production_mining!H43*Chartier_Poncelet!$D$34</f>
        <v>239.4175655959871</v>
      </c>
      <c r="I43" s="1">
        <f>Production_mining!I43*Chartier_Poncelet!$D$35</f>
        <v>251308.7994971716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3F587-87CA-456C-A681-8AC297EFC249}">
  <dimension ref="A1:AY62"/>
  <sheetViews>
    <sheetView topLeftCell="A16" workbookViewId="0">
      <selection sqref="A1:XFD1048576"/>
    </sheetView>
  </sheetViews>
  <sheetFormatPr baseColWidth="10" defaultColWidth="11.54296875" defaultRowHeight="12.5" x14ac:dyDescent="0.25"/>
  <cols>
    <col min="4" max="4" width="14.90625" bestFit="1" customWidth="1"/>
    <col min="5" max="5" width="197.6328125" bestFit="1" customWidth="1"/>
    <col min="6" max="10" width="4" bestFit="1" customWidth="1"/>
    <col min="11" max="11" width="6.453125" bestFit="1" customWidth="1"/>
    <col min="12" max="12" width="5" bestFit="1" customWidth="1"/>
    <col min="13" max="13" width="7.1796875" bestFit="1" customWidth="1"/>
    <col min="14" max="14" width="4.54296875" bestFit="1" customWidth="1"/>
    <col min="15" max="15" width="35.90625" bestFit="1" customWidth="1"/>
    <col min="16" max="16" width="31.6328125" bestFit="1" customWidth="1"/>
    <col min="17" max="17" width="197.6328125" bestFit="1" customWidth="1"/>
    <col min="18" max="22" width="4" bestFit="1" customWidth="1"/>
    <col min="23" max="23" width="6.453125" bestFit="1" customWidth="1"/>
    <col min="24" max="24" width="5" bestFit="1" customWidth="1"/>
    <col min="25" max="26" width="5.54296875" bestFit="1" customWidth="1"/>
    <col min="27" max="27" width="35.90625" bestFit="1" customWidth="1"/>
    <col min="28" max="28" width="17.6328125" bestFit="1" customWidth="1"/>
    <col min="29" max="29" width="201.6328125" bestFit="1" customWidth="1"/>
    <col min="30" max="34" width="4" bestFit="1" customWidth="1"/>
    <col min="35" max="35" width="6.453125" bestFit="1" customWidth="1"/>
    <col min="36" max="36" width="5" bestFit="1" customWidth="1"/>
    <col min="37" max="38" width="6.54296875" bestFit="1" customWidth="1"/>
    <col min="39" max="39" width="35.90625" bestFit="1" customWidth="1"/>
    <col min="40" max="40" width="14" bestFit="1" customWidth="1"/>
    <col min="41" max="41" width="220.6328125" bestFit="1" customWidth="1"/>
    <col min="42" max="46" width="4" bestFit="1" customWidth="1"/>
    <col min="47" max="47" width="6.453125" bestFit="1" customWidth="1"/>
    <col min="48" max="48" width="5" bestFit="1" customWidth="1"/>
    <col min="49" max="49" width="5.54296875" bestFit="1" customWidth="1"/>
    <col min="50" max="50" width="4.54296875" bestFit="1" customWidth="1"/>
    <col min="51" max="51" width="35.90625" bestFit="1" customWidth="1"/>
  </cols>
  <sheetData>
    <row r="1" spans="1:51" ht="14.5" x14ac:dyDescent="0.35">
      <c r="A1" s="6" t="s">
        <v>20</v>
      </c>
      <c r="B1" s="6" t="s">
        <v>21</v>
      </c>
      <c r="C1" s="6" t="s">
        <v>22</v>
      </c>
      <c r="D1" s="7" t="s">
        <v>23</v>
      </c>
      <c r="E1" s="8" t="s">
        <v>24</v>
      </c>
      <c r="F1" s="9" t="s">
        <v>25</v>
      </c>
      <c r="G1" s="9" t="s">
        <v>26</v>
      </c>
      <c r="H1" s="9" t="s">
        <v>27</v>
      </c>
      <c r="I1" s="9" t="s">
        <v>28</v>
      </c>
      <c r="J1" s="9" t="s">
        <v>29</v>
      </c>
      <c r="K1" s="10" t="s">
        <v>30</v>
      </c>
      <c r="L1" s="9" t="s">
        <v>31</v>
      </c>
      <c r="M1" s="11" t="s">
        <v>32</v>
      </c>
      <c r="N1" s="12" t="s">
        <v>33</v>
      </c>
      <c r="O1" s="9" t="s">
        <v>34</v>
      </c>
      <c r="P1" s="7" t="s">
        <v>35</v>
      </c>
      <c r="Q1" s="8" t="s">
        <v>24</v>
      </c>
      <c r="R1" s="9" t="s">
        <v>25</v>
      </c>
      <c r="S1" s="9" t="s">
        <v>26</v>
      </c>
      <c r="T1" s="9" t="s">
        <v>27</v>
      </c>
      <c r="U1" s="9" t="s">
        <v>28</v>
      </c>
      <c r="V1" s="9" t="s">
        <v>29</v>
      </c>
      <c r="W1" s="10" t="s">
        <v>30</v>
      </c>
      <c r="X1" s="9" t="s">
        <v>31</v>
      </c>
      <c r="Y1" s="8" t="s">
        <v>32</v>
      </c>
      <c r="Z1" s="9" t="s">
        <v>33</v>
      </c>
      <c r="AA1" s="9" t="s">
        <v>34</v>
      </c>
      <c r="AB1" s="7" t="s">
        <v>36</v>
      </c>
      <c r="AC1" s="8" t="s">
        <v>24</v>
      </c>
      <c r="AD1" s="9" t="s">
        <v>25</v>
      </c>
      <c r="AE1" s="9" t="s">
        <v>26</v>
      </c>
      <c r="AF1" s="9" t="s">
        <v>27</v>
      </c>
      <c r="AG1" s="9" t="s">
        <v>28</v>
      </c>
      <c r="AH1" s="9" t="s">
        <v>29</v>
      </c>
      <c r="AI1" s="10" t="s">
        <v>30</v>
      </c>
      <c r="AJ1" s="9" t="s">
        <v>31</v>
      </c>
      <c r="AK1" s="8" t="s">
        <v>32</v>
      </c>
      <c r="AL1" s="9" t="s">
        <v>33</v>
      </c>
      <c r="AM1" s="9" t="s">
        <v>34</v>
      </c>
      <c r="AN1" s="7" t="s">
        <v>37</v>
      </c>
      <c r="AO1" s="8" t="s">
        <v>24</v>
      </c>
      <c r="AP1" s="9" t="s">
        <v>25</v>
      </c>
      <c r="AQ1" s="9" t="s">
        <v>26</v>
      </c>
      <c r="AR1" s="9" t="s">
        <v>27</v>
      </c>
      <c r="AS1" s="9" t="s">
        <v>28</v>
      </c>
      <c r="AT1" s="9" t="s">
        <v>29</v>
      </c>
      <c r="AU1" s="10" t="s">
        <v>30</v>
      </c>
      <c r="AV1" s="9" t="s">
        <v>31</v>
      </c>
      <c r="AW1" s="8" t="s">
        <v>32</v>
      </c>
      <c r="AX1" s="9" t="s">
        <v>33</v>
      </c>
      <c r="AY1" s="9" t="s">
        <v>34</v>
      </c>
    </row>
    <row r="2" spans="1:51" ht="14.5" x14ac:dyDescent="0.35">
      <c r="A2">
        <v>47</v>
      </c>
      <c r="B2" t="s">
        <v>38</v>
      </c>
      <c r="C2" t="s">
        <v>39</v>
      </c>
      <c r="D2" s="13">
        <v>0.8425655976676385</v>
      </c>
      <c r="E2" s="14" t="s">
        <v>40</v>
      </c>
      <c r="F2" s="15">
        <v>1</v>
      </c>
      <c r="G2" s="15">
        <v>4</v>
      </c>
      <c r="H2" s="15">
        <v>1</v>
      </c>
      <c r="I2" s="14">
        <v>2</v>
      </c>
      <c r="J2" s="14">
        <v>1</v>
      </c>
      <c r="K2" s="16">
        <v>1.1925122738235221</v>
      </c>
      <c r="L2" s="16">
        <v>1.0920221031753534</v>
      </c>
      <c r="M2" s="17">
        <v>51.95121542835394</v>
      </c>
      <c r="N2" s="17">
        <v>9.7071475194848187</v>
      </c>
      <c r="O2" s="17" t="s">
        <v>41</v>
      </c>
      <c r="P2" s="13">
        <v>0.91001697792869274</v>
      </c>
      <c r="Q2" s="14" t="s">
        <v>40</v>
      </c>
      <c r="R2" s="15">
        <v>1</v>
      </c>
      <c r="S2" s="14">
        <v>4</v>
      </c>
      <c r="T2" s="15">
        <v>1</v>
      </c>
      <c r="U2" s="15">
        <v>2</v>
      </c>
      <c r="V2" s="14">
        <v>1</v>
      </c>
      <c r="W2" s="16">
        <v>1.1925122738235221</v>
      </c>
      <c r="X2" s="16">
        <v>1.0920221031753534</v>
      </c>
      <c r="Y2" s="17">
        <v>34.289381847133761</v>
      </c>
      <c r="Z2" s="17">
        <v>3.3905545483173296</v>
      </c>
      <c r="AA2" s="17" t="s">
        <v>42</v>
      </c>
      <c r="AB2" s="13">
        <v>1</v>
      </c>
      <c r="AC2" s="14" t="s">
        <v>40</v>
      </c>
      <c r="AD2" s="15">
        <v>1</v>
      </c>
      <c r="AE2" s="15">
        <v>4</v>
      </c>
      <c r="AF2" s="15">
        <v>1</v>
      </c>
      <c r="AG2" s="14">
        <v>2</v>
      </c>
      <c r="AH2" s="14">
        <v>1</v>
      </c>
      <c r="AI2" s="16">
        <v>1.1925122738235221</v>
      </c>
      <c r="AJ2" s="16">
        <v>1.0920221031753534</v>
      </c>
      <c r="AK2" s="17">
        <v>-1</v>
      </c>
      <c r="AL2" s="17">
        <v>0</v>
      </c>
      <c r="AM2" s="17" t="s">
        <v>43</v>
      </c>
      <c r="AN2" s="13">
        <v>1</v>
      </c>
      <c r="AO2" s="14" t="s">
        <v>40</v>
      </c>
      <c r="AP2" s="15">
        <v>1</v>
      </c>
      <c r="AQ2" s="15">
        <v>4</v>
      </c>
      <c r="AR2" s="15">
        <v>1</v>
      </c>
      <c r="AS2" s="14">
        <v>2</v>
      </c>
      <c r="AT2" s="14">
        <v>1</v>
      </c>
      <c r="AU2" s="16">
        <v>1.1925122738235221</v>
      </c>
      <c r="AV2" s="16">
        <v>1.0920221031753534</v>
      </c>
      <c r="AW2" s="17">
        <v>-1</v>
      </c>
      <c r="AX2" s="17">
        <v>0</v>
      </c>
      <c r="AY2" s="17" t="s">
        <v>43</v>
      </c>
    </row>
    <row r="3" spans="1:51" ht="14.5" x14ac:dyDescent="0.35">
      <c r="A3">
        <v>13</v>
      </c>
      <c r="B3" t="s">
        <v>44</v>
      </c>
      <c r="C3" t="s">
        <v>45</v>
      </c>
      <c r="D3" s="13">
        <v>0.87929656274979995</v>
      </c>
      <c r="E3" s="14" t="s">
        <v>46</v>
      </c>
      <c r="F3" s="15">
        <v>1</v>
      </c>
      <c r="G3" s="15">
        <v>2</v>
      </c>
      <c r="H3" s="15">
        <v>1</v>
      </c>
      <c r="I3" s="14">
        <v>2</v>
      </c>
      <c r="J3" s="14">
        <v>1</v>
      </c>
      <c r="K3" s="16">
        <v>1.1174816203765749</v>
      </c>
      <c r="L3" s="16">
        <v>1.0571100322939779</v>
      </c>
      <c r="M3" s="17">
        <v>113.57327852025585</v>
      </c>
      <c r="N3" s="17">
        <v>15.590513687780607</v>
      </c>
      <c r="O3" s="17" t="s">
        <v>47</v>
      </c>
      <c r="P3" s="13">
        <v>0.59090909090909094</v>
      </c>
      <c r="Q3" s="14" t="s">
        <v>46</v>
      </c>
      <c r="R3" s="15">
        <v>1</v>
      </c>
      <c r="S3" s="15">
        <v>2</v>
      </c>
      <c r="T3" s="15">
        <v>1</v>
      </c>
      <c r="U3" s="14">
        <v>2</v>
      </c>
      <c r="V3" s="14">
        <v>1</v>
      </c>
      <c r="W3" s="16">
        <v>1.1174816203765749</v>
      </c>
      <c r="X3" s="16">
        <v>1.0571100322939779</v>
      </c>
      <c r="Y3" s="17">
        <v>174.59386256910432</v>
      </c>
      <c r="Z3" s="17">
        <v>120.87267408630298</v>
      </c>
      <c r="AA3" s="17" t="s">
        <v>48</v>
      </c>
      <c r="AB3" s="18">
        <v>0.94650205761316875</v>
      </c>
      <c r="AC3" s="14" t="s">
        <v>46</v>
      </c>
      <c r="AD3" s="15">
        <v>1</v>
      </c>
      <c r="AE3" s="15">
        <v>2</v>
      </c>
      <c r="AF3" s="15">
        <v>1</v>
      </c>
      <c r="AG3" s="14">
        <v>2</v>
      </c>
      <c r="AH3" s="14">
        <v>1</v>
      </c>
      <c r="AI3" s="16">
        <v>1.1174816203765749</v>
      </c>
      <c r="AJ3" s="16">
        <v>1.0571100322939779</v>
      </c>
      <c r="AK3" s="17">
        <v>57.831576284369284</v>
      </c>
      <c r="AL3" s="17">
        <v>3.2687412682469579</v>
      </c>
      <c r="AM3" s="17" t="s">
        <v>49</v>
      </c>
      <c r="AN3" s="13">
        <v>0.97</v>
      </c>
      <c r="AO3" s="14" t="s">
        <v>46</v>
      </c>
      <c r="AP3" s="15">
        <v>1</v>
      </c>
      <c r="AQ3" s="15">
        <v>2</v>
      </c>
      <c r="AR3" s="15">
        <v>1</v>
      </c>
      <c r="AS3" s="14">
        <v>2</v>
      </c>
      <c r="AT3" s="14">
        <v>1</v>
      </c>
      <c r="AU3" s="16">
        <v>1.1174816203765749</v>
      </c>
      <c r="AV3" s="16">
        <v>1.0571100322939779</v>
      </c>
      <c r="AW3" s="17">
        <v>33.647834959002907</v>
      </c>
      <c r="AX3" s="17">
        <v>1.040654689453699</v>
      </c>
      <c r="AY3" s="17" t="s">
        <v>50</v>
      </c>
    </row>
    <row r="4" spans="1:51" ht="14.5" x14ac:dyDescent="0.35">
      <c r="A4">
        <v>33</v>
      </c>
      <c r="B4" t="s">
        <v>51</v>
      </c>
      <c r="C4" t="s">
        <v>52</v>
      </c>
      <c r="D4" s="13">
        <v>8.4343116045257224E-2</v>
      </c>
      <c r="E4" s="15" t="s">
        <v>53</v>
      </c>
      <c r="F4" s="15">
        <v>1</v>
      </c>
      <c r="G4" s="15">
        <v>3</v>
      </c>
      <c r="H4" s="15">
        <v>2</v>
      </c>
      <c r="I4" s="14">
        <v>2</v>
      </c>
      <c r="J4" s="14">
        <v>2</v>
      </c>
      <c r="K4" s="16">
        <v>1.1711691055232991</v>
      </c>
      <c r="L4" s="16">
        <v>1.0822056669244065</v>
      </c>
      <c r="M4" s="17">
        <v>3.7712262932398102</v>
      </c>
      <c r="N4" s="17">
        <v>40.941685323829539</v>
      </c>
      <c r="O4" s="17" t="s">
        <v>54</v>
      </c>
      <c r="P4" s="13">
        <v>0.97856553998351192</v>
      </c>
      <c r="Q4" s="15" t="s">
        <v>55</v>
      </c>
      <c r="R4" s="15">
        <v>1</v>
      </c>
      <c r="S4" s="15">
        <v>3</v>
      </c>
      <c r="T4" s="15">
        <v>2</v>
      </c>
      <c r="U4" s="14">
        <v>2</v>
      </c>
      <c r="V4" s="14">
        <v>2</v>
      </c>
      <c r="W4" s="16">
        <v>1.1711691055232991</v>
      </c>
      <c r="X4" s="16">
        <v>1.0822056669244065</v>
      </c>
      <c r="Y4" s="17">
        <v>11.170667442118644</v>
      </c>
      <c r="Z4" s="17">
        <v>0.24468184793183251</v>
      </c>
      <c r="AA4" s="17" t="s">
        <v>56</v>
      </c>
      <c r="AB4" s="13">
        <v>0</v>
      </c>
      <c r="AC4" s="15" t="s">
        <v>57</v>
      </c>
      <c r="AD4" s="15">
        <v>1</v>
      </c>
      <c r="AE4" s="15">
        <v>1</v>
      </c>
      <c r="AF4" s="15">
        <v>1</v>
      </c>
      <c r="AG4" s="14">
        <v>1</v>
      </c>
      <c r="AH4" s="14">
        <v>1</v>
      </c>
      <c r="AI4" s="16">
        <v>1.05</v>
      </c>
      <c r="AJ4" s="16">
        <v>1.0246950765959599</v>
      </c>
      <c r="AK4" s="17">
        <v>0</v>
      </c>
      <c r="AL4" s="17">
        <v>-1</v>
      </c>
      <c r="AM4" s="17" t="s">
        <v>58</v>
      </c>
      <c r="AN4" s="13">
        <v>0</v>
      </c>
      <c r="AO4" s="15" t="s">
        <v>59</v>
      </c>
      <c r="AP4" s="15">
        <v>1</v>
      </c>
      <c r="AQ4" s="15">
        <v>1</v>
      </c>
      <c r="AR4" s="15">
        <v>1</v>
      </c>
      <c r="AS4" s="14">
        <v>1</v>
      </c>
      <c r="AT4" s="14">
        <v>1</v>
      </c>
      <c r="AU4" s="16">
        <v>1.05</v>
      </c>
      <c r="AV4" s="16">
        <v>1.0246950765959599</v>
      </c>
      <c r="AW4" s="17">
        <v>0</v>
      </c>
      <c r="AX4" s="17">
        <v>-1</v>
      </c>
      <c r="AY4" s="17" t="s">
        <v>58</v>
      </c>
    </row>
    <row r="5" spans="1:51" ht="14.5" x14ac:dyDescent="0.35">
      <c r="A5">
        <v>79</v>
      </c>
      <c r="B5" t="s">
        <v>60</v>
      </c>
      <c r="C5" t="s">
        <v>61</v>
      </c>
      <c r="D5" s="13">
        <v>0.73259375000000004</v>
      </c>
      <c r="E5" s="15" t="s">
        <v>62</v>
      </c>
      <c r="F5" s="15">
        <v>3</v>
      </c>
      <c r="G5" s="15">
        <v>1</v>
      </c>
      <c r="H5" s="15">
        <v>1</v>
      </c>
      <c r="I5" s="14">
        <v>2</v>
      </c>
      <c r="J5" s="14">
        <v>1</v>
      </c>
      <c r="K5" s="16">
        <v>1.2354522921220721</v>
      </c>
      <c r="L5" s="16">
        <v>1.1115090157628376</v>
      </c>
      <c r="M5" s="17">
        <v>45.435080649730537</v>
      </c>
      <c r="N5" s="17">
        <v>16.584395560284271</v>
      </c>
      <c r="O5" s="17" t="s">
        <v>63</v>
      </c>
      <c r="P5" s="13">
        <v>0.89571686701428566</v>
      </c>
      <c r="Q5" s="14" t="s">
        <v>64</v>
      </c>
      <c r="R5" s="15">
        <v>3</v>
      </c>
      <c r="S5" s="14">
        <v>1</v>
      </c>
      <c r="T5" s="15">
        <v>1</v>
      </c>
      <c r="U5" s="15">
        <v>3</v>
      </c>
      <c r="V5" s="14">
        <v>1</v>
      </c>
      <c r="W5" s="16">
        <v>1.3000688016831126</v>
      </c>
      <c r="X5" s="16">
        <v>1.1402055962339039</v>
      </c>
      <c r="Y5" s="17">
        <v>16.12919487108617</v>
      </c>
      <c r="Z5" s="17">
        <v>1.8778288493111013</v>
      </c>
      <c r="AA5" s="17" t="s">
        <v>65</v>
      </c>
      <c r="AB5" s="13">
        <v>0.9</v>
      </c>
      <c r="AC5" s="14" t="s">
        <v>64</v>
      </c>
      <c r="AD5" s="15">
        <v>3</v>
      </c>
      <c r="AE5" s="15">
        <v>1</v>
      </c>
      <c r="AF5" s="15">
        <v>1</v>
      </c>
      <c r="AG5" s="14">
        <v>3</v>
      </c>
      <c r="AH5" s="14">
        <v>1</v>
      </c>
      <c r="AI5" s="16">
        <v>1.3000688016831126</v>
      </c>
      <c r="AJ5" s="16">
        <v>1.1402055962339039</v>
      </c>
      <c r="AK5" s="17">
        <v>15.58216710645304</v>
      </c>
      <c r="AL5" s="17">
        <v>1.731351900717004</v>
      </c>
      <c r="AM5" s="17" t="s">
        <v>66</v>
      </c>
      <c r="AN5" s="13">
        <v>0.97592997811816196</v>
      </c>
      <c r="AO5" s="14" t="s">
        <v>64</v>
      </c>
      <c r="AP5" s="15">
        <v>3</v>
      </c>
      <c r="AQ5" s="15">
        <v>1</v>
      </c>
      <c r="AR5" s="15">
        <v>1</v>
      </c>
      <c r="AS5" s="14">
        <v>3</v>
      </c>
      <c r="AT5" s="14">
        <v>1</v>
      </c>
      <c r="AU5" s="16">
        <v>1.3000688016831126</v>
      </c>
      <c r="AV5" s="16">
        <v>1.1402055962339039</v>
      </c>
      <c r="AW5" s="17">
        <v>3.688978165112387</v>
      </c>
      <c r="AX5" s="17">
        <v>9.0983766404117053E-2</v>
      </c>
      <c r="AY5" s="17" t="s">
        <v>67</v>
      </c>
    </row>
    <row r="6" spans="1:51" ht="14.5" x14ac:dyDescent="0.35">
      <c r="A6">
        <v>5</v>
      </c>
      <c r="B6" t="s">
        <v>68</v>
      </c>
      <c r="C6" t="s">
        <v>69</v>
      </c>
      <c r="D6" s="13">
        <v>0.77600000000000002</v>
      </c>
      <c r="E6" s="15" t="s">
        <v>70</v>
      </c>
      <c r="F6" s="15">
        <v>3</v>
      </c>
      <c r="G6" s="15">
        <v>3</v>
      </c>
      <c r="H6" s="15">
        <v>3</v>
      </c>
      <c r="I6" s="15">
        <v>2</v>
      </c>
      <c r="J6" s="15">
        <v>1</v>
      </c>
      <c r="K6" s="16">
        <v>1.2684630087984967</v>
      </c>
      <c r="L6" s="16">
        <v>1.1262606309369501</v>
      </c>
      <c r="M6" s="17">
        <v>33.069079748915236</v>
      </c>
      <c r="N6" s="17">
        <v>9.5457137419549127</v>
      </c>
      <c r="O6" s="17" t="s">
        <v>71</v>
      </c>
      <c r="P6" s="13">
        <v>0.95</v>
      </c>
      <c r="Q6" s="15" t="s">
        <v>72</v>
      </c>
      <c r="R6" s="15">
        <v>4</v>
      </c>
      <c r="S6" s="15">
        <v>1</v>
      </c>
      <c r="T6" s="15">
        <v>1</v>
      </c>
      <c r="U6" s="15">
        <v>3</v>
      </c>
      <c r="V6" s="15">
        <v>1</v>
      </c>
      <c r="W6" s="16">
        <v>1.4707782003422192</v>
      </c>
      <c r="X6" s="16">
        <v>1.212756447248259</v>
      </c>
      <c r="Y6" s="17">
        <v>3.037601467121025</v>
      </c>
      <c r="Z6" s="17">
        <v>0.15987376142742252</v>
      </c>
      <c r="AA6" s="17" t="s">
        <v>73</v>
      </c>
      <c r="AB6" s="13">
        <v>0</v>
      </c>
      <c r="AC6" s="15" t="s">
        <v>74</v>
      </c>
      <c r="AD6" s="15">
        <v>1</v>
      </c>
      <c r="AE6" s="15">
        <v>1</v>
      </c>
      <c r="AF6" s="15">
        <v>1</v>
      </c>
      <c r="AG6" s="15">
        <v>1</v>
      </c>
      <c r="AH6" s="15">
        <v>1</v>
      </c>
      <c r="AI6" s="16">
        <v>1.05</v>
      </c>
      <c r="AJ6" s="16">
        <v>1.0246950765959599</v>
      </c>
      <c r="AK6" s="17">
        <v>0</v>
      </c>
      <c r="AL6" s="17">
        <v>-1</v>
      </c>
      <c r="AM6" s="17" t="s">
        <v>58</v>
      </c>
      <c r="AN6" s="13">
        <v>0</v>
      </c>
      <c r="AO6" s="15" t="s">
        <v>75</v>
      </c>
      <c r="AP6" s="15">
        <v>1</v>
      </c>
      <c r="AQ6" s="15">
        <v>1</v>
      </c>
      <c r="AR6" s="15">
        <v>1</v>
      </c>
      <c r="AS6" s="15">
        <v>1</v>
      </c>
      <c r="AT6" s="15">
        <v>1</v>
      </c>
      <c r="AU6" s="16">
        <v>1.05</v>
      </c>
      <c r="AV6" s="16">
        <v>1.0246950765959599</v>
      </c>
      <c r="AW6" s="17">
        <v>0</v>
      </c>
      <c r="AX6" s="17">
        <v>-1</v>
      </c>
      <c r="AY6" s="17" t="s">
        <v>58</v>
      </c>
    </row>
    <row r="7" spans="1:51" ht="14.5" x14ac:dyDescent="0.35">
      <c r="A7">
        <v>56</v>
      </c>
      <c r="B7" t="s">
        <v>76</v>
      </c>
      <c r="C7" t="s">
        <v>77</v>
      </c>
      <c r="D7" s="13">
        <v>0.8</v>
      </c>
      <c r="E7" s="15" t="s">
        <v>78</v>
      </c>
      <c r="F7" s="15">
        <v>3</v>
      </c>
      <c r="G7" s="15">
        <v>2</v>
      </c>
      <c r="H7" s="15">
        <v>1</v>
      </c>
      <c r="I7" s="14">
        <v>3</v>
      </c>
      <c r="J7" s="14">
        <v>1</v>
      </c>
      <c r="K7" s="16">
        <v>1.3022280723042765</v>
      </c>
      <c r="L7" s="16">
        <v>1.1411520811461882</v>
      </c>
      <c r="M7" s="17">
        <v>24.897767139793061</v>
      </c>
      <c r="N7" s="17">
        <v>6.2244417849482634</v>
      </c>
      <c r="O7" s="17" t="s">
        <v>79</v>
      </c>
      <c r="P7" s="13">
        <v>0.95</v>
      </c>
      <c r="Q7" s="15" t="s">
        <v>72</v>
      </c>
      <c r="R7" s="15">
        <v>3</v>
      </c>
      <c r="S7" s="14">
        <v>1</v>
      </c>
      <c r="T7" s="15">
        <v>1</v>
      </c>
      <c r="U7" s="15">
        <v>3</v>
      </c>
      <c r="V7" s="14">
        <v>1</v>
      </c>
      <c r="W7" s="16">
        <v>1.3000688016831126</v>
      </c>
      <c r="X7" s="16">
        <v>1.1402055962339039</v>
      </c>
      <c r="Y7" s="17">
        <v>8.2321949466505444</v>
      </c>
      <c r="Z7" s="17">
        <v>0.43327341824476595</v>
      </c>
      <c r="AA7" s="17" t="s">
        <v>73</v>
      </c>
      <c r="AB7" s="13">
        <v>0</v>
      </c>
      <c r="AC7" s="15" t="s">
        <v>80</v>
      </c>
      <c r="AD7" s="15">
        <v>1</v>
      </c>
      <c r="AE7" s="15">
        <v>1</v>
      </c>
      <c r="AF7" s="15">
        <v>1</v>
      </c>
      <c r="AG7" s="15">
        <v>1</v>
      </c>
      <c r="AH7" s="15">
        <v>1</v>
      </c>
      <c r="AI7" s="16">
        <v>1.05</v>
      </c>
      <c r="AJ7" s="16">
        <v>1.0246950765959599</v>
      </c>
      <c r="AK7" s="17">
        <v>0</v>
      </c>
      <c r="AL7" s="17">
        <v>-1</v>
      </c>
      <c r="AM7" s="17" t="s">
        <v>58</v>
      </c>
      <c r="AN7" s="13">
        <v>0</v>
      </c>
      <c r="AO7" s="15" t="s">
        <v>81</v>
      </c>
      <c r="AP7" s="15">
        <v>3</v>
      </c>
      <c r="AQ7" s="15">
        <v>1</v>
      </c>
      <c r="AR7" s="15">
        <v>1</v>
      </c>
      <c r="AS7" s="14">
        <v>1</v>
      </c>
      <c r="AT7" s="14">
        <v>1</v>
      </c>
      <c r="AU7" s="16">
        <v>1.207723199572867</v>
      </c>
      <c r="AV7" s="16">
        <v>1.098964603421269</v>
      </c>
      <c r="AW7" s="17">
        <v>0</v>
      </c>
      <c r="AX7" s="17">
        <v>-1</v>
      </c>
      <c r="AY7" s="17" t="s">
        <v>58</v>
      </c>
    </row>
    <row r="8" spans="1:51" ht="14.5" x14ac:dyDescent="0.35">
      <c r="A8">
        <v>4</v>
      </c>
      <c r="B8" t="s">
        <v>82</v>
      </c>
      <c r="C8" t="s">
        <v>83</v>
      </c>
      <c r="D8" s="13">
        <v>0.87</v>
      </c>
      <c r="E8" s="14" t="s">
        <v>84</v>
      </c>
      <c r="F8" s="15">
        <v>2</v>
      </c>
      <c r="G8" s="14">
        <v>2</v>
      </c>
      <c r="H8" s="14">
        <v>3</v>
      </c>
      <c r="I8" s="14">
        <v>3</v>
      </c>
      <c r="J8" s="14">
        <v>1</v>
      </c>
      <c r="K8" s="16">
        <v>1.2547562988440768</v>
      </c>
      <c r="L8" s="16">
        <v>1.1201590506906047</v>
      </c>
      <c r="M8" s="17">
        <v>26.390189577836431</v>
      </c>
      <c r="N8" s="17">
        <v>3.9433616610560183</v>
      </c>
      <c r="O8" s="17" t="s">
        <v>85</v>
      </c>
      <c r="P8" s="13">
        <v>0.91666666666666663</v>
      </c>
      <c r="Q8" s="15" t="s">
        <v>86</v>
      </c>
      <c r="R8" s="15">
        <v>2</v>
      </c>
      <c r="S8" s="14">
        <v>4</v>
      </c>
      <c r="T8" s="14">
        <v>3</v>
      </c>
      <c r="U8" s="14">
        <v>1</v>
      </c>
      <c r="V8" s="14">
        <v>1</v>
      </c>
      <c r="W8" s="16">
        <v>1.211850043459044</v>
      </c>
      <c r="X8" s="16">
        <v>1.1008406076535531</v>
      </c>
      <c r="Y8" s="17">
        <v>26.627568362933744</v>
      </c>
      <c r="Z8" s="17">
        <v>2.4206880329939779</v>
      </c>
      <c r="AA8" s="17" t="s">
        <v>87</v>
      </c>
      <c r="AB8" s="13">
        <v>0.85699999999999998</v>
      </c>
      <c r="AC8" s="15" t="s">
        <v>88</v>
      </c>
      <c r="AD8" s="15">
        <v>2</v>
      </c>
      <c r="AE8" s="14">
        <v>4</v>
      </c>
      <c r="AF8" s="14">
        <v>3</v>
      </c>
      <c r="AG8" s="14">
        <v>1</v>
      </c>
      <c r="AH8" s="14">
        <v>1</v>
      </c>
      <c r="AI8" s="16">
        <v>1.211850043459044</v>
      </c>
      <c r="AJ8" s="16">
        <v>1.1008406076535531</v>
      </c>
      <c r="AK8" s="17">
        <v>40.456003005163637</v>
      </c>
      <c r="AL8" s="17">
        <v>6.7505349238487762</v>
      </c>
      <c r="AM8" s="17" t="s">
        <v>89</v>
      </c>
      <c r="AN8" s="13">
        <v>1</v>
      </c>
      <c r="AO8" s="15" t="s">
        <v>90</v>
      </c>
      <c r="AP8" s="15">
        <v>3</v>
      </c>
      <c r="AQ8" s="14">
        <v>1</v>
      </c>
      <c r="AR8" s="14">
        <v>1</v>
      </c>
      <c r="AS8" s="14">
        <v>3</v>
      </c>
      <c r="AT8" s="14">
        <v>1</v>
      </c>
      <c r="AU8" s="16">
        <v>1.3000688016831126</v>
      </c>
      <c r="AV8" s="16">
        <v>1.1402055962339039</v>
      </c>
      <c r="AW8" s="17">
        <v>-1</v>
      </c>
      <c r="AX8" s="17">
        <v>0</v>
      </c>
      <c r="AY8" s="17" t="s">
        <v>43</v>
      </c>
    </row>
    <row r="9" spans="1:51" ht="14.5" x14ac:dyDescent="0.35">
      <c r="A9">
        <v>83</v>
      </c>
      <c r="B9" t="s">
        <v>91</v>
      </c>
      <c r="C9" t="s">
        <v>92</v>
      </c>
      <c r="D9" s="13">
        <v>0.75</v>
      </c>
      <c r="E9" s="15" t="s">
        <v>93</v>
      </c>
      <c r="F9" s="15">
        <v>3</v>
      </c>
      <c r="G9" s="15">
        <v>2</v>
      </c>
      <c r="H9" s="15">
        <v>2</v>
      </c>
      <c r="I9" s="14">
        <v>2</v>
      </c>
      <c r="J9" s="14">
        <v>1</v>
      </c>
      <c r="K9" s="16">
        <v>1.2405189828102605</v>
      </c>
      <c r="L9" s="16">
        <v>1.1137858783492725</v>
      </c>
      <c r="M9" s="17">
        <v>42.695599477946566</v>
      </c>
      <c r="N9" s="17">
        <v>14.231866492648855</v>
      </c>
      <c r="O9" s="17" t="s">
        <v>94</v>
      </c>
      <c r="P9" s="13">
        <v>0.95</v>
      </c>
      <c r="Q9" s="15" t="s">
        <v>95</v>
      </c>
      <c r="R9" s="15">
        <v>3</v>
      </c>
      <c r="S9" s="14">
        <v>1</v>
      </c>
      <c r="T9" s="15">
        <v>1</v>
      </c>
      <c r="U9" s="15">
        <v>3</v>
      </c>
      <c r="V9" s="14">
        <v>1</v>
      </c>
      <c r="W9" s="16">
        <v>1.3000688016831126</v>
      </c>
      <c r="X9" s="16">
        <v>1.1402055962339039</v>
      </c>
      <c r="Y9" s="17">
        <v>8.2321949466505444</v>
      </c>
      <c r="Z9" s="17">
        <v>0.43327341824476595</v>
      </c>
      <c r="AA9" s="17" t="s">
        <v>73</v>
      </c>
      <c r="AB9" s="13">
        <v>0</v>
      </c>
      <c r="AC9" s="15" t="s">
        <v>74</v>
      </c>
      <c r="AD9" s="15">
        <v>1</v>
      </c>
      <c r="AE9" s="15">
        <v>1</v>
      </c>
      <c r="AF9" s="15">
        <v>1</v>
      </c>
      <c r="AG9" s="15">
        <v>1</v>
      </c>
      <c r="AH9" s="15">
        <v>1</v>
      </c>
      <c r="AI9" s="16">
        <v>1.05</v>
      </c>
      <c r="AJ9" s="16">
        <v>1.0246950765959599</v>
      </c>
      <c r="AK9" s="17">
        <v>0</v>
      </c>
      <c r="AL9" s="17">
        <v>-1</v>
      </c>
      <c r="AM9" s="17" t="s">
        <v>58</v>
      </c>
      <c r="AN9" s="13">
        <v>0</v>
      </c>
      <c r="AO9" s="15" t="s">
        <v>96</v>
      </c>
      <c r="AP9" s="15">
        <v>1</v>
      </c>
      <c r="AQ9" s="15">
        <v>1</v>
      </c>
      <c r="AR9" s="15">
        <v>1</v>
      </c>
      <c r="AS9" s="14">
        <v>1</v>
      </c>
      <c r="AT9" s="14">
        <v>1</v>
      </c>
      <c r="AU9" s="16">
        <v>1.05</v>
      </c>
      <c r="AV9" s="16">
        <v>1.0246950765959599</v>
      </c>
      <c r="AW9" s="17">
        <v>0</v>
      </c>
      <c r="AX9" s="17">
        <v>-1</v>
      </c>
      <c r="AY9" s="17" t="s">
        <v>58</v>
      </c>
    </row>
    <row r="10" spans="1:51" ht="14.5" x14ac:dyDescent="0.35">
      <c r="A10">
        <v>48</v>
      </c>
      <c r="B10" t="s">
        <v>97</v>
      </c>
      <c r="C10" t="s">
        <v>98</v>
      </c>
      <c r="D10" s="13">
        <v>0.76275975333501123</v>
      </c>
      <c r="E10" s="15" t="s">
        <v>99</v>
      </c>
      <c r="F10" s="15">
        <v>2</v>
      </c>
      <c r="G10" s="15">
        <v>4</v>
      </c>
      <c r="H10" s="15">
        <v>3</v>
      </c>
      <c r="I10" s="14">
        <v>2</v>
      </c>
      <c r="J10" s="14">
        <v>1</v>
      </c>
      <c r="K10" s="16">
        <v>1.2392267911663479</v>
      </c>
      <c r="L10" s="16">
        <v>1.1132056374122203</v>
      </c>
      <c r="M10" s="17">
        <v>42.318439943559397</v>
      </c>
      <c r="N10" s="17">
        <v>13.162253365874749</v>
      </c>
      <c r="O10" s="17" t="s">
        <v>100</v>
      </c>
      <c r="P10" s="13">
        <v>0.998</v>
      </c>
      <c r="Q10" s="14" t="s">
        <v>101</v>
      </c>
      <c r="R10" s="15">
        <v>3</v>
      </c>
      <c r="S10" s="14">
        <v>1</v>
      </c>
      <c r="T10" s="15">
        <v>1</v>
      </c>
      <c r="U10" s="15">
        <v>1</v>
      </c>
      <c r="V10" s="14">
        <v>1</v>
      </c>
      <c r="W10" s="16">
        <v>1.207723199572867</v>
      </c>
      <c r="X10" s="16">
        <v>1.098964603421269</v>
      </c>
      <c r="Y10" s="17">
        <v>-0.18443680678612218</v>
      </c>
      <c r="Z10" s="17">
        <v>-3.6961283925074617E-4</v>
      </c>
      <c r="AA10" s="17" t="s">
        <v>102</v>
      </c>
      <c r="AB10" s="13">
        <v>0</v>
      </c>
      <c r="AC10" s="15" t="s">
        <v>103</v>
      </c>
      <c r="AD10" s="15">
        <v>1</v>
      </c>
      <c r="AE10" s="15">
        <v>1</v>
      </c>
      <c r="AF10" s="15">
        <v>1</v>
      </c>
      <c r="AG10" s="15">
        <v>1</v>
      </c>
      <c r="AH10" s="15">
        <v>1</v>
      </c>
      <c r="AI10" s="16">
        <v>1.05</v>
      </c>
      <c r="AJ10" s="16">
        <v>1.0246950765959599</v>
      </c>
      <c r="AK10" s="17">
        <v>0</v>
      </c>
      <c r="AL10" s="17">
        <v>-1</v>
      </c>
      <c r="AM10" s="17" t="s">
        <v>58</v>
      </c>
      <c r="AN10" s="13">
        <v>1</v>
      </c>
      <c r="AO10" s="15" t="s">
        <v>104</v>
      </c>
      <c r="AP10" s="15">
        <v>2</v>
      </c>
      <c r="AQ10" s="15">
        <v>1</v>
      </c>
      <c r="AR10" s="15">
        <v>1</v>
      </c>
      <c r="AS10" s="15">
        <v>1</v>
      </c>
      <c r="AT10" s="15">
        <v>1</v>
      </c>
      <c r="AU10" s="16">
        <v>1.1130148943987077</v>
      </c>
      <c r="AV10" s="16">
        <v>1.0549952106046301</v>
      </c>
      <c r="AW10" s="17">
        <v>-1</v>
      </c>
      <c r="AX10" s="17">
        <v>0</v>
      </c>
      <c r="AY10" s="17" t="s">
        <v>43</v>
      </c>
    </row>
    <row r="11" spans="1:51" ht="14.5" x14ac:dyDescent="0.35">
      <c r="A11">
        <v>58</v>
      </c>
      <c r="B11" t="s">
        <v>105</v>
      </c>
      <c r="C11" t="s">
        <v>106</v>
      </c>
      <c r="D11" s="13">
        <v>0.58151300579436283</v>
      </c>
      <c r="E11" s="15" t="s">
        <v>107</v>
      </c>
      <c r="F11" s="15">
        <v>3</v>
      </c>
      <c r="G11" s="15">
        <v>1</v>
      </c>
      <c r="H11" s="15">
        <v>1</v>
      </c>
      <c r="I11" s="15">
        <v>3</v>
      </c>
      <c r="J11" s="15">
        <v>3</v>
      </c>
      <c r="K11" s="16">
        <v>1.3713425173473328</v>
      </c>
      <c r="L11" s="16">
        <v>1.1710433456312934</v>
      </c>
      <c r="M11" s="17">
        <v>18.767038411249729</v>
      </c>
      <c r="N11" s="17">
        <v>13.505736615705061</v>
      </c>
      <c r="O11" s="17" t="s">
        <v>108</v>
      </c>
      <c r="P11" s="13">
        <v>0.8547854785478548</v>
      </c>
      <c r="Q11" s="15" t="s">
        <v>109</v>
      </c>
      <c r="R11" s="15">
        <v>1</v>
      </c>
      <c r="S11" s="15">
        <v>3</v>
      </c>
      <c r="T11" s="15">
        <v>1</v>
      </c>
      <c r="U11" s="15">
        <v>3</v>
      </c>
      <c r="V11" s="15">
        <v>2</v>
      </c>
      <c r="W11" s="16">
        <v>1.2456465205819256</v>
      </c>
      <c r="X11" s="16">
        <v>1.1160853554195242</v>
      </c>
      <c r="Y11" s="17">
        <v>30.639331747618421</v>
      </c>
      <c r="Z11" s="17">
        <v>5.2051374397498469</v>
      </c>
      <c r="AA11" s="17" t="s">
        <v>110</v>
      </c>
      <c r="AB11" s="13">
        <v>0</v>
      </c>
      <c r="AC11" s="15" t="s">
        <v>109</v>
      </c>
      <c r="AD11" s="15">
        <v>1</v>
      </c>
      <c r="AE11" s="15">
        <v>3</v>
      </c>
      <c r="AF11" s="15">
        <v>1</v>
      </c>
      <c r="AG11" s="15">
        <v>3</v>
      </c>
      <c r="AH11" s="15">
        <v>2</v>
      </c>
      <c r="AI11" s="16">
        <v>1.2456465205819256</v>
      </c>
      <c r="AJ11" s="16">
        <v>1.1160853554195242</v>
      </c>
      <c r="AK11" s="17">
        <v>0</v>
      </c>
      <c r="AL11" s="17">
        <v>-1</v>
      </c>
      <c r="AM11" s="17" t="s">
        <v>58</v>
      </c>
      <c r="AN11" s="13">
        <v>1</v>
      </c>
      <c r="AO11" s="14" t="s">
        <v>111</v>
      </c>
      <c r="AP11" s="15">
        <v>1</v>
      </c>
      <c r="AQ11" s="15">
        <v>1</v>
      </c>
      <c r="AR11" s="15">
        <v>1</v>
      </c>
      <c r="AS11" s="15">
        <v>1</v>
      </c>
      <c r="AT11" s="15">
        <v>1</v>
      </c>
      <c r="AU11" s="16">
        <v>1.05</v>
      </c>
      <c r="AV11" s="16">
        <v>1.0246950765959599</v>
      </c>
      <c r="AW11" s="17">
        <v>-1</v>
      </c>
      <c r="AX11" s="17">
        <v>0</v>
      </c>
      <c r="AY11" s="17" t="s">
        <v>43</v>
      </c>
    </row>
    <row r="12" spans="1:51" ht="14.5" x14ac:dyDescent="0.35">
      <c r="A12">
        <v>27</v>
      </c>
      <c r="B12" t="s">
        <v>112</v>
      </c>
      <c r="C12" t="s">
        <v>0</v>
      </c>
      <c r="D12" s="13">
        <v>0.43934656568697839</v>
      </c>
      <c r="E12" s="14" t="s">
        <v>113</v>
      </c>
      <c r="F12" s="15">
        <v>1</v>
      </c>
      <c r="G12" s="15">
        <v>4</v>
      </c>
      <c r="H12" s="15">
        <v>1</v>
      </c>
      <c r="I12" s="14">
        <v>2</v>
      </c>
      <c r="J12" s="14">
        <v>1</v>
      </c>
      <c r="K12" s="16">
        <v>1.1925122738235221</v>
      </c>
      <c r="L12" s="16">
        <v>1.0920221031753534</v>
      </c>
      <c r="M12" s="17">
        <v>50.679923065789559</v>
      </c>
      <c r="N12" s="17">
        <v>64.673028394169108</v>
      </c>
      <c r="O12" s="17" t="s">
        <v>114</v>
      </c>
      <c r="P12" s="13">
        <v>0.94001342851084879</v>
      </c>
      <c r="Q12" s="14" t="s">
        <v>113</v>
      </c>
      <c r="R12" s="15">
        <v>1</v>
      </c>
      <c r="S12" s="14">
        <v>4</v>
      </c>
      <c r="T12" s="15">
        <v>1</v>
      </c>
      <c r="U12" s="15">
        <v>2</v>
      </c>
      <c r="V12" s="14">
        <v>1</v>
      </c>
      <c r="W12" s="16">
        <v>1.1925122738235221</v>
      </c>
      <c r="X12" s="16">
        <v>1.0920221031753534</v>
      </c>
      <c r="Y12" s="17">
        <v>24.097882949053627</v>
      </c>
      <c r="Z12" s="17">
        <v>1.5377965190886844</v>
      </c>
      <c r="AA12" s="17" t="s">
        <v>115</v>
      </c>
      <c r="AB12" s="13">
        <v>4.6833578792341679E-2</v>
      </c>
      <c r="AC12" s="14" t="s">
        <v>113</v>
      </c>
      <c r="AD12" s="15">
        <v>1</v>
      </c>
      <c r="AE12" s="15">
        <v>4</v>
      </c>
      <c r="AF12" s="15">
        <v>1</v>
      </c>
      <c r="AG12" s="14">
        <v>2</v>
      </c>
      <c r="AH12" s="14">
        <v>1</v>
      </c>
      <c r="AI12" s="16">
        <v>1.1925122738235221</v>
      </c>
      <c r="AJ12" s="16">
        <v>1.0920221031753534</v>
      </c>
      <c r="AK12" s="17">
        <v>0.94071645291148431</v>
      </c>
      <c r="AL12" s="17">
        <v>19.145650576236246</v>
      </c>
      <c r="AM12" s="17" t="s">
        <v>116</v>
      </c>
      <c r="AN12" s="13">
        <v>0.3087577707492638</v>
      </c>
      <c r="AO12" s="14" t="s">
        <v>113</v>
      </c>
      <c r="AP12" s="15">
        <v>1</v>
      </c>
      <c r="AQ12" s="15">
        <v>4</v>
      </c>
      <c r="AR12" s="15">
        <v>1</v>
      </c>
      <c r="AS12" s="14">
        <v>2</v>
      </c>
      <c r="AT12" s="14">
        <v>1</v>
      </c>
      <c r="AU12" s="16">
        <v>1.1925122738235221</v>
      </c>
      <c r="AV12" s="16">
        <v>1.0920221031753534</v>
      </c>
      <c r="AW12" s="17">
        <v>30.818562697751112</v>
      </c>
      <c r="AX12" s="17">
        <v>68.996132242439614</v>
      </c>
      <c r="AY12" s="17" t="s">
        <v>117</v>
      </c>
    </row>
    <row r="13" spans="1:51" ht="14.5" x14ac:dyDescent="0.35">
      <c r="A13">
        <v>24</v>
      </c>
      <c r="B13" t="s">
        <v>118</v>
      </c>
      <c r="C13" t="s">
        <v>119</v>
      </c>
      <c r="D13" s="13">
        <v>0.75144508670520227</v>
      </c>
      <c r="E13" s="14" t="s">
        <v>120</v>
      </c>
      <c r="F13" s="15">
        <v>1</v>
      </c>
      <c r="G13" s="15">
        <v>4</v>
      </c>
      <c r="H13" s="15">
        <v>1</v>
      </c>
      <c r="I13" s="14">
        <v>2</v>
      </c>
      <c r="J13" s="14">
        <v>1</v>
      </c>
      <c r="K13" s="16">
        <v>1.1925122738235221</v>
      </c>
      <c r="L13" s="16">
        <v>1.0920221031753534</v>
      </c>
      <c r="M13" s="17">
        <v>65.54534970436913</v>
      </c>
      <c r="N13" s="17">
        <v>21.68038490221441</v>
      </c>
      <c r="O13" s="17" t="s">
        <v>121</v>
      </c>
      <c r="P13" s="13">
        <v>0.73451327433628322</v>
      </c>
      <c r="Q13" s="14" t="s">
        <v>120</v>
      </c>
      <c r="R13" s="15">
        <v>1</v>
      </c>
      <c r="S13" s="14">
        <v>4</v>
      </c>
      <c r="T13" s="15">
        <v>1</v>
      </c>
      <c r="U13" s="15">
        <v>2</v>
      </c>
      <c r="V13" s="14">
        <v>1</v>
      </c>
      <c r="W13" s="16">
        <v>1.1925122738235221</v>
      </c>
      <c r="X13" s="16">
        <v>1.0920221031753534</v>
      </c>
      <c r="Y13" s="17">
        <v>66.923274053289035</v>
      </c>
      <c r="Z13" s="17">
        <v>24.189135199983983</v>
      </c>
      <c r="AA13" s="17" t="s">
        <v>122</v>
      </c>
      <c r="AB13" s="13">
        <v>0.67682926829268297</v>
      </c>
      <c r="AC13" s="14" t="s">
        <v>123</v>
      </c>
      <c r="AD13" s="15">
        <v>1</v>
      </c>
      <c r="AE13" s="15">
        <v>4</v>
      </c>
      <c r="AF13" s="15">
        <v>1</v>
      </c>
      <c r="AG13" s="14">
        <v>2</v>
      </c>
      <c r="AH13" s="14">
        <v>1</v>
      </c>
      <c r="AI13" s="16">
        <v>1.1925122738235221</v>
      </c>
      <c r="AJ13" s="16">
        <v>1.0920221031753534</v>
      </c>
      <c r="AK13" s="17">
        <v>69.253563031311018</v>
      </c>
      <c r="AL13" s="17">
        <v>33.067016582517866</v>
      </c>
      <c r="AM13" s="17" t="s">
        <v>124</v>
      </c>
      <c r="AN13" s="13">
        <v>0.51707317073170733</v>
      </c>
      <c r="AO13" s="14" t="s">
        <v>125</v>
      </c>
      <c r="AP13" s="15">
        <v>3</v>
      </c>
      <c r="AQ13" s="15">
        <v>2</v>
      </c>
      <c r="AR13" s="15">
        <v>1</v>
      </c>
      <c r="AS13" s="14">
        <v>2</v>
      </c>
      <c r="AT13" s="14">
        <v>1</v>
      </c>
      <c r="AU13" s="16">
        <v>1.2379951868875012</v>
      </c>
      <c r="AV13" s="16">
        <v>1.1126523207577024</v>
      </c>
      <c r="AW13" s="17">
        <v>40.180175246958292</v>
      </c>
      <c r="AX13" s="17">
        <v>37.526767447630853</v>
      </c>
      <c r="AY13" s="17" t="s">
        <v>126</v>
      </c>
    </row>
    <row r="14" spans="1:51" ht="14.5" x14ac:dyDescent="0.35">
      <c r="A14">
        <v>29</v>
      </c>
      <c r="B14" t="s">
        <v>127</v>
      </c>
      <c r="C14" t="s">
        <v>1</v>
      </c>
      <c r="D14" s="13">
        <v>0.8347457627118644</v>
      </c>
      <c r="E14" s="14" t="s">
        <v>128</v>
      </c>
      <c r="F14" s="15">
        <v>1</v>
      </c>
      <c r="G14" s="15">
        <v>3</v>
      </c>
      <c r="H14" s="15">
        <v>1</v>
      </c>
      <c r="I14" s="14">
        <v>2</v>
      </c>
      <c r="J14" s="14">
        <v>1</v>
      </c>
      <c r="K14" s="16">
        <v>1.1409505340208952</v>
      </c>
      <c r="L14" s="16">
        <v>1.0681528607932926</v>
      </c>
      <c r="M14" s="17">
        <v>98.328985712214077</v>
      </c>
      <c r="N14" s="17">
        <v>19.466144379575375</v>
      </c>
      <c r="O14" s="17" t="s">
        <v>129</v>
      </c>
      <c r="P14" s="13">
        <v>0.82411067193675891</v>
      </c>
      <c r="Q14" s="14" t="s">
        <v>128</v>
      </c>
      <c r="R14" s="15">
        <v>1</v>
      </c>
      <c r="S14" s="14">
        <v>3</v>
      </c>
      <c r="T14" s="15">
        <v>1</v>
      </c>
      <c r="U14" s="15">
        <v>2</v>
      </c>
      <c r="V14" s="14">
        <v>1</v>
      </c>
      <c r="W14" s="16">
        <v>1.1409505340208952</v>
      </c>
      <c r="X14" s="16">
        <v>1.0681528607932926</v>
      </c>
      <c r="Y14" s="17">
        <v>102.04911940449594</v>
      </c>
      <c r="Z14" s="17">
        <v>21.780267690647811</v>
      </c>
      <c r="AA14" s="17" t="s">
        <v>130</v>
      </c>
      <c r="AB14" s="13">
        <v>0.92307692307692313</v>
      </c>
      <c r="AC14" s="14" t="s">
        <v>128</v>
      </c>
      <c r="AD14" s="15">
        <v>1</v>
      </c>
      <c r="AE14" s="15">
        <v>3</v>
      </c>
      <c r="AF14" s="15">
        <v>1</v>
      </c>
      <c r="AG14" s="14">
        <v>2</v>
      </c>
      <c r="AH14" s="14">
        <v>1</v>
      </c>
      <c r="AI14" s="16">
        <v>1.1409505340208952</v>
      </c>
      <c r="AJ14" s="16">
        <v>1.0681528607932926</v>
      </c>
      <c r="AK14" s="17">
        <v>55.521762957159901</v>
      </c>
      <c r="AL14" s="17">
        <v>4.6268135797633221</v>
      </c>
      <c r="AM14" s="17" t="s">
        <v>131</v>
      </c>
      <c r="AN14" s="13">
        <v>1</v>
      </c>
      <c r="AO14" s="14" t="s">
        <v>128</v>
      </c>
      <c r="AP14" s="15">
        <v>1</v>
      </c>
      <c r="AQ14" s="15">
        <v>3</v>
      </c>
      <c r="AR14" s="15">
        <v>1</v>
      </c>
      <c r="AS14" s="14">
        <v>2</v>
      </c>
      <c r="AT14" s="14">
        <v>1</v>
      </c>
      <c r="AU14" s="16">
        <v>1.1409505340208952</v>
      </c>
      <c r="AV14" s="16">
        <v>1.0681528607932926</v>
      </c>
      <c r="AW14" s="17">
        <v>-1</v>
      </c>
      <c r="AX14" s="17">
        <v>0</v>
      </c>
      <c r="AY14" s="17" t="s">
        <v>43</v>
      </c>
    </row>
    <row r="15" spans="1:51" ht="14.5" x14ac:dyDescent="0.35">
      <c r="A15">
        <v>66</v>
      </c>
      <c r="B15" t="s">
        <v>132</v>
      </c>
      <c r="C15" t="s">
        <v>133</v>
      </c>
      <c r="D15" s="13">
        <v>0.6621811901957797</v>
      </c>
      <c r="E15" s="15" t="s">
        <v>107</v>
      </c>
      <c r="F15" s="15">
        <v>3</v>
      </c>
      <c r="G15" s="15">
        <v>1</v>
      </c>
      <c r="H15" s="15">
        <v>1</v>
      </c>
      <c r="I15" s="15">
        <v>3</v>
      </c>
      <c r="J15" s="15">
        <v>3</v>
      </c>
      <c r="K15" s="16">
        <v>1.3713425173473328</v>
      </c>
      <c r="L15" s="16">
        <v>1.1710433456312934</v>
      </c>
      <c r="M15" s="17">
        <v>19.590621580155791</v>
      </c>
      <c r="N15" s="17">
        <v>9.9943649314116119</v>
      </c>
      <c r="O15" s="17" t="s">
        <v>134</v>
      </c>
      <c r="P15" s="13">
        <v>0.5625</v>
      </c>
      <c r="Q15" s="15" t="s">
        <v>109</v>
      </c>
      <c r="R15" s="15">
        <v>1</v>
      </c>
      <c r="S15" s="15">
        <v>3</v>
      </c>
      <c r="T15" s="15">
        <v>1</v>
      </c>
      <c r="U15" s="15">
        <v>3</v>
      </c>
      <c r="V15" s="15">
        <v>2</v>
      </c>
      <c r="W15" s="16">
        <v>1.2456465205819256</v>
      </c>
      <c r="X15" s="16">
        <v>1.1160853554195242</v>
      </c>
      <c r="Y15" s="17">
        <v>40.526751634223146</v>
      </c>
      <c r="Z15" s="17">
        <v>31.520806826617999</v>
      </c>
      <c r="AA15" s="17" t="s">
        <v>135</v>
      </c>
      <c r="AB15" s="13">
        <v>0.5714285714285714</v>
      </c>
      <c r="AC15" s="15" t="s">
        <v>109</v>
      </c>
      <c r="AD15" s="15">
        <v>3</v>
      </c>
      <c r="AE15" s="15">
        <v>3</v>
      </c>
      <c r="AF15" s="15">
        <v>1</v>
      </c>
      <c r="AG15" s="15">
        <v>3</v>
      </c>
      <c r="AH15" s="15">
        <v>2</v>
      </c>
      <c r="AI15" s="16">
        <v>1.3303783351797707</v>
      </c>
      <c r="AJ15" s="16">
        <v>1.1534202769068049</v>
      </c>
      <c r="AK15" s="17">
        <v>23.210199575273055</v>
      </c>
      <c r="AL15" s="17">
        <v>17.407649681454796</v>
      </c>
      <c r="AM15" s="17" t="s">
        <v>136</v>
      </c>
      <c r="AN15" s="13">
        <v>1</v>
      </c>
      <c r="AO15" s="14" t="s">
        <v>137</v>
      </c>
      <c r="AP15" s="15">
        <v>1</v>
      </c>
      <c r="AQ15" s="15">
        <v>1</v>
      </c>
      <c r="AR15" s="15">
        <v>1</v>
      </c>
      <c r="AS15" s="15">
        <v>1</v>
      </c>
      <c r="AT15" s="15">
        <v>1</v>
      </c>
      <c r="AU15" s="16">
        <v>1.05</v>
      </c>
      <c r="AV15" s="16">
        <v>1.0246950765959599</v>
      </c>
      <c r="AW15" s="17">
        <v>-1</v>
      </c>
      <c r="AX15" s="17">
        <v>0</v>
      </c>
      <c r="AY15" s="17" t="s">
        <v>43</v>
      </c>
    </row>
    <row r="16" spans="1:51" ht="14.5" x14ac:dyDescent="0.35">
      <c r="A16">
        <v>68</v>
      </c>
      <c r="B16" t="s">
        <v>138</v>
      </c>
      <c r="C16" t="s">
        <v>139</v>
      </c>
      <c r="D16" s="13">
        <v>0.66749104784218516</v>
      </c>
      <c r="E16" s="15" t="s">
        <v>107</v>
      </c>
      <c r="F16" s="15">
        <v>4</v>
      </c>
      <c r="G16" s="15">
        <v>1</v>
      </c>
      <c r="H16" s="15">
        <v>1</v>
      </c>
      <c r="I16" s="15">
        <v>3</v>
      </c>
      <c r="J16" s="15">
        <v>3</v>
      </c>
      <c r="K16" s="16">
        <v>1.5279171865856971</v>
      </c>
      <c r="L16" s="16">
        <v>1.2360894735356729</v>
      </c>
      <c r="M16" s="17">
        <v>9.9641664479370533</v>
      </c>
      <c r="N16" s="17">
        <v>4.9636239398868147</v>
      </c>
      <c r="O16" s="17" t="s">
        <v>140</v>
      </c>
      <c r="P16" s="13">
        <v>0.85</v>
      </c>
      <c r="Q16" s="15" t="s">
        <v>141</v>
      </c>
      <c r="R16" s="15">
        <v>3</v>
      </c>
      <c r="S16" s="15">
        <v>3</v>
      </c>
      <c r="T16" s="15">
        <v>1</v>
      </c>
      <c r="U16" s="15">
        <v>3</v>
      </c>
      <c r="V16" s="15">
        <v>3</v>
      </c>
      <c r="W16" s="16">
        <v>1.3840763218302521</v>
      </c>
      <c r="X16" s="16">
        <v>1.1764677308920344</v>
      </c>
      <c r="Y16" s="17">
        <v>13.070617457485042</v>
      </c>
      <c r="Z16" s="17">
        <v>2.3065795513208904</v>
      </c>
      <c r="AA16" s="17" t="s">
        <v>142</v>
      </c>
      <c r="AB16" s="13">
        <v>0</v>
      </c>
      <c r="AC16" s="14" t="s">
        <v>143</v>
      </c>
      <c r="AD16" s="15">
        <v>3</v>
      </c>
      <c r="AE16" s="15">
        <v>1</v>
      </c>
      <c r="AF16" s="15">
        <v>1</v>
      </c>
      <c r="AG16" s="15">
        <v>3</v>
      </c>
      <c r="AH16" s="15">
        <v>3</v>
      </c>
      <c r="AI16" s="16">
        <v>1.3713425173473328</v>
      </c>
      <c r="AJ16" s="16">
        <v>1.1710433456312934</v>
      </c>
      <c r="AK16" s="17">
        <v>0</v>
      </c>
      <c r="AL16" s="17">
        <v>-1</v>
      </c>
      <c r="AM16" s="17" t="s">
        <v>58</v>
      </c>
      <c r="AN16" s="13">
        <v>0</v>
      </c>
      <c r="AO16" s="14" t="s">
        <v>144</v>
      </c>
      <c r="AP16" s="15">
        <v>3</v>
      </c>
      <c r="AQ16" s="15">
        <v>1</v>
      </c>
      <c r="AR16" s="15">
        <v>1</v>
      </c>
      <c r="AS16" s="15">
        <v>3</v>
      </c>
      <c r="AT16" s="15">
        <v>3</v>
      </c>
      <c r="AU16" s="16">
        <v>1.3713425173473328</v>
      </c>
      <c r="AV16" s="16">
        <v>1.1710433456312934</v>
      </c>
      <c r="AW16" s="17">
        <v>0</v>
      </c>
      <c r="AX16" s="17">
        <v>-1</v>
      </c>
      <c r="AY16" s="17" t="s">
        <v>58</v>
      </c>
    </row>
    <row r="17" spans="1:51" ht="14.5" x14ac:dyDescent="0.35">
      <c r="A17">
        <v>63</v>
      </c>
      <c r="B17" t="s">
        <v>145</v>
      </c>
      <c r="C17" t="s">
        <v>146</v>
      </c>
      <c r="D17" s="13">
        <v>0.61816718448448926</v>
      </c>
      <c r="E17" s="15" t="s">
        <v>107</v>
      </c>
      <c r="F17" s="15">
        <v>3</v>
      </c>
      <c r="G17" s="15">
        <v>1</v>
      </c>
      <c r="H17" s="15">
        <v>1</v>
      </c>
      <c r="I17" s="15">
        <v>3</v>
      </c>
      <c r="J17" s="15">
        <v>3</v>
      </c>
      <c r="K17" s="16">
        <v>1.3713425173473328</v>
      </c>
      <c r="L17" s="16">
        <v>1.1710433456312934</v>
      </c>
      <c r="M17" s="17">
        <v>19.33136743805197</v>
      </c>
      <c r="N17" s="17">
        <v>11.940702518513353</v>
      </c>
      <c r="O17" s="17" t="s">
        <v>147</v>
      </c>
      <c r="P17" s="13">
        <v>0.8</v>
      </c>
      <c r="Q17" s="15" t="s">
        <v>109</v>
      </c>
      <c r="R17" s="15">
        <v>3</v>
      </c>
      <c r="S17" s="15">
        <v>3</v>
      </c>
      <c r="T17" s="15">
        <v>1</v>
      </c>
      <c r="U17" s="15">
        <v>3</v>
      </c>
      <c r="V17" s="15">
        <v>2</v>
      </c>
      <c r="W17" s="16">
        <v>1.3303783351797707</v>
      </c>
      <c r="X17" s="16">
        <v>1.1534202769068049</v>
      </c>
      <c r="Y17" s="17">
        <v>20.952262544849756</v>
      </c>
      <c r="Z17" s="17">
        <v>5.2380656362124371</v>
      </c>
      <c r="AA17" s="17" t="s">
        <v>148</v>
      </c>
      <c r="AB17" s="13">
        <v>0</v>
      </c>
      <c r="AC17" s="15" t="s">
        <v>109</v>
      </c>
      <c r="AD17" s="15">
        <v>1</v>
      </c>
      <c r="AE17" s="15">
        <v>3</v>
      </c>
      <c r="AF17" s="15">
        <v>1</v>
      </c>
      <c r="AG17" s="15">
        <v>3</v>
      </c>
      <c r="AH17" s="15">
        <v>2</v>
      </c>
      <c r="AI17" s="16">
        <v>1.2456465205819256</v>
      </c>
      <c r="AJ17" s="16">
        <v>1.1160853554195242</v>
      </c>
      <c r="AK17" s="17">
        <v>0</v>
      </c>
      <c r="AL17" s="17">
        <v>-1</v>
      </c>
      <c r="AM17" s="17" t="s">
        <v>58</v>
      </c>
      <c r="AN17" s="13">
        <v>1</v>
      </c>
      <c r="AO17" s="14" t="s">
        <v>149</v>
      </c>
      <c r="AP17" s="15">
        <v>1</v>
      </c>
      <c r="AQ17" s="15">
        <v>1</v>
      </c>
      <c r="AR17" s="15">
        <v>1</v>
      </c>
      <c r="AS17" s="15">
        <v>1</v>
      </c>
      <c r="AT17" s="15">
        <v>1</v>
      </c>
      <c r="AU17" s="16">
        <v>1.05</v>
      </c>
      <c r="AV17" s="16">
        <v>1.0246950765959599</v>
      </c>
      <c r="AW17" s="17">
        <v>-1</v>
      </c>
      <c r="AX17" s="17">
        <v>0</v>
      </c>
      <c r="AY17" s="17" t="s">
        <v>43</v>
      </c>
    </row>
    <row r="18" spans="1:51" ht="14.5" x14ac:dyDescent="0.35">
      <c r="A18">
        <v>26</v>
      </c>
      <c r="B18" t="s">
        <v>150</v>
      </c>
      <c r="C18" t="s">
        <v>151</v>
      </c>
      <c r="D18" s="13">
        <v>0.87408949011446413</v>
      </c>
      <c r="E18" s="14" t="s">
        <v>152</v>
      </c>
      <c r="F18" s="15">
        <v>1</v>
      </c>
      <c r="G18" s="15">
        <v>1</v>
      </c>
      <c r="H18" s="15">
        <v>1</v>
      </c>
      <c r="I18" s="14">
        <v>1</v>
      </c>
      <c r="J18" s="14">
        <v>1</v>
      </c>
      <c r="K18" s="16">
        <v>1.05</v>
      </c>
      <c r="L18" s="16">
        <v>1.0246950765959599</v>
      </c>
      <c r="M18" s="17">
        <v>630.10216489349875</v>
      </c>
      <c r="N18" s="17">
        <v>90.764716609658734</v>
      </c>
      <c r="O18" s="17" t="s">
        <v>153</v>
      </c>
      <c r="P18" s="13">
        <v>0.88809523809523805</v>
      </c>
      <c r="Q18" s="14" t="s">
        <v>152</v>
      </c>
      <c r="R18" s="15">
        <v>1</v>
      </c>
      <c r="S18" s="14">
        <v>4</v>
      </c>
      <c r="T18" s="15">
        <v>1</v>
      </c>
      <c r="U18" s="15">
        <v>1</v>
      </c>
      <c r="V18" s="14">
        <v>1</v>
      </c>
      <c r="W18" s="16">
        <v>1.1595515978754811</v>
      </c>
      <c r="X18" s="16">
        <v>1.0768247758458573</v>
      </c>
      <c r="Y18" s="17">
        <v>58.928961239950219</v>
      </c>
      <c r="Z18" s="17">
        <v>7.4253650892162506</v>
      </c>
      <c r="AA18" s="17" t="s">
        <v>154</v>
      </c>
      <c r="AB18" s="13">
        <v>1</v>
      </c>
      <c r="AC18" s="14" t="s">
        <v>152</v>
      </c>
      <c r="AD18" s="15">
        <v>1</v>
      </c>
      <c r="AE18" s="15">
        <v>4</v>
      </c>
      <c r="AF18" s="15">
        <v>1</v>
      </c>
      <c r="AG18" s="14">
        <v>1</v>
      </c>
      <c r="AH18" s="14">
        <v>1</v>
      </c>
      <c r="AI18" s="16">
        <v>1.1595515978754811</v>
      </c>
      <c r="AJ18" s="16">
        <v>1.0768247758458573</v>
      </c>
      <c r="AK18" s="17">
        <v>-1</v>
      </c>
      <c r="AL18" s="17">
        <v>0</v>
      </c>
      <c r="AM18" s="17" t="s">
        <v>43</v>
      </c>
      <c r="AN18" s="13">
        <v>0.94</v>
      </c>
      <c r="AO18" s="14" t="s">
        <v>152</v>
      </c>
      <c r="AP18" s="15">
        <v>1</v>
      </c>
      <c r="AQ18" s="15">
        <v>4</v>
      </c>
      <c r="AR18" s="15">
        <v>1</v>
      </c>
      <c r="AS18" s="14">
        <v>1</v>
      </c>
      <c r="AT18" s="14">
        <v>1</v>
      </c>
      <c r="AU18" s="16">
        <v>1.1595515978754811</v>
      </c>
      <c r="AV18" s="16">
        <v>1.0768247758458573</v>
      </c>
      <c r="AW18" s="17">
        <v>34.990589730607198</v>
      </c>
      <c r="AX18" s="17">
        <v>2.2334418976983339</v>
      </c>
      <c r="AY18" s="17" t="s">
        <v>155</v>
      </c>
    </row>
    <row r="19" spans="1:51" ht="14.5" x14ac:dyDescent="0.35">
      <c r="A19">
        <v>31</v>
      </c>
      <c r="B19" t="s">
        <v>156</v>
      </c>
      <c r="C19" t="s">
        <v>157</v>
      </c>
      <c r="D19" s="13">
        <v>1.796919566457502E-2</v>
      </c>
      <c r="E19" s="14" t="s">
        <v>158</v>
      </c>
      <c r="F19" s="15">
        <v>1</v>
      </c>
      <c r="G19" s="15">
        <v>3</v>
      </c>
      <c r="H19" s="15">
        <v>1</v>
      </c>
      <c r="I19" s="14">
        <v>2</v>
      </c>
      <c r="J19" s="14">
        <v>2</v>
      </c>
      <c r="K19" s="16">
        <v>1.1679066507053673</v>
      </c>
      <c r="L19" s="16">
        <v>1.0806972983705323</v>
      </c>
      <c r="M19" s="17">
        <v>0.17680184595901238</v>
      </c>
      <c r="N19" s="17">
        <v>9.6623612005853872</v>
      </c>
      <c r="O19" s="17" t="s">
        <v>159</v>
      </c>
      <c r="P19" s="13">
        <v>0.27621998450813318</v>
      </c>
      <c r="Q19" s="14" t="s">
        <v>160</v>
      </c>
      <c r="R19" s="15">
        <v>1</v>
      </c>
      <c r="S19" s="14">
        <v>3</v>
      </c>
      <c r="T19" s="15">
        <v>1</v>
      </c>
      <c r="U19" s="15">
        <v>2</v>
      </c>
      <c r="V19" s="14">
        <v>2</v>
      </c>
      <c r="W19" s="16">
        <v>1.1679066507053673</v>
      </c>
      <c r="X19" s="16">
        <v>1.0806972983705323</v>
      </c>
      <c r="Y19" s="17">
        <v>33.644009451250071</v>
      </c>
      <c r="Z19" s="17">
        <v>88.157494198676588</v>
      </c>
      <c r="AA19" s="17" t="s">
        <v>161</v>
      </c>
      <c r="AB19" s="13">
        <v>0.80175551273817169</v>
      </c>
      <c r="AC19" s="14" t="s">
        <v>160</v>
      </c>
      <c r="AD19" s="15">
        <v>1</v>
      </c>
      <c r="AE19" s="15">
        <v>3</v>
      </c>
      <c r="AF19" s="15">
        <v>1</v>
      </c>
      <c r="AG19" s="14">
        <v>2</v>
      </c>
      <c r="AH19" s="14">
        <v>2</v>
      </c>
      <c r="AI19" s="16">
        <v>1.1679066507053673</v>
      </c>
      <c r="AJ19" s="16">
        <v>1.0806972983705323</v>
      </c>
      <c r="AK19" s="17">
        <v>77.473956978095742</v>
      </c>
      <c r="AL19" s="17">
        <v>19.156444368949707</v>
      </c>
      <c r="AM19" s="17" t="s">
        <v>162</v>
      </c>
      <c r="AN19" s="13">
        <v>0.7142857142857143</v>
      </c>
      <c r="AO19" s="14" t="s">
        <v>160</v>
      </c>
      <c r="AP19" s="15">
        <v>1</v>
      </c>
      <c r="AQ19" s="15">
        <v>3</v>
      </c>
      <c r="AR19" s="15">
        <v>1</v>
      </c>
      <c r="AS19" s="14">
        <v>2</v>
      </c>
      <c r="AT19" s="14">
        <v>2</v>
      </c>
      <c r="AU19" s="16">
        <v>1.1679066507053673</v>
      </c>
      <c r="AV19" s="16">
        <v>1.0806972983705323</v>
      </c>
      <c r="AW19" s="17">
        <v>88.825878142630572</v>
      </c>
      <c r="AX19" s="17">
        <v>35.530351257052224</v>
      </c>
      <c r="AY19" s="17" t="s">
        <v>163</v>
      </c>
    </row>
    <row r="20" spans="1:51" ht="14.5" x14ac:dyDescent="0.35">
      <c r="A20">
        <v>64</v>
      </c>
      <c r="B20" t="s">
        <v>164</v>
      </c>
      <c r="C20" t="s">
        <v>165</v>
      </c>
      <c r="D20" s="13">
        <v>0.63985820553182704</v>
      </c>
      <c r="E20" s="15" t="s">
        <v>107</v>
      </c>
      <c r="F20" s="15">
        <v>3</v>
      </c>
      <c r="G20" s="15">
        <v>1</v>
      </c>
      <c r="H20" s="15">
        <v>1</v>
      </c>
      <c r="I20" s="15">
        <v>3</v>
      </c>
      <c r="J20" s="15">
        <v>3</v>
      </c>
      <c r="K20" s="16">
        <v>1.3713425173473328</v>
      </c>
      <c r="L20" s="16">
        <v>1.1710433456312934</v>
      </c>
      <c r="M20" s="17">
        <v>19.520054039194324</v>
      </c>
      <c r="N20" s="17">
        <v>10.986789305840158</v>
      </c>
      <c r="O20" s="17" t="s">
        <v>166</v>
      </c>
      <c r="P20" s="13">
        <v>0.69565217391304357</v>
      </c>
      <c r="Q20" s="15" t="s">
        <v>109</v>
      </c>
      <c r="R20" s="15">
        <v>1</v>
      </c>
      <c r="S20" s="15">
        <v>3</v>
      </c>
      <c r="T20" s="15">
        <v>1</v>
      </c>
      <c r="U20" s="15">
        <v>3</v>
      </c>
      <c r="V20" s="15">
        <v>3</v>
      </c>
      <c r="W20" s="16">
        <v>1.308762891140433</v>
      </c>
      <c r="X20" s="16">
        <v>1.1440117530604452</v>
      </c>
      <c r="Y20" s="17">
        <v>27.710905865485028</v>
      </c>
      <c r="Z20" s="17">
        <v>12.123521316149695</v>
      </c>
      <c r="AA20" s="17" t="s">
        <v>167</v>
      </c>
      <c r="AB20" s="13">
        <v>0.2</v>
      </c>
      <c r="AC20" s="15" t="s">
        <v>109</v>
      </c>
      <c r="AD20" s="15">
        <v>1</v>
      </c>
      <c r="AE20" s="15">
        <v>3</v>
      </c>
      <c r="AF20" s="15">
        <v>1</v>
      </c>
      <c r="AG20" s="15">
        <v>3</v>
      </c>
      <c r="AH20" s="15">
        <v>3</v>
      </c>
      <c r="AI20" s="16">
        <v>1.308762891140433</v>
      </c>
      <c r="AJ20" s="16">
        <v>1.1440117530604452</v>
      </c>
      <c r="AK20" s="17">
        <v>5.9718319940242228</v>
      </c>
      <c r="AL20" s="17">
        <v>23.887327976096891</v>
      </c>
      <c r="AM20" s="17" t="s">
        <v>168</v>
      </c>
      <c r="AN20" s="13">
        <v>1</v>
      </c>
      <c r="AO20" s="14" t="s">
        <v>137</v>
      </c>
      <c r="AP20" s="15">
        <v>1</v>
      </c>
      <c r="AQ20" s="15">
        <v>1</v>
      </c>
      <c r="AR20" s="15">
        <v>1</v>
      </c>
      <c r="AS20" s="15">
        <v>1</v>
      </c>
      <c r="AT20" s="15">
        <v>1</v>
      </c>
      <c r="AU20" s="16">
        <v>1.05</v>
      </c>
      <c r="AV20" s="16">
        <v>1.0246950765959599</v>
      </c>
      <c r="AW20" s="17">
        <v>-1</v>
      </c>
      <c r="AX20" s="17">
        <v>0</v>
      </c>
      <c r="AY20" s="17" t="s">
        <v>43</v>
      </c>
    </row>
    <row r="21" spans="1:51" ht="14.5" x14ac:dyDescent="0.35">
      <c r="A21">
        <v>32</v>
      </c>
      <c r="B21" t="s">
        <v>169</v>
      </c>
      <c r="C21" t="s">
        <v>170</v>
      </c>
      <c r="D21" s="13">
        <v>6.5774804905239679E-3</v>
      </c>
      <c r="E21" s="14" t="s">
        <v>160</v>
      </c>
      <c r="F21" s="15">
        <v>1</v>
      </c>
      <c r="G21" s="15">
        <v>3</v>
      </c>
      <c r="H21" s="15">
        <v>1</v>
      </c>
      <c r="I21" s="14">
        <v>2</v>
      </c>
      <c r="J21" s="14">
        <v>2</v>
      </c>
      <c r="K21" s="16">
        <v>1.1679066507053673</v>
      </c>
      <c r="L21" s="16">
        <v>1.0806972983705323</v>
      </c>
      <c r="M21" s="16">
        <v>1.9821985274716219E-2</v>
      </c>
      <c r="N21" s="16">
        <v>2.993791708186377</v>
      </c>
      <c r="O21" s="17" t="s">
        <v>171</v>
      </c>
      <c r="P21" s="13">
        <v>0.41525423728813549</v>
      </c>
      <c r="Q21" s="14" t="s">
        <v>160</v>
      </c>
      <c r="R21" s="15">
        <v>1</v>
      </c>
      <c r="S21" s="14">
        <v>3</v>
      </c>
      <c r="T21" s="15">
        <v>1</v>
      </c>
      <c r="U21" s="15">
        <v>2</v>
      </c>
      <c r="V21" s="14">
        <v>2</v>
      </c>
      <c r="W21" s="16">
        <v>1.1679066507053673</v>
      </c>
      <c r="X21" s="16">
        <v>1.0806972983705323</v>
      </c>
      <c r="Y21" s="17">
        <v>61.519900845046593</v>
      </c>
      <c r="Z21" s="17">
        <v>86.630064455269732</v>
      </c>
      <c r="AA21" s="17" t="s">
        <v>172</v>
      </c>
      <c r="AB21" s="13">
        <v>1</v>
      </c>
      <c r="AC21" s="14" t="s">
        <v>160</v>
      </c>
      <c r="AD21" s="15">
        <v>1</v>
      </c>
      <c r="AE21" s="15">
        <v>3</v>
      </c>
      <c r="AF21" s="15">
        <v>1</v>
      </c>
      <c r="AG21" s="14">
        <v>2</v>
      </c>
      <c r="AH21" s="14">
        <v>2</v>
      </c>
      <c r="AI21" s="16">
        <v>1.1679066507053673</v>
      </c>
      <c r="AJ21" s="16">
        <v>1.0806972983705323</v>
      </c>
      <c r="AK21" s="17">
        <v>-1</v>
      </c>
      <c r="AL21" s="17">
        <v>0</v>
      </c>
      <c r="AM21" s="17" t="s">
        <v>43</v>
      </c>
      <c r="AN21" s="13">
        <v>0.51304347826086949</v>
      </c>
      <c r="AO21" s="14" t="s">
        <v>173</v>
      </c>
      <c r="AP21" s="15">
        <v>1</v>
      </c>
      <c r="AQ21" s="15">
        <v>3</v>
      </c>
      <c r="AR21" s="15">
        <v>1</v>
      </c>
      <c r="AS21" s="14">
        <v>2</v>
      </c>
      <c r="AT21" s="14">
        <v>2</v>
      </c>
      <c r="AU21" s="16">
        <v>1.1679066507053673</v>
      </c>
      <c r="AV21" s="16">
        <v>1.0806972983705323</v>
      </c>
      <c r="AW21" s="17">
        <v>78.217006971550688</v>
      </c>
      <c r="AX21" s="17">
        <v>74.239871023844756</v>
      </c>
      <c r="AY21" s="17" t="s">
        <v>174</v>
      </c>
    </row>
    <row r="22" spans="1:51" ht="14.5" x14ac:dyDescent="0.35">
      <c r="A22">
        <v>72</v>
      </c>
      <c r="B22" t="s">
        <v>175</v>
      </c>
      <c r="C22" t="s">
        <v>176</v>
      </c>
      <c r="D22" s="19">
        <v>2.717391304347826E-3</v>
      </c>
      <c r="E22" s="14" t="s">
        <v>177</v>
      </c>
      <c r="F22" s="15">
        <v>3</v>
      </c>
      <c r="G22" s="14">
        <v>1</v>
      </c>
      <c r="H22" s="14">
        <v>1</v>
      </c>
      <c r="I22" s="14">
        <v>3</v>
      </c>
      <c r="J22" s="14">
        <v>1</v>
      </c>
      <c r="K22" s="16">
        <v>1.3000688016831126</v>
      </c>
      <c r="L22" s="16">
        <v>1.1402055962339039</v>
      </c>
      <c r="M22" s="16">
        <v>-1.2189080214020857E-3</v>
      </c>
      <c r="N22" s="17">
        <v>-0.44733924385456553</v>
      </c>
      <c r="O22" s="17" t="s">
        <v>178</v>
      </c>
      <c r="P22" s="13">
        <v>0.95</v>
      </c>
      <c r="Q22" s="14" t="s">
        <v>72</v>
      </c>
      <c r="R22" s="15">
        <v>3</v>
      </c>
      <c r="S22" s="14">
        <v>1</v>
      </c>
      <c r="T22" s="14">
        <v>1</v>
      </c>
      <c r="U22" s="14">
        <v>3</v>
      </c>
      <c r="V22" s="14">
        <v>1</v>
      </c>
      <c r="W22" s="16">
        <v>1.3000688016831126</v>
      </c>
      <c r="X22" s="16">
        <v>1.1402055962339039</v>
      </c>
      <c r="Y22" s="17">
        <v>8.2321949466505444</v>
      </c>
      <c r="Z22" s="17">
        <v>0.43327341824476595</v>
      </c>
      <c r="AA22" s="17" t="s">
        <v>73</v>
      </c>
      <c r="AB22" s="13">
        <v>0</v>
      </c>
      <c r="AC22" s="15" t="s">
        <v>74</v>
      </c>
      <c r="AD22" s="15">
        <v>1</v>
      </c>
      <c r="AE22" s="15">
        <v>1</v>
      </c>
      <c r="AF22" s="15">
        <v>1</v>
      </c>
      <c r="AG22" s="15">
        <v>1</v>
      </c>
      <c r="AH22" s="15">
        <v>1</v>
      </c>
      <c r="AI22" s="16">
        <v>1.05</v>
      </c>
      <c r="AJ22" s="16">
        <v>1.0246950765959599</v>
      </c>
      <c r="AK22" s="17">
        <v>0</v>
      </c>
      <c r="AL22" s="17">
        <v>-1</v>
      </c>
      <c r="AM22" s="17" t="s">
        <v>58</v>
      </c>
      <c r="AN22" s="13">
        <v>0</v>
      </c>
      <c r="AO22" s="14" t="s">
        <v>179</v>
      </c>
      <c r="AP22" s="15">
        <v>1</v>
      </c>
      <c r="AQ22" s="14">
        <v>1</v>
      </c>
      <c r="AR22" s="14">
        <v>1</v>
      </c>
      <c r="AS22" s="14">
        <v>1</v>
      </c>
      <c r="AT22" s="14">
        <v>1</v>
      </c>
      <c r="AU22" s="16">
        <v>1.05</v>
      </c>
      <c r="AV22" s="16">
        <v>1.0246950765959599</v>
      </c>
      <c r="AW22" s="17">
        <v>0</v>
      </c>
      <c r="AX22" s="17">
        <v>-1</v>
      </c>
      <c r="AY22" s="17" t="s">
        <v>58</v>
      </c>
    </row>
    <row r="23" spans="1:51" ht="14.5" x14ac:dyDescent="0.35">
      <c r="A23">
        <v>80</v>
      </c>
      <c r="B23" t="s">
        <v>180</v>
      </c>
      <c r="C23" t="s">
        <v>181</v>
      </c>
      <c r="D23" s="13">
        <v>0.85499999999999998</v>
      </c>
      <c r="E23" s="14" t="s">
        <v>182</v>
      </c>
      <c r="F23" s="15">
        <v>3</v>
      </c>
      <c r="G23" s="14">
        <v>4</v>
      </c>
      <c r="H23" s="14">
        <v>1</v>
      </c>
      <c r="I23" s="14">
        <v>3</v>
      </c>
      <c r="J23" s="14">
        <v>1</v>
      </c>
      <c r="K23" s="16">
        <v>1.3462392336889575</v>
      </c>
      <c r="L23" s="16">
        <v>1.1602754990470829</v>
      </c>
      <c r="M23" s="17">
        <v>15.650395959774235</v>
      </c>
      <c r="N23" s="17">
        <v>2.6541607183242859</v>
      </c>
      <c r="O23" s="17" t="s">
        <v>183</v>
      </c>
      <c r="P23" s="13">
        <v>0.95</v>
      </c>
      <c r="Q23" s="14" t="s">
        <v>184</v>
      </c>
      <c r="R23" s="15">
        <v>3</v>
      </c>
      <c r="S23" s="14">
        <v>1</v>
      </c>
      <c r="T23" s="14">
        <v>1</v>
      </c>
      <c r="U23" s="14">
        <v>3</v>
      </c>
      <c r="V23" s="14">
        <v>1</v>
      </c>
      <c r="W23" s="16">
        <v>1.3000688016831126</v>
      </c>
      <c r="X23" s="16">
        <v>1.1402055962339039</v>
      </c>
      <c r="Y23" s="17">
        <v>8.2321949466505444</v>
      </c>
      <c r="Z23" s="17">
        <v>0.43327341824476595</v>
      </c>
      <c r="AA23" s="17" t="s">
        <v>73</v>
      </c>
      <c r="AB23" s="13">
        <v>0</v>
      </c>
      <c r="AC23" s="15" t="s">
        <v>74</v>
      </c>
      <c r="AD23" s="15">
        <v>1</v>
      </c>
      <c r="AE23" s="15">
        <v>1</v>
      </c>
      <c r="AF23" s="15">
        <v>1</v>
      </c>
      <c r="AG23" s="15">
        <v>1</v>
      </c>
      <c r="AH23" s="15">
        <v>1</v>
      </c>
      <c r="AI23" s="16">
        <v>1.05</v>
      </c>
      <c r="AJ23" s="16">
        <v>1.0246950765959599</v>
      </c>
      <c r="AK23" s="17">
        <v>0</v>
      </c>
      <c r="AL23" s="17">
        <v>-1</v>
      </c>
      <c r="AM23" s="17" t="s">
        <v>58</v>
      </c>
      <c r="AN23" s="13">
        <v>0.95</v>
      </c>
      <c r="AO23" s="14" t="s">
        <v>72</v>
      </c>
      <c r="AP23" s="15">
        <v>3</v>
      </c>
      <c r="AQ23" s="14">
        <v>1</v>
      </c>
      <c r="AR23" s="14">
        <v>1</v>
      </c>
      <c r="AS23" s="14">
        <v>3</v>
      </c>
      <c r="AT23" s="14">
        <v>1</v>
      </c>
      <c r="AU23" s="16">
        <v>1.3000688016831126</v>
      </c>
      <c r="AV23" s="16">
        <v>1.1402055962339039</v>
      </c>
      <c r="AW23" s="17">
        <v>8.2321949466505444</v>
      </c>
      <c r="AX23" s="17">
        <v>0.43327341824476595</v>
      </c>
      <c r="AY23" s="17" t="s">
        <v>73</v>
      </c>
    </row>
    <row r="24" spans="1:51" ht="14.5" x14ac:dyDescent="0.35">
      <c r="A24">
        <v>67</v>
      </c>
      <c r="B24" t="s">
        <v>185</v>
      </c>
      <c r="C24" t="s">
        <v>186</v>
      </c>
      <c r="D24" s="13">
        <v>0.66738632907361728</v>
      </c>
      <c r="E24" s="15" t="s">
        <v>107</v>
      </c>
      <c r="F24" s="15">
        <v>4</v>
      </c>
      <c r="G24" s="15">
        <v>1</v>
      </c>
      <c r="H24" s="15">
        <v>1</v>
      </c>
      <c r="I24" s="15">
        <v>3</v>
      </c>
      <c r="J24" s="15">
        <v>3</v>
      </c>
      <c r="K24" s="16">
        <v>1.5279171865856971</v>
      </c>
      <c r="L24" s="16">
        <v>1.2360894735356729</v>
      </c>
      <c r="M24" s="17">
        <v>9.9642827837120986</v>
      </c>
      <c r="N24" s="17">
        <v>4.9660242208429342</v>
      </c>
      <c r="O24" s="17" t="s">
        <v>187</v>
      </c>
      <c r="P24" s="13">
        <v>0.85</v>
      </c>
      <c r="Q24" s="14" t="s">
        <v>141</v>
      </c>
      <c r="R24" s="15">
        <v>3</v>
      </c>
      <c r="S24" s="15">
        <v>3</v>
      </c>
      <c r="T24" s="15">
        <v>1</v>
      </c>
      <c r="U24" s="15">
        <v>3</v>
      </c>
      <c r="V24" s="15">
        <v>3</v>
      </c>
      <c r="W24" s="16">
        <v>1.3840763218302521</v>
      </c>
      <c r="X24" s="16">
        <v>1.1764677308920344</v>
      </c>
      <c r="Y24" s="17">
        <v>13.070617457485042</v>
      </c>
      <c r="Z24" s="17">
        <v>2.3065795513208904</v>
      </c>
      <c r="AA24" s="17" t="s">
        <v>142</v>
      </c>
      <c r="AB24" s="13">
        <v>0</v>
      </c>
      <c r="AC24" s="14" t="s">
        <v>188</v>
      </c>
      <c r="AD24" s="15">
        <v>1</v>
      </c>
      <c r="AE24" s="15">
        <v>1</v>
      </c>
      <c r="AF24" s="15">
        <v>1</v>
      </c>
      <c r="AG24" s="15">
        <v>1</v>
      </c>
      <c r="AH24" s="15">
        <v>1</v>
      </c>
      <c r="AI24" s="16">
        <v>1.05</v>
      </c>
      <c r="AJ24" s="16">
        <v>1.0246950765959599</v>
      </c>
      <c r="AK24" s="17">
        <v>0</v>
      </c>
      <c r="AL24" s="17">
        <v>-1</v>
      </c>
      <c r="AM24" s="17" t="s">
        <v>58</v>
      </c>
      <c r="AN24" s="13">
        <v>0</v>
      </c>
      <c r="AO24" s="14" t="s">
        <v>188</v>
      </c>
      <c r="AP24" s="15">
        <v>1</v>
      </c>
      <c r="AQ24" s="15">
        <v>1</v>
      </c>
      <c r="AR24" s="15">
        <v>1</v>
      </c>
      <c r="AS24" s="15">
        <v>1</v>
      </c>
      <c r="AT24" s="15">
        <v>1</v>
      </c>
      <c r="AU24" s="16">
        <v>1.05</v>
      </c>
      <c r="AV24" s="16">
        <v>1.0246950765959599</v>
      </c>
      <c r="AW24" s="17">
        <v>0</v>
      </c>
      <c r="AX24" s="17">
        <v>-1</v>
      </c>
      <c r="AY24" s="17" t="s">
        <v>58</v>
      </c>
    </row>
    <row r="25" spans="1:51" ht="14.5" x14ac:dyDescent="0.35">
      <c r="A25">
        <v>49</v>
      </c>
      <c r="B25" t="s">
        <v>189</v>
      </c>
      <c r="C25" t="s">
        <v>190</v>
      </c>
      <c r="D25" s="13">
        <v>0.3</v>
      </c>
      <c r="E25" s="20" t="s">
        <v>191</v>
      </c>
      <c r="F25" s="15">
        <v>3</v>
      </c>
      <c r="G25" s="15">
        <v>1</v>
      </c>
      <c r="H25" s="15">
        <v>1</v>
      </c>
      <c r="I25" s="14">
        <v>3</v>
      </c>
      <c r="J25" s="14">
        <v>2</v>
      </c>
      <c r="K25" s="16">
        <v>1.3163902184345033</v>
      </c>
      <c r="L25" s="16">
        <v>1.1473404980364388</v>
      </c>
      <c r="M25" s="17">
        <v>11.30796991261402</v>
      </c>
      <c r="N25" s="17">
        <v>26.385263129432712</v>
      </c>
      <c r="O25" s="17" t="s">
        <v>192</v>
      </c>
      <c r="P25" s="13">
        <v>0.13138686131386859</v>
      </c>
      <c r="Q25" s="14" t="s">
        <v>160</v>
      </c>
      <c r="R25" s="15">
        <v>1</v>
      </c>
      <c r="S25" s="14">
        <v>3</v>
      </c>
      <c r="T25" s="15">
        <v>1</v>
      </c>
      <c r="U25" s="15">
        <v>2</v>
      </c>
      <c r="V25" s="14">
        <v>2</v>
      </c>
      <c r="W25" s="16">
        <v>1.1679066507053673</v>
      </c>
      <c r="X25" s="16">
        <v>1.0806972983705323</v>
      </c>
      <c r="Y25" s="17">
        <v>9.078881205963329</v>
      </c>
      <c r="Z25" s="17">
        <v>60.021492417202026</v>
      </c>
      <c r="AA25" s="17" t="s">
        <v>193</v>
      </c>
      <c r="AB25" s="13">
        <v>0.78061129978388399</v>
      </c>
      <c r="AC25" s="14" t="s">
        <v>160</v>
      </c>
      <c r="AD25" s="15">
        <v>1</v>
      </c>
      <c r="AE25" s="15">
        <v>3</v>
      </c>
      <c r="AF25" s="15">
        <v>1</v>
      </c>
      <c r="AG25" s="14">
        <v>2</v>
      </c>
      <c r="AH25" s="20">
        <v>2</v>
      </c>
      <c r="AI25" s="16">
        <v>1.1679066507053673</v>
      </c>
      <c r="AJ25" s="16">
        <v>1.0806972983705323</v>
      </c>
      <c r="AK25" s="17">
        <v>81.335036427065305</v>
      </c>
      <c r="AL25" s="17">
        <v>22.858992598114451</v>
      </c>
      <c r="AM25" s="17" t="s">
        <v>194</v>
      </c>
      <c r="AN25" s="13">
        <v>0.96100300585350418</v>
      </c>
      <c r="AO25" s="14" t="s">
        <v>160</v>
      </c>
      <c r="AP25" s="15">
        <v>1</v>
      </c>
      <c r="AQ25" s="15">
        <v>3</v>
      </c>
      <c r="AR25" s="15">
        <v>1</v>
      </c>
      <c r="AS25" s="14">
        <v>2</v>
      </c>
      <c r="AT25" s="14">
        <v>2</v>
      </c>
      <c r="AU25" s="16">
        <v>1.1679066507053673</v>
      </c>
      <c r="AV25" s="16">
        <v>1.0806972983705323</v>
      </c>
      <c r="AW25" s="17">
        <v>21.160907238958806</v>
      </c>
      <c r="AX25" s="17">
        <v>0.85869843351771302</v>
      </c>
      <c r="AY25" s="17" t="s">
        <v>195</v>
      </c>
    </row>
    <row r="26" spans="1:51" ht="14.5" x14ac:dyDescent="0.35">
      <c r="A26">
        <v>77</v>
      </c>
      <c r="B26" t="s">
        <v>196</v>
      </c>
      <c r="C26" t="s">
        <v>197</v>
      </c>
      <c r="D26" s="13">
        <v>0.57576959999999999</v>
      </c>
      <c r="E26" s="15" t="s">
        <v>198</v>
      </c>
      <c r="F26" s="15">
        <v>2</v>
      </c>
      <c r="G26" s="15">
        <v>3</v>
      </c>
      <c r="H26" s="15">
        <v>1</v>
      </c>
      <c r="I26" s="14">
        <v>2</v>
      </c>
      <c r="J26" s="14">
        <v>1</v>
      </c>
      <c r="K26" s="16">
        <v>1.1766845455095114</v>
      </c>
      <c r="L26" s="16">
        <v>1.0847509140394911</v>
      </c>
      <c r="M26" s="17">
        <v>77.743829910014568</v>
      </c>
      <c r="N26" s="17">
        <v>57.282107392014865</v>
      </c>
      <c r="O26" s="17" t="s">
        <v>199</v>
      </c>
      <c r="P26" s="13">
        <v>1</v>
      </c>
      <c r="Q26" s="15" t="s">
        <v>95</v>
      </c>
      <c r="R26" s="15">
        <v>3</v>
      </c>
      <c r="S26" s="14">
        <v>1</v>
      </c>
      <c r="T26" s="15">
        <v>1</v>
      </c>
      <c r="U26" s="15">
        <v>3</v>
      </c>
      <c r="V26" s="14">
        <v>1</v>
      </c>
      <c r="W26" s="16">
        <v>1.3000688016831126</v>
      </c>
      <c r="X26" s="16">
        <v>1.1402055962339039</v>
      </c>
      <c r="Y26" s="17">
        <v>-1</v>
      </c>
      <c r="Z26" s="17">
        <v>0</v>
      </c>
      <c r="AA26" s="17" t="s">
        <v>43</v>
      </c>
      <c r="AB26" s="13">
        <v>0</v>
      </c>
      <c r="AC26" s="15" t="s">
        <v>74</v>
      </c>
      <c r="AD26" s="15">
        <v>1</v>
      </c>
      <c r="AE26" s="15">
        <v>1</v>
      </c>
      <c r="AF26" s="15">
        <v>1</v>
      </c>
      <c r="AG26" s="14">
        <v>1</v>
      </c>
      <c r="AH26" s="14">
        <v>1</v>
      </c>
      <c r="AI26" s="16">
        <v>1.05</v>
      </c>
      <c r="AJ26" s="16">
        <v>1.0246950765959599</v>
      </c>
      <c r="AK26" s="17">
        <v>0</v>
      </c>
      <c r="AL26" s="17">
        <v>-1</v>
      </c>
      <c r="AM26" s="17" t="s">
        <v>58</v>
      </c>
      <c r="AN26" s="13">
        <v>0.96</v>
      </c>
      <c r="AO26" s="15" t="s">
        <v>200</v>
      </c>
      <c r="AP26" s="15">
        <v>3</v>
      </c>
      <c r="AQ26" s="15">
        <v>1</v>
      </c>
      <c r="AR26" s="15">
        <v>1</v>
      </c>
      <c r="AS26" s="14">
        <v>3</v>
      </c>
      <c r="AT26" s="14">
        <v>1</v>
      </c>
      <c r="AU26" s="16">
        <v>1.3000688016831126</v>
      </c>
      <c r="AV26" s="16">
        <v>1.1402055962339039</v>
      </c>
      <c r="AW26" s="17">
        <v>6.5412173853368571</v>
      </c>
      <c r="AX26" s="17">
        <v>0.27255072438903594</v>
      </c>
      <c r="AY26" s="17" t="s">
        <v>201</v>
      </c>
    </row>
    <row r="27" spans="1:51" ht="14.5" x14ac:dyDescent="0.35">
      <c r="A27">
        <v>57</v>
      </c>
      <c r="B27" t="s">
        <v>202</v>
      </c>
      <c r="C27" t="s">
        <v>203</v>
      </c>
      <c r="D27" s="13">
        <v>0.60009236780630426</v>
      </c>
      <c r="E27" s="15" t="s">
        <v>107</v>
      </c>
      <c r="F27" s="15">
        <v>3</v>
      </c>
      <c r="G27" s="15">
        <v>1</v>
      </c>
      <c r="H27" s="15">
        <v>1</v>
      </c>
      <c r="I27" s="15">
        <v>3</v>
      </c>
      <c r="J27" s="15">
        <v>3</v>
      </c>
      <c r="K27" s="16">
        <v>1.3713425173473328</v>
      </c>
      <c r="L27" s="16">
        <v>1.1710433456312934</v>
      </c>
      <c r="M27" s="17">
        <v>19.089808289021303</v>
      </c>
      <c r="N27" s="17">
        <v>12.721641602944404</v>
      </c>
      <c r="O27" s="17" t="s">
        <v>204</v>
      </c>
      <c r="P27" s="13">
        <v>0.85836909871244638</v>
      </c>
      <c r="Q27" s="15" t="s">
        <v>109</v>
      </c>
      <c r="R27" s="15">
        <v>1</v>
      </c>
      <c r="S27" s="15">
        <v>3</v>
      </c>
      <c r="T27" s="15">
        <v>1</v>
      </c>
      <c r="U27" s="15">
        <v>3</v>
      </c>
      <c r="V27" s="15">
        <v>2</v>
      </c>
      <c r="W27" s="16">
        <v>1.2456465205819256</v>
      </c>
      <c r="X27" s="16">
        <v>1.1160853554195242</v>
      </c>
      <c r="Y27" s="17">
        <v>30.116629018840488</v>
      </c>
      <c r="Z27" s="17">
        <v>4.9692437881086793</v>
      </c>
      <c r="AA27" s="17" t="s">
        <v>205</v>
      </c>
      <c r="AB27" s="13">
        <v>0</v>
      </c>
      <c r="AC27" s="15" t="s">
        <v>109</v>
      </c>
      <c r="AD27" s="15">
        <v>1</v>
      </c>
      <c r="AE27" s="15">
        <v>3</v>
      </c>
      <c r="AF27" s="15">
        <v>1</v>
      </c>
      <c r="AG27" s="15">
        <v>3</v>
      </c>
      <c r="AH27" s="15">
        <v>2</v>
      </c>
      <c r="AI27" s="16">
        <v>1.2456465205819256</v>
      </c>
      <c r="AJ27" s="16">
        <v>1.1160853554195242</v>
      </c>
      <c r="AK27" s="17">
        <v>0</v>
      </c>
      <c r="AL27" s="17">
        <v>-1</v>
      </c>
      <c r="AM27" s="17" t="s">
        <v>58</v>
      </c>
      <c r="AN27" s="13">
        <v>1</v>
      </c>
      <c r="AO27" s="14" t="s">
        <v>111</v>
      </c>
      <c r="AP27" s="15">
        <v>1</v>
      </c>
      <c r="AQ27" s="15">
        <v>1</v>
      </c>
      <c r="AR27" s="15">
        <v>1</v>
      </c>
      <c r="AS27" s="15">
        <v>1</v>
      </c>
      <c r="AT27" s="15">
        <v>1</v>
      </c>
      <c r="AU27" s="16">
        <v>1.05</v>
      </c>
      <c r="AV27" s="16">
        <v>1.0246950765959599</v>
      </c>
      <c r="AW27" s="17">
        <v>-1</v>
      </c>
      <c r="AX27" s="17">
        <v>0</v>
      </c>
      <c r="AY27" s="17" t="s">
        <v>43</v>
      </c>
    </row>
    <row r="28" spans="1:51" ht="14.5" x14ac:dyDescent="0.35">
      <c r="A28">
        <v>3</v>
      </c>
      <c r="B28" t="s">
        <v>206</v>
      </c>
      <c r="C28" t="s">
        <v>3</v>
      </c>
      <c r="D28" s="13">
        <v>0.69917047091553897</v>
      </c>
      <c r="E28" s="15" t="s">
        <v>207</v>
      </c>
      <c r="F28" s="15">
        <v>3</v>
      </c>
      <c r="G28" s="15">
        <v>4</v>
      </c>
      <c r="H28" s="15">
        <v>1</v>
      </c>
      <c r="I28" s="15">
        <v>3</v>
      </c>
      <c r="J28" s="15">
        <v>2</v>
      </c>
      <c r="K28" s="16">
        <v>1.3612214788154857</v>
      </c>
      <c r="L28" s="16">
        <v>1.1667139661525809</v>
      </c>
      <c r="M28" s="17">
        <v>20.465067870780086</v>
      </c>
      <c r="N28" s="17">
        <v>8.8054301294884532</v>
      </c>
      <c r="O28" s="17" t="s">
        <v>208</v>
      </c>
      <c r="P28" s="13">
        <v>0.83500000000000008</v>
      </c>
      <c r="Q28" s="15" t="s">
        <v>209</v>
      </c>
      <c r="R28" s="15">
        <v>2</v>
      </c>
      <c r="S28" s="15">
        <v>2</v>
      </c>
      <c r="T28" s="15">
        <v>1</v>
      </c>
      <c r="U28" s="15">
        <v>3</v>
      </c>
      <c r="V28" s="15">
        <v>2</v>
      </c>
      <c r="W28" s="16">
        <v>1.2569078487011278</v>
      </c>
      <c r="X28" s="16">
        <v>1.1211190162962752</v>
      </c>
      <c r="Y28" s="17">
        <v>30.533389119134313</v>
      </c>
      <c r="Z28" s="17">
        <v>6.0335439576732446</v>
      </c>
      <c r="AA28" s="17" t="s">
        <v>210</v>
      </c>
      <c r="AB28" s="13">
        <v>0</v>
      </c>
      <c r="AC28" s="15" t="s">
        <v>103</v>
      </c>
      <c r="AD28" s="15">
        <v>1</v>
      </c>
      <c r="AE28" s="15">
        <v>1</v>
      </c>
      <c r="AF28" s="15">
        <v>1</v>
      </c>
      <c r="AG28" s="15">
        <v>1</v>
      </c>
      <c r="AH28" s="15">
        <v>1</v>
      </c>
      <c r="AI28" s="16">
        <v>1.05</v>
      </c>
      <c r="AJ28" s="16">
        <v>1.0246950765959599</v>
      </c>
      <c r="AK28" s="17">
        <v>0</v>
      </c>
      <c r="AL28" s="17">
        <v>-1</v>
      </c>
      <c r="AM28" s="17" t="s">
        <v>58</v>
      </c>
      <c r="AN28" s="13">
        <v>0.85</v>
      </c>
      <c r="AO28" s="14" t="s">
        <v>72</v>
      </c>
      <c r="AP28" s="15">
        <v>4</v>
      </c>
      <c r="AQ28" s="15">
        <v>1</v>
      </c>
      <c r="AR28" s="15">
        <v>1</v>
      </c>
      <c r="AS28" s="15">
        <v>3</v>
      </c>
      <c r="AT28" s="15">
        <v>3</v>
      </c>
      <c r="AU28" s="16">
        <v>1.5279171865856971</v>
      </c>
      <c r="AV28" s="16">
        <v>1.2360894735356729</v>
      </c>
      <c r="AW28" s="17">
        <v>6.9274254044816885</v>
      </c>
      <c r="AX28" s="17">
        <v>1.2224868360850041</v>
      </c>
      <c r="AY28" s="17" t="s">
        <v>211</v>
      </c>
    </row>
    <row r="29" spans="1:51" ht="14.5" x14ac:dyDescent="0.35">
      <c r="A29">
        <v>71</v>
      </c>
      <c r="B29" t="s">
        <v>212</v>
      </c>
      <c r="C29" t="s">
        <v>213</v>
      </c>
      <c r="D29" s="13">
        <v>0.66629720892829547</v>
      </c>
      <c r="E29" s="15" t="s">
        <v>107</v>
      </c>
      <c r="F29" s="15">
        <v>4</v>
      </c>
      <c r="G29" s="15">
        <v>1</v>
      </c>
      <c r="H29" s="15">
        <v>1</v>
      </c>
      <c r="I29" s="15">
        <v>3</v>
      </c>
      <c r="J29" s="15">
        <v>3</v>
      </c>
      <c r="K29" s="16">
        <v>1.5279171865856971</v>
      </c>
      <c r="L29" s="16">
        <v>1.2360894735356729</v>
      </c>
      <c r="M29" s="17">
        <v>9.9653993060944988</v>
      </c>
      <c r="N29" s="17">
        <v>4.9909882827464136</v>
      </c>
      <c r="O29" s="17" t="s">
        <v>214</v>
      </c>
      <c r="P29" s="13">
        <v>0.85</v>
      </c>
      <c r="Q29" s="15" t="s">
        <v>141</v>
      </c>
      <c r="R29" s="15">
        <v>3</v>
      </c>
      <c r="S29" s="15">
        <v>3</v>
      </c>
      <c r="T29" s="15">
        <v>1</v>
      </c>
      <c r="U29" s="15">
        <v>3</v>
      </c>
      <c r="V29" s="15">
        <v>3</v>
      </c>
      <c r="W29" s="16">
        <v>1.3840763218302521</v>
      </c>
      <c r="X29" s="16">
        <v>1.1764677308920344</v>
      </c>
      <c r="Y29" s="17">
        <v>13.070617457485042</v>
      </c>
      <c r="Z29" s="17">
        <v>2.3065795513208904</v>
      </c>
      <c r="AA29" s="17" t="s">
        <v>142</v>
      </c>
      <c r="AB29" s="13">
        <v>0</v>
      </c>
      <c r="AC29" s="14" t="s">
        <v>188</v>
      </c>
      <c r="AD29" s="15">
        <v>1</v>
      </c>
      <c r="AE29" s="15">
        <v>1</v>
      </c>
      <c r="AF29" s="15">
        <v>1</v>
      </c>
      <c r="AG29" s="15">
        <v>1</v>
      </c>
      <c r="AH29" s="15">
        <v>1</v>
      </c>
      <c r="AI29" s="16">
        <v>1.05</v>
      </c>
      <c r="AJ29" s="16">
        <v>1.0246950765959599</v>
      </c>
      <c r="AK29" s="17">
        <v>0</v>
      </c>
      <c r="AL29" s="17">
        <v>-1</v>
      </c>
      <c r="AM29" s="17" t="s">
        <v>58</v>
      </c>
      <c r="AN29" s="13">
        <v>0</v>
      </c>
      <c r="AO29" s="14" t="s">
        <v>188</v>
      </c>
      <c r="AP29" s="15">
        <v>1</v>
      </c>
      <c r="AQ29" s="15">
        <v>1</v>
      </c>
      <c r="AR29" s="15">
        <v>1</v>
      </c>
      <c r="AS29" s="15">
        <v>1</v>
      </c>
      <c r="AT29" s="15">
        <v>1</v>
      </c>
      <c r="AU29" s="16">
        <v>1.05</v>
      </c>
      <c r="AV29" s="16">
        <v>1.0246950765959599</v>
      </c>
      <c r="AW29" s="17">
        <v>0</v>
      </c>
      <c r="AX29" s="17">
        <v>-1</v>
      </c>
      <c r="AY29" s="17" t="s">
        <v>58</v>
      </c>
    </row>
    <row r="30" spans="1:51" ht="14.5" x14ac:dyDescent="0.35">
      <c r="A30">
        <v>12</v>
      </c>
      <c r="B30" t="s">
        <v>215</v>
      </c>
      <c r="C30" t="s">
        <v>216</v>
      </c>
      <c r="D30" s="13">
        <v>0.67925000000000002</v>
      </c>
      <c r="E30" s="15" t="s">
        <v>217</v>
      </c>
      <c r="F30" s="15">
        <v>3</v>
      </c>
      <c r="G30" s="15">
        <v>2</v>
      </c>
      <c r="H30" s="15">
        <v>1</v>
      </c>
      <c r="I30" s="15">
        <v>3</v>
      </c>
      <c r="J30" s="15">
        <v>1</v>
      </c>
      <c r="K30" s="16">
        <v>1.3022280723042765</v>
      </c>
      <c r="L30" s="16">
        <v>1.1411520811461882</v>
      </c>
      <c r="M30" s="17">
        <v>29.031347033109533</v>
      </c>
      <c r="N30" s="17">
        <v>13.70895040245842</v>
      </c>
      <c r="O30" s="17" t="s">
        <v>218</v>
      </c>
      <c r="P30" s="13">
        <v>0.92</v>
      </c>
      <c r="Q30" s="15" t="s">
        <v>219</v>
      </c>
      <c r="R30" s="15">
        <v>3</v>
      </c>
      <c r="S30" s="15">
        <v>1</v>
      </c>
      <c r="T30" s="15">
        <v>1</v>
      </c>
      <c r="U30" s="15">
        <v>3</v>
      </c>
      <c r="V30" s="15">
        <v>1</v>
      </c>
      <c r="W30" s="16">
        <v>1.3000688016831126</v>
      </c>
      <c r="X30" s="16">
        <v>1.1402055962339039</v>
      </c>
      <c r="Y30" s="17">
        <v>12.85827776681664</v>
      </c>
      <c r="Z30" s="17">
        <v>1.1181111101579682</v>
      </c>
      <c r="AA30" s="17" t="s">
        <v>220</v>
      </c>
      <c r="AB30" s="13">
        <v>0</v>
      </c>
      <c r="AC30" s="15" t="s">
        <v>74</v>
      </c>
      <c r="AD30" s="15">
        <v>1</v>
      </c>
      <c r="AE30" s="15">
        <v>1</v>
      </c>
      <c r="AF30" s="15">
        <v>1</v>
      </c>
      <c r="AG30" s="15">
        <v>1</v>
      </c>
      <c r="AH30" s="15">
        <v>1</v>
      </c>
      <c r="AI30" s="16">
        <v>1.05</v>
      </c>
      <c r="AJ30" s="16">
        <v>1.0246950765959599</v>
      </c>
      <c r="AK30" s="17">
        <v>0</v>
      </c>
      <c r="AL30" s="17">
        <v>-1</v>
      </c>
      <c r="AM30" s="17" t="s">
        <v>58</v>
      </c>
      <c r="AN30" s="13">
        <v>0.95</v>
      </c>
      <c r="AO30" s="15" t="s">
        <v>221</v>
      </c>
      <c r="AP30" s="15">
        <v>4</v>
      </c>
      <c r="AQ30" s="15">
        <v>1</v>
      </c>
      <c r="AR30" s="15">
        <v>1</v>
      </c>
      <c r="AS30" s="15">
        <v>3</v>
      </c>
      <c r="AT30" s="15">
        <v>1</v>
      </c>
      <c r="AU30" s="16">
        <v>1.4707782003422192</v>
      </c>
      <c r="AV30" s="16">
        <v>1.212756447248259</v>
      </c>
      <c r="AW30" s="17">
        <v>3.037601467121025</v>
      </c>
      <c r="AX30" s="17">
        <v>0.15987376142742252</v>
      </c>
      <c r="AY30" s="17" t="s">
        <v>73</v>
      </c>
    </row>
    <row r="31" spans="1:51" ht="14.5" x14ac:dyDescent="0.35">
      <c r="A31">
        <v>25</v>
      </c>
      <c r="B31" t="s">
        <v>222</v>
      </c>
      <c r="C31" t="s">
        <v>223</v>
      </c>
      <c r="D31" s="13">
        <v>0.7</v>
      </c>
      <c r="E31" s="15" t="s">
        <v>224</v>
      </c>
      <c r="F31" s="15">
        <v>3</v>
      </c>
      <c r="G31" s="15">
        <v>1</v>
      </c>
      <c r="H31" s="15">
        <v>1</v>
      </c>
      <c r="I31" s="15">
        <v>2</v>
      </c>
      <c r="J31" s="15">
        <v>1</v>
      </c>
      <c r="K31" s="16">
        <v>1.2354522921220721</v>
      </c>
      <c r="L31" s="16">
        <v>1.1115090157628376</v>
      </c>
      <c r="M31" s="17">
        <v>46.588698466750223</v>
      </c>
      <c r="N31" s="17">
        <v>19.966585057178669</v>
      </c>
      <c r="O31" s="17" t="s">
        <v>225</v>
      </c>
      <c r="P31" s="13">
        <v>0.73008131004983912</v>
      </c>
      <c r="Q31" s="15" t="s">
        <v>226</v>
      </c>
      <c r="R31" s="15">
        <v>3</v>
      </c>
      <c r="S31" s="15">
        <v>4</v>
      </c>
      <c r="T31" s="15">
        <v>2</v>
      </c>
      <c r="U31" s="15">
        <v>2</v>
      </c>
      <c r="V31" s="15">
        <v>1</v>
      </c>
      <c r="W31" s="16">
        <v>1.2906836861283406</v>
      </c>
      <c r="X31" s="16">
        <v>1.1360826053277731</v>
      </c>
      <c r="Y31" s="17">
        <v>30.346281242458623</v>
      </c>
      <c r="Z31" s="17">
        <v>11.219337305408366</v>
      </c>
      <c r="AA31" s="17" t="s">
        <v>227</v>
      </c>
      <c r="AB31" s="13">
        <v>0.87621696801112658</v>
      </c>
      <c r="AC31" s="15" t="s">
        <v>228</v>
      </c>
      <c r="AD31" s="15">
        <v>3</v>
      </c>
      <c r="AE31" s="15">
        <v>4</v>
      </c>
      <c r="AF31" s="15">
        <v>2</v>
      </c>
      <c r="AG31" s="15">
        <v>2</v>
      </c>
      <c r="AH31" s="15">
        <v>1</v>
      </c>
      <c r="AI31" s="16">
        <v>1.2906836861283406</v>
      </c>
      <c r="AJ31" s="16">
        <v>1.1360826053277731</v>
      </c>
      <c r="AK31" s="17">
        <v>19.651431177342051</v>
      </c>
      <c r="AL31" s="17">
        <v>2.7761545631483209</v>
      </c>
      <c r="AM31" s="17" t="s">
        <v>229</v>
      </c>
      <c r="AN31" s="13">
        <v>0.8</v>
      </c>
      <c r="AO31" s="15" t="s">
        <v>104</v>
      </c>
      <c r="AP31" s="15">
        <v>3</v>
      </c>
      <c r="AQ31" s="15">
        <v>1</v>
      </c>
      <c r="AR31" s="15">
        <v>1</v>
      </c>
      <c r="AS31" s="15">
        <v>3</v>
      </c>
      <c r="AT31" s="15">
        <v>1</v>
      </c>
      <c r="AU31" s="16">
        <v>1.3000688016831126</v>
      </c>
      <c r="AV31" s="16">
        <v>1.1402055962339039</v>
      </c>
      <c r="AW31" s="17">
        <v>25.245893699086281</v>
      </c>
      <c r="AX31" s="17">
        <v>6.3114734247715685</v>
      </c>
      <c r="AY31" s="17" t="s">
        <v>230</v>
      </c>
    </row>
    <row r="32" spans="1:51" ht="14.5" x14ac:dyDescent="0.35">
      <c r="A32">
        <v>42</v>
      </c>
      <c r="B32" t="s">
        <v>231</v>
      </c>
      <c r="C32" t="s">
        <v>232</v>
      </c>
      <c r="D32" s="18">
        <v>0.6</v>
      </c>
      <c r="E32" s="15" t="s">
        <v>233</v>
      </c>
      <c r="F32" s="15">
        <v>3</v>
      </c>
      <c r="G32" s="15">
        <v>1</v>
      </c>
      <c r="H32" s="15">
        <v>1</v>
      </c>
      <c r="I32" s="14">
        <v>1</v>
      </c>
      <c r="J32" s="14">
        <v>1</v>
      </c>
      <c r="K32" s="16">
        <v>1.207723199572867</v>
      </c>
      <c r="L32" s="16">
        <v>1.098964603421269</v>
      </c>
      <c r="M32" s="17">
        <v>58.211560908790673</v>
      </c>
      <c r="N32" s="17">
        <v>38.807707272527125</v>
      </c>
      <c r="O32" s="17" t="s">
        <v>234</v>
      </c>
      <c r="P32" s="13">
        <v>0.83111111111111113</v>
      </c>
      <c r="Q32" s="14" t="s">
        <v>235</v>
      </c>
      <c r="R32" s="15">
        <v>2</v>
      </c>
      <c r="S32" s="14">
        <v>4</v>
      </c>
      <c r="T32" s="14">
        <v>2</v>
      </c>
      <c r="U32" s="14">
        <v>3</v>
      </c>
      <c r="V32" s="14">
        <v>1</v>
      </c>
      <c r="W32" s="16">
        <v>1.2906836861283406</v>
      </c>
      <c r="X32" s="16">
        <v>1.1360826053277731</v>
      </c>
      <c r="Y32" s="17">
        <v>24.367349832303088</v>
      </c>
      <c r="Z32" s="17">
        <v>4.951653976617739</v>
      </c>
      <c r="AA32" s="17" t="s">
        <v>236</v>
      </c>
      <c r="AB32" s="13">
        <v>1</v>
      </c>
      <c r="AC32" s="14" t="s">
        <v>237</v>
      </c>
      <c r="AD32" s="15">
        <v>2</v>
      </c>
      <c r="AE32" s="14">
        <v>4</v>
      </c>
      <c r="AF32" s="14">
        <v>2</v>
      </c>
      <c r="AG32" s="14">
        <v>2</v>
      </c>
      <c r="AH32" s="14">
        <v>1</v>
      </c>
      <c r="AI32" s="16">
        <v>1.2243071084719455</v>
      </c>
      <c r="AJ32" s="16">
        <v>1.1064841202981386</v>
      </c>
      <c r="AK32" s="17">
        <v>-1</v>
      </c>
      <c r="AL32" s="17">
        <v>0</v>
      </c>
      <c r="AM32" s="17" t="s">
        <v>43</v>
      </c>
      <c r="AN32" s="13">
        <v>0.5</v>
      </c>
      <c r="AO32" s="15" t="s">
        <v>104</v>
      </c>
      <c r="AP32" s="15">
        <v>4</v>
      </c>
      <c r="AQ32" s="15">
        <v>1</v>
      </c>
      <c r="AR32" s="15">
        <v>1</v>
      </c>
      <c r="AS32" s="15">
        <v>3</v>
      </c>
      <c r="AT32" s="15">
        <v>1</v>
      </c>
      <c r="AU32" s="16">
        <v>1.4707782003422192</v>
      </c>
      <c r="AV32" s="16">
        <v>1.212756447248259</v>
      </c>
      <c r="AW32" s="17">
        <v>10.545987443548537</v>
      </c>
      <c r="AX32" s="17">
        <v>10.545987443548537</v>
      </c>
      <c r="AY32" s="17" t="s">
        <v>238</v>
      </c>
    </row>
    <row r="33" spans="1:51" ht="14.5" x14ac:dyDescent="0.35">
      <c r="A33">
        <v>41</v>
      </c>
      <c r="B33" t="s">
        <v>239</v>
      </c>
      <c r="C33" t="s">
        <v>240</v>
      </c>
      <c r="D33" s="13">
        <v>0.71</v>
      </c>
      <c r="E33" s="15" t="s">
        <v>241</v>
      </c>
      <c r="F33" s="15">
        <v>2</v>
      </c>
      <c r="G33" s="15">
        <v>4</v>
      </c>
      <c r="H33" s="15">
        <v>1</v>
      </c>
      <c r="I33" s="15">
        <v>3</v>
      </c>
      <c r="J33" s="15">
        <v>1</v>
      </c>
      <c r="K33" s="16">
        <v>1.2884684415322456</v>
      </c>
      <c r="L33" s="16">
        <v>1.135107237899682</v>
      </c>
      <c r="M33" s="17">
        <v>31.324463554769682</v>
      </c>
      <c r="N33" s="17">
        <v>12.794499198427056</v>
      </c>
      <c r="O33" s="17" t="s">
        <v>242</v>
      </c>
      <c r="P33" s="13">
        <v>0.9</v>
      </c>
      <c r="Q33" s="15" t="s">
        <v>243</v>
      </c>
      <c r="R33" s="15">
        <v>3</v>
      </c>
      <c r="S33" s="15">
        <v>1</v>
      </c>
      <c r="T33" s="15">
        <v>1</v>
      </c>
      <c r="U33" s="15">
        <v>3</v>
      </c>
      <c r="V33" s="15">
        <v>1</v>
      </c>
      <c r="W33" s="16">
        <v>1.3000688016831126</v>
      </c>
      <c r="X33" s="16">
        <v>1.1402055962339039</v>
      </c>
      <c r="Y33" s="17">
        <v>15.58216710645304</v>
      </c>
      <c r="Z33" s="17">
        <v>1.731351900717004</v>
      </c>
      <c r="AA33" s="17" t="s">
        <v>66</v>
      </c>
      <c r="AB33" s="13">
        <v>0</v>
      </c>
      <c r="AC33" s="15" t="s">
        <v>244</v>
      </c>
      <c r="AD33" s="15">
        <v>1</v>
      </c>
      <c r="AE33" s="15">
        <v>1</v>
      </c>
      <c r="AF33" s="15">
        <v>1</v>
      </c>
      <c r="AG33" s="15">
        <v>1</v>
      </c>
      <c r="AH33" s="15">
        <v>1</v>
      </c>
      <c r="AI33" s="16">
        <v>1.05</v>
      </c>
      <c r="AJ33" s="16">
        <v>1.0246950765959599</v>
      </c>
      <c r="AK33" s="17">
        <v>0</v>
      </c>
      <c r="AL33" s="17">
        <v>-1</v>
      </c>
      <c r="AM33" s="17" t="s">
        <v>58</v>
      </c>
      <c r="AN33" s="19">
        <v>0.13435157686324425</v>
      </c>
      <c r="AO33" s="15" t="s">
        <v>245</v>
      </c>
      <c r="AP33" s="15">
        <v>3</v>
      </c>
      <c r="AQ33" s="15">
        <v>1</v>
      </c>
      <c r="AR33" s="15">
        <v>1</v>
      </c>
      <c r="AS33" s="15">
        <v>3</v>
      </c>
      <c r="AT33" s="15">
        <v>1</v>
      </c>
      <c r="AU33" s="16">
        <v>1.3000688016831126</v>
      </c>
      <c r="AV33" s="16">
        <v>1.1402055962339039</v>
      </c>
      <c r="AW33" s="17">
        <v>3.045130436202697</v>
      </c>
      <c r="AX33" s="17">
        <v>19.620256210522847</v>
      </c>
      <c r="AY33" s="17" t="s">
        <v>246</v>
      </c>
    </row>
    <row r="34" spans="1:51" ht="14.5" x14ac:dyDescent="0.35">
      <c r="A34">
        <v>60</v>
      </c>
      <c r="B34" t="s">
        <v>247</v>
      </c>
      <c r="C34" t="s">
        <v>4</v>
      </c>
      <c r="D34" s="13">
        <v>0.59854391398996776</v>
      </c>
      <c r="E34" s="15" t="s">
        <v>107</v>
      </c>
      <c r="F34" s="15">
        <v>3</v>
      </c>
      <c r="G34" s="15">
        <v>1</v>
      </c>
      <c r="H34" s="15">
        <v>1</v>
      </c>
      <c r="I34" s="15">
        <v>3</v>
      </c>
      <c r="J34" s="15">
        <v>3</v>
      </c>
      <c r="K34" s="16">
        <v>1.3713425173473328</v>
      </c>
      <c r="L34" s="16">
        <v>1.1710433456312934</v>
      </c>
      <c r="M34" s="17">
        <v>19.06572072857082</v>
      </c>
      <c r="N34" s="17">
        <v>12.787782887356652</v>
      </c>
      <c r="O34" s="17" t="s">
        <v>248</v>
      </c>
      <c r="P34" s="13">
        <v>0.85256410256410253</v>
      </c>
      <c r="Q34" s="15" t="s">
        <v>109</v>
      </c>
      <c r="R34" s="15">
        <v>1</v>
      </c>
      <c r="S34" s="15">
        <v>3</v>
      </c>
      <c r="T34" s="15">
        <v>1</v>
      </c>
      <c r="U34" s="15">
        <v>3</v>
      </c>
      <c r="V34" s="15">
        <v>2</v>
      </c>
      <c r="W34" s="16">
        <v>1.2456465205819256</v>
      </c>
      <c r="X34" s="16">
        <v>1.1160853554195242</v>
      </c>
      <c r="Y34" s="17">
        <v>30.957346121460425</v>
      </c>
      <c r="Z34" s="17">
        <v>5.3535260210044351</v>
      </c>
      <c r="AA34" s="17" t="s">
        <v>249</v>
      </c>
      <c r="AB34" s="13">
        <v>0.64615384615384608</v>
      </c>
      <c r="AC34" s="15" t="s">
        <v>109</v>
      </c>
      <c r="AD34" s="15">
        <v>1</v>
      </c>
      <c r="AE34" s="15">
        <v>3</v>
      </c>
      <c r="AF34" s="15">
        <v>1</v>
      </c>
      <c r="AG34" s="15">
        <v>3</v>
      </c>
      <c r="AH34" s="15">
        <v>2</v>
      </c>
      <c r="AI34" s="16">
        <v>1.2456465205819256</v>
      </c>
      <c r="AJ34" s="16">
        <v>1.1160853554195242</v>
      </c>
      <c r="AK34" s="17">
        <v>43.206054358081431</v>
      </c>
      <c r="AL34" s="17">
        <v>23.660458338949365</v>
      </c>
      <c r="AM34" s="17" t="s">
        <v>250</v>
      </c>
      <c r="AN34" s="13">
        <v>1</v>
      </c>
      <c r="AO34" s="14" t="s">
        <v>137</v>
      </c>
      <c r="AP34" s="15">
        <v>1</v>
      </c>
      <c r="AQ34" s="15">
        <v>1</v>
      </c>
      <c r="AR34" s="15">
        <v>1</v>
      </c>
      <c r="AS34" s="15">
        <v>1</v>
      </c>
      <c r="AT34" s="15">
        <v>1</v>
      </c>
      <c r="AU34" s="16">
        <v>1.05</v>
      </c>
      <c r="AV34" s="16">
        <v>1.0246950765959599</v>
      </c>
      <c r="AW34" s="17">
        <v>-1</v>
      </c>
      <c r="AX34" s="17">
        <v>0</v>
      </c>
      <c r="AY34" s="17" t="s">
        <v>43</v>
      </c>
    </row>
    <row r="35" spans="1:51" ht="14.5" x14ac:dyDescent="0.35">
      <c r="A35">
        <v>28</v>
      </c>
      <c r="B35" t="s">
        <v>251</v>
      </c>
      <c r="C35" t="s">
        <v>5</v>
      </c>
      <c r="D35" s="13">
        <v>0.78755499685732244</v>
      </c>
      <c r="E35" s="14" t="s">
        <v>252</v>
      </c>
      <c r="F35" s="15">
        <v>1</v>
      </c>
      <c r="G35" s="15">
        <v>4</v>
      </c>
      <c r="H35" s="15">
        <v>1</v>
      </c>
      <c r="I35" s="14">
        <v>2</v>
      </c>
      <c r="J35" s="14">
        <v>1</v>
      </c>
      <c r="K35" s="16">
        <v>1.1925122738235221</v>
      </c>
      <c r="L35" s="16">
        <v>1.0920221031753534</v>
      </c>
      <c r="M35" s="17">
        <v>61.454508870788956</v>
      </c>
      <c r="N35" s="17">
        <v>16.577513167060388</v>
      </c>
      <c r="O35" s="17" t="s">
        <v>253</v>
      </c>
      <c r="P35" s="13">
        <v>0.85500544069640916</v>
      </c>
      <c r="Q35" s="14" t="s">
        <v>252</v>
      </c>
      <c r="R35" s="15">
        <v>1</v>
      </c>
      <c r="S35" s="14">
        <v>4</v>
      </c>
      <c r="T35" s="15">
        <v>1</v>
      </c>
      <c r="U35" s="15">
        <v>2</v>
      </c>
      <c r="V35" s="14">
        <v>1</v>
      </c>
      <c r="W35" s="16">
        <v>1.1925122738235221</v>
      </c>
      <c r="X35" s="16">
        <v>1.0920221031753534</v>
      </c>
      <c r="Y35" s="17">
        <v>49.213559567567756</v>
      </c>
      <c r="Z35" s="17">
        <v>8.3457929524383108</v>
      </c>
      <c r="AA35" s="17" t="s">
        <v>254</v>
      </c>
      <c r="AB35" s="13">
        <v>0.84455958549222798</v>
      </c>
      <c r="AC35" s="14" t="s">
        <v>252</v>
      </c>
      <c r="AD35" s="15">
        <v>1</v>
      </c>
      <c r="AE35" s="15">
        <v>4</v>
      </c>
      <c r="AF35" s="15">
        <v>1</v>
      </c>
      <c r="AG35" s="14">
        <v>2</v>
      </c>
      <c r="AH35" s="14">
        <v>1</v>
      </c>
      <c r="AI35" s="16">
        <v>1.1925122738235221</v>
      </c>
      <c r="AJ35" s="16">
        <v>1.0920221031753534</v>
      </c>
      <c r="AK35" s="17">
        <v>51.527568101857518</v>
      </c>
      <c r="AL35" s="17">
        <v>9.4836014911394191</v>
      </c>
      <c r="AM35" s="17" t="s">
        <v>255</v>
      </c>
      <c r="AN35" s="13">
        <v>1</v>
      </c>
      <c r="AO35" s="14" t="s">
        <v>252</v>
      </c>
      <c r="AP35" s="15">
        <v>1</v>
      </c>
      <c r="AQ35" s="15">
        <v>4</v>
      </c>
      <c r="AR35" s="15">
        <v>1</v>
      </c>
      <c r="AS35" s="14">
        <v>2</v>
      </c>
      <c r="AT35" s="14">
        <v>1</v>
      </c>
      <c r="AU35" s="16">
        <v>1.1925122738235221</v>
      </c>
      <c r="AV35" s="16">
        <v>1.0920221031753534</v>
      </c>
      <c r="AW35" s="17">
        <v>-1</v>
      </c>
      <c r="AX35" s="17">
        <v>0</v>
      </c>
      <c r="AY35" s="17" t="s">
        <v>43</v>
      </c>
    </row>
    <row r="36" spans="1:51" ht="14.5" x14ac:dyDescent="0.35">
      <c r="A36">
        <v>76</v>
      </c>
      <c r="B36" t="s">
        <v>256</v>
      </c>
      <c r="C36" t="s">
        <v>257</v>
      </c>
      <c r="D36" s="13">
        <v>0.57576959999999999</v>
      </c>
      <c r="E36" s="15" t="s">
        <v>198</v>
      </c>
      <c r="F36" s="15">
        <v>3</v>
      </c>
      <c r="G36" s="15">
        <v>3</v>
      </c>
      <c r="H36" s="15">
        <v>1</v>
      </c>
      <c r="I36" s="14">
        <v>3</v>
      </c>
      <c r="J36" s="14">
        <v>1</v>
      </c>
      <c r="K36" s="16">
        <v>1.3145177818010416</v>
      </c>
      <c r="L36" s="16">
        <v>1.1465242177124046</v>
      </c>
      <c r="M36" s="17">
        <v>25.626590858230902</v>
      </c>
      <c r="N36" s="17">
        <v>18.881821635639742</v>
      </c>
      <c r="O36" s="17" t="s">
        <v>258</v>
      </c>
      <c r="P36" s="13">
        <v>1</v>
      </c>
      <c r="Q36" s="15" t="s">
        <v>95</v>
      </c>
      <c r="R36" s="15">
        <v>3</v>
      </c>
      <c r="S36" s="14">
        <v>1</v>
      </c>
      <c r="T36" s="15">
        <v>1</v>
      </c>
      <c r="U36" s="15">
        <v>3</v>
      </c>
      <c r="V36" s="14">
        <v>1</v>
      </c>
      <c r="W36" s="16">
        <v>1.3000688016831126</v>
      </c>
      <c r="X36" s="16">
        <v>1.1402055962339039</v>
      </c>
      <c r="Y36" s="17">
        <v>-1</v>
      </c>
      <c r="Z36" s="17">
        <v>0</v>
      </c>
      <c r="AA36" s="17" t="s">
        <v>43</v>
      </c>
      <c r="AB36" s="13">
        <v>0</v>
      </c>
      <c r="AC36" s="15" t="s">
        <v>74</v>
      </c>
      <c r="AD36" s="15">
        <v>1</v>
      </c>
      <c r="AE36" s="15">
        <v>1</v>
      </c>
      <c r="AF36" s="15">
        <v>1</v>
      </c>
      <c r="AG36" s="14">
        <v>1</v>
      </c>
      <c r="AH36" s="14">
        <v>1</v>
      </c>
      <c r="AI36" s="16">
        <v>1.05</v>
      </c>
      <c r="AJ36" s="16">
        <v>1.0246950765959599</v>
      </c>
      <c r="AK36" s="17">
        <v>0</v>
      </c>
      <c r="AL36" s="17">
        <v>-1</v>
      </c>
      <c r="AM36" s="17" t="s">
        <v>58</v>
      </c>
      <c r="AN36" s="13">
        <v>0</v>
      </c>
      <c r="AO36" s="15" t="s">
        <v>259</v>
      </c>
      <c r="AP36" s="15">
        <v>1</v>
      </c>
      <c r="AQ36" s="15">
        <v>1</v>
      </c>
      <c r="AR36" s="15">
        <v>1</v>
      </c>
      <c r="AS36" s="14">
        <v>1</v>
      </c>
      <c r="AT36" s="14">
        <v>1</v>
      </c>
      <c r="AU36" s="16">
        <v>1.05</v>
      </c>
      <c r="AV36" s="16">
        <v>1.0246950765959599</v>
      </c>
      <c r="AW36" s="17">
        <v>0</v>
      </c>
      <c r="AX36" s="17">
        <v>-1</v>
      </c>
      <c r="AY36" s="17" t="s">
        <v>58</v>
      </c>
    </row>
    <row r="37" spans="1:51" ht="14.5" x14ac:dyDescent="0.35">
      <c r="A37">
        <v>82</v>
      </c>
      <c r="B37" t="s">
        <v>260</v>
      </c>
      <c r="C37" t="s">
        <v>261</v>
      </c>
      <c r="D37" s="13">
        <v>0.89204545454545459</v>
      </c>
      <c r="E37" s="14" t="s">
        <v>262</v>
      </c>
      <c r="F37" s="15">
        <v>1</v>
      </c>
      <c r="G37" s="15">
        <v>4</v>
      </c>
      <c r="H37" s="15">
        <v>1</v>
      </c>
      <c r="I37" s="14">
        <v>2</v>
      </c>
      <c r="J37" s="14">
        <v>2</v>
      </c>
      <c r="K37" s="16">
        <v>1.2143010470622784</v>
      </c>
      <c r="L37" s="16">
        <v>1.1019532871507205</v>
      </c>
      <c r="M37" s="17">
        <v>32.165638869177329</v>
      </c>
      <c r="N37" s="17">
        <v>3.8926569332125416</v>
      </c>
      <c r="O37" s="17" t="s">
        <v>263</v>
      </c>
      <c r="P37" s="13">
        <v>0.94426751592356684</v>
      </c>
      <c r="Q37" s="14" t="s">
        <v>262</v>
      </c>
      <c r="R37" s="15">
        <v>1</v>
      </c>
      <c r="S37" s="14">
        <v>4</v>
      </c>
      <c r="T37" s="15">
        <v>1</v>
      </c>
      <c r="U37" s="15">
        <v>2</v>
      </c>
      <c r="V37" s="14">
        <v>2</v>
      </c>
      <c r="W37" s="16">
        <v>1.2143010470622784</v>
      </c>
      <c r="X37" s="16">
        <v>1.1019532871507205</v>
      </c>
      <c r="Y37" s="17">
        <v>18.178732513449066</v>
      </c>
      <c r="Z37" s="17">
        <v>1.0729437402541615</v>
      </c>
      <c r="AA37" s="17" t="s">
        <v>264</v>
      </c>
      <c r="AB37" s="13">
        <v>0.80285714285714282</v>
      </c>
      <c r="AC37" s="14" t="s">
        <v>262</v>
      </c>
      <c r="AD37" s="15">
        <v>1</v>
      </c>
      <c r="AE37" s="15">
        <v>4</v>
      </c>
      <c r="AF37" s="15">
        <v>1</v>
      </c>
      <c r="AG37" s="14">
        <v>2</v>
      </c>
      <c r="AH37" s="14">
        <v>2</v>
      </c>
      <c r="AI37" s="16">
        <v>1.2143010470622784</v>
      </c>
      <c r="AJ37" s="16">
        <v>1.1019532871507205</v>
      </c>
      <c r="AK37" s="17">
        <v>48.09784818947751</v>
      </c>
      <c r="AL37" s="17">
        <v>11.810503647949995</v>
      </c>
      <c r="AM37" s="17" t="s">
        <v>265</v>
      </c>
      <c r="AN37" s="13">
        <v>1</v>
      </c>
      <c r="AO37" s="14" t="s">
        <v>262</v>
      </c>
      <c r="AP37" s="15">
        <v>1</v>
      </c>
      <c r="AQ37" s="15">
        <v>4</v>
      </c>
      <c r="AR37" s="15">
        <v>1</v>
      </c>
      <c r="AS37" s="14">
        <v>2</v>
      </c>
      <c r="AT37" s="14">
        <v>2</v>
      </c>
      <c r="AU37" s="16">
        <v>1.2143010470622784</v>
      </c>
      <c r="AV37" s="16">
        <v>1.1019532871507205</v>
      </c>
      <c r="AW37" s="17">
        <v>-1</v>
      </c>
      <c r="AX37" s="17">
        <v>0</v>
      </c>
      <c r="AY37" s="17" t="s">
        <v>43</v>
      </c>
    </row>
    <row r="38" spans="1:51" ht="14.5" x14ac:dyDescent="0.35">
      <c r="A38">
        <v>46</v>
      </c>
      <c r="B38" t="s">
        <v>266</v>
      </c>
      <c r="C38" t="s">
        <v>267</v>
      </c>
      <c r="D38" s="13">
        <v>0.67917067200000003</v>
      </c>
      <c r="E38" s="15" t="s">
        <v>198</v>
      </c>
      <c r="F38" s="15">
        <v>2</v>
      </c>
      <c r="G38" s="15">
        <v>3</v>
      </c>
      <c r="H38" s="15">
        <v>1</v>
      </c>
      <c r="I38" s="14">
        <v>2</v>
      </c>
      <c r="J38" s="14">
        <v>1</v>
      </c>
      <c r="K38" s="16">
        <v>1.1766845455095114</v>
      </c>
      <c r="L38" s="16">
        <v>1.0847509140394911</v>
      </c>
      <c r="M38" s="17">
        <v>81.735232749556772</v>
      </c>
      <c r="N38" s="17">
        <v>38.610412489901933</v>
      </c>
      <c r="O38" s="17" t="s">
        <v>268</v>
      </c>
      <c r="P38" s="13">
        <v>0.99872281093139992</v>
      </c>
      <c r="Q38" s="15" t="s">
        <v>269</v>
      </c>
      <c r="R38" s="15">
        <v>2</v>
      </c>
      <c r="S38" s="14">
        <v>1</v>
      </c>
      <c r="T38" s="15">
        <v>1</v>
      </c>
      <c r="U38" s="15">
        <v>3</v>
      </c>
      <c r="V38" s="14">
        <v>1</v>
      </c>
      <c r="W38" s="16">
        <v>1.2354522921220721</v>
      </c>
      <c r="X38" s="16">
        <v>1.1115090157628376</v>
      </c>
      <c r="Y38" s="17">
        <v>-0.58891035179687889</v>
      </c>
      <c r="Z38" s="17">
        <v>-7.5311172976909801E-4</v>
      </c>
      <c r="AA38" s="17" t="s">
        <v>270</v>
      </c>
      <c r="AB38" s="13">
        <v>0</v>
      </c>
      <c r="AC38" s="15" t="s">
        <v>271</v>
      </c>
      <c r="AD38" s="15">
        <v>1</v>
      </c>
      <c r="AE38" s="15">
        <v>1</v>
      </c>
      <c r="AF38" s="15">
        <v>1</v>
      </c>
      <c r="AG38" s="15">
        <v>1</v>
      </c>
      <c r="AH38" s="15">
        <v>1</v>
      </c>
      <c r="AI38" s="16">
        <v>1.05</v>
      </c>
      <c r="AJ38" s="16">
        <v>1.0246950765959599</v>
      </c>
      <c r="AK38" s="17">
        <v>0</v>
      </c>
      <c r="AL38" s="17">
        <v>-1</v>
      </c>
      <c r="AM38" s="17" t="s">
        <v>58</v>
      </c>
      <c r="AN38" s="13">
        <v>0.98899999999999999</v>
      </c>
      <c r="AO38" s="15" t="s">
        <v>200</v>
      </c>
      <c r="AP38" s="15">
        <v>3</v>
      </c>
      <c r="AQ38" s="15">
        <v>1</v>
      </c>
      <c r="AR38" s="15">
        <v>1</v>
      </c>
      <c r="AS38" s="15">
        <v>3</v>
      </c>
      <c r="AT38" s="15">
        <v>1</v>
      </c>
      <c r="AU38" s="16">
        <v>1.3000688016831126</v>
      </c>
      <c r="AV38" s="16">
        <v>1.1402055962339039</v>
      </c>
      <c r="AW38" s="17">
        <v>1.2003468085881566</v>
      </c>
      <c r="AX38" s="17">
        <v>1.3350672289655949E-2</v>
      </c>
      <c r="AY38" s="17" t="s">
        <v>272</v>
      </c>
    </row>
    <row r="39" spans="1:51" ht="14.5" x14ac:dyDescent="0.35">
      <c r="A39">
        <v>59</v>
      </c>
      <c r="B39" t="s">
        <v>273</v>
      </c>
      <c r="C39" t="s">
        <v>274</v>
      </c>
      <c r="D39" s="13">
        <v>0.5954249168234127</v>
      </c>
      <c r="E39" s="15" t="s">
        <v>107</v>
      </c>
      <c r="F39" s="15">
        <v>3</v>
      </c>
      <c r="G39" s="15">
        <v>1</v>
      </c>
      <c r="H39" s="15">
        <v>1</v>
      </c>
      <c r="I39" s="15">
        <v>3</v>
      </c>
      <c r="J39" s="15">
        <v>3</v>
      </c>
      <c r="K39" s="16">
        <v>1.3713425173473328</v>
      </c>
      <c r="L39" s="16">
        <v>1.1710433456312934</v>
      </c>
      <c r="M39" s="17">
        <v>19.01562147883039</v>
      </c>
      <c r="N39" s="17">
        <v>12.920599095005491</v>
      </c>
      <c r="O39" s="17" t="s">
        <v>275</v>
      </c>
      <c r="P39" s="13">
        <v>0.67924528301886788</v>
      </c>
      <c r="Q39" s="15" t="s">
        <v>109</v>
      </c>
      <c r="R39" s="15">
        <v>1</v>
      </c>
      <c r="S39" s="15">
        <v>3</v>
      </c>
      <c r="T39" s="15">
        <v>1</v>
      </c>
      <c r="U39" s="15">
        <v>3</v>
      </c>
      <c r="V39" s="15">
        <v>3</v>
      </c>
      <c r="W39" s="16">
        <v>1.308762891140433</v>
      </c>
      <c r="X39" s="16">
        <v>1.1440117530604452</v>
      </c>
      <c r="Y39" s="17">
        <v>27.863150976213088</v>
      </c>
      <c r="Z39" s="17">
        <v>13.157599072100627</v>
      </c>
      <c r="AA39" s="17" t="s">
        <v>276</v>
      </c>
      <c r="AB39" s="13">
        <v>0.58823529411764708</v>
      </c>
      <c r="AC39" s="15" t="s">
        <v>109</v>
      </c>
      <c r="AD39" s="15">
        <v>1</v>
      </c>
      <c r="AE39" s="15">
        <v>3</v>
      </c>
      <c r="AF39" s="15">
        <v>1</v>
      </c>
      <c r="AG39" s="15">
        <v>3</v>
      </c>
      <c r="AH39" s="15">
        <v>3</v>
      </c>
      <c r="AI39" s="16">
        <v>1.308762891140433</v>
      </c>
      <c r="AJ39" s="16">
        <v>1.1440117530604452</v>
      </c>
      <c r="AK39" s="17">
        <v>26.891680209501288</v>
      </c>
      <c r="AL39" s="17">
        <v>18.824176146650899</v>
      </c>
      <c r="AM39" s="17" t="s">
        <v>277</v>
      </c>
      <c r="AN39" s="13">
        <v>1</v>
      </c>
      <c r="AO39" s="14" t="s">
        <v>137</v>
      </c>
      <c r="AP39" s="15">
        <v>1</v>
      </c>
      <c r="AQ39" s="15">
        <v>1</v>
      </c>
      <c r="AR39" s="15">
        <v>1</v>
      </c>
      <c r="AS39" s="15">
        <v>1</v>
      </c>
      <c r="AT39" s="15">
        <v>1</v>
      </c>
      <c r="AU39" s="16">
        <v>1.05</v>
      </c>
      <c r="AV39" s="16">
        <v>1.0246950765959599</v>
      </c>
      <c r="AW39" s="17">
        <v>-1</v>
      </c>
      <c r="AX39" s="17">
        <v>0</v>
      </c>
      <c r="AY39" s="17" t="s">
        <v>43</v>
      </c>
    </row>
    <row r="40" spans="1:51" ht="14.5" x14ac:dyDescent="0.35">
      <c r="A40">
        <v>78</v>
      </c>
      <c r="B40" t="s">
        <v>278</v>
      </c>
      <c r="C40" t="s">
        <v>279</v>
      </c>
      <c r="D40" s="13">
        <v>0.68191896000000007</v>
      </c>
      <c r="E40" s="15" t="s">
        <v>198</v>
      </c>
      <c r="F40" s="15">
        <v>2</v>
      </c>
      <c r="G40" s="15">
        <v>3</v>
      </c>
      <c r="H40" s="15">
        <v>1</v>
      </c>
      <c r="I40" s="14">
        <v>1</v>
      </c>
      <c r="J40" s="14">
        <v>1</v>
      </c>
      <c r="K40" s="16">
        <v>1.1409505340208952</v>
      </c>
      <c r="L40" s="16">
        <v>1.0681528607932926</v>
      </c>
      <c r="M40" s="17">
        <v>126.69628595974429</v>
      </c>
      <c r="N40" s="17">
        <v>59.097471644156727</v>
      </c>
      <c r="O40" s="17" t="s">
        <v>280</v>
      </c>
      <c r="P40" s="13">
        <v>1</v>
      </c>
      <c r="Q40" s="15" t="s">
        <v>95</v>
      </c>
      <c r="R40" s="15">
        <v>3</v>
      </c>
      <c r="S40" s="14">
        <v>1</v>
      </c>
      <c r="T40" s="15">
        <v>1</v>
      </c>
      <c r="U40" s="15">
        <v>3</v>
      </c>
      <c r="V40" s="14">
        <v>1</v>
      </c>
      <c r="W40" s="16">
        <v>1.3000688016831126</v>
      </c>
      <c r="X40" s="16">
        <v>1.1402055962339039</v>
      </c>
      <c r="Y40" s="17">
        <v>-1</v>
      </c>
      <c r="Z40" s="17">
        <v>0</v>
      </c>
      <c r="AA40" s="17" t="s">
        <v>43</v>
      </c>
      <c r="AB40" s="13">
        <v>0</v>
      </c>
      <c r="AC40" s="15" t="s">
        <v>74</v>
      </c>
      <c r="AD40" s="15">
        <v>1</v>
      </c>
      <c r="AE40" s="15">
        <v>1</v>
      </c>
      <c r="AF40" s="15">
        <v>1</v>
      </c>
      <c r="AG40" s="14">
        <v>1</v>
      </c>
      <c r="AH40" s="14">
        <v>1</v>
      </c>
      <c r="AI40" s="16">
        <v>1.05</v>
      </c>
      <c r="AJ40" s="16">
        <v>1.0246950765959599</v>
      </c>
      <c r="AK40" s="17">
        <v>0</v>
      </c>
      <c r="AL40" s="17">
        <v>-1</v>
      </c>
      <c r="AM40" s="17" t="s">
        <v>58</v>
      </c>
      <c r="AN40" s="13">
        <v>0.99250000000000005</v>
      </c>
      <c r="AO40" s="15" t="s">
        <v>200</v>
      </c>
      <c r="AP40" s="15">
        <v>3</v>
      </c>
      <c r="AQ40" s="15">
        <v>1</v>
      </c>
      <c r="AR40" s="15">
        <v>1</v>
      </c>
      <c r="AS40" s="14">
        <v>3</v>
      </c>
      <c r="AT40" s="14">
        <v>1</v>
      </c>
      <c r="AU40" s="16">
        <v>1.3000688016831126</v>
      </c>
      <c r="AV40" s="16">
        <v>1.1402055962339039</v>
      </c>
      <c r="AW40" s="17">
        <v>0.51082052979221104</v>
      </c>
      <c r="AX40" s="17">
        <v>3.8601047591350713E-3</v>
      </c>
      <c r="AY40" s="17" t="s">
        <v>281</v>
      </c>
    </row>
    <row r="41" spans="1:51" ht="14.5" x14ac:dyDescent="0.35">
      <c r="A41">
        <v>75</v>
      </c>
      <c r="B41" t="s">
        <v>282</v>
      </c>
      <c r="C41" t="s">
        <v>283</v>
      </c>
      <c r="D41" s="13">
        <v>0.50393700787401574</v>
      </c>
      <c r="E41" s="14" t="s">
        <v>284</v>
      </c>
      <c r="F41" s="15">
        <v>2</v>
      </c>
      <c r="G41" s="15">
        <v>3</v>
      </c>
      <c r="H41" s="15">
        <v>1</v>
      </c>
      <c r="I41" s="14">
        <v>2</v>
      </c>
      <c r="J41" s="14">
        <v>1</v>
      </c>
      <c r="K41" s="16">
        <v>1.1766845455095114</v>
      </c>
      <c r="L41" s="16">
        <v>1.0847509140394911</v>
      </c>
      <c r="M41" s="17">
        <v>69.651372398459188</v>
      </c>
      <c r="N41" s="17">
        <v>68.563069704733266</v>
      </c>
      <c r="O41" s="17" t="s">
        <v>285</v>
      </c>
      <c r="P41" s="13">
        <v>1</v>
      </c>
      <c r="Q41" s="14" t="s">
        <v>284</v>
      </c>
      <c r="R41" s="15">
        <v>1</v>
      </c>
      <c r="S41" s="14">
        <v>3</v>
      </c>
      <c r="T41" s="15">
        <v>1</v>
      </c>
      <c r="U41" s="15">
        <v>2</v>
      </c>
      <c r="V41" s="14">
        <v>1</v>
      </c>
      <c r="W41" s="16">
        <v>1.1409505340208952</v>
      </c>
      <c r="X41" s="16">
        <v>1.0681528607932926</v>
      </c>
      <c r="Y41" s="17">
        <v>-1</v>
      </c>
      <c r="Z41" s="17">
        <v>0</v>
      </c>
      <c r="AA41" s="17" t="s">
        <v>43</v>
      </c>
      <c r="AB41" s="13">
        <v>1</v>
      </c>
      <c r="AC41" s="14" t="s">
        <v>284</v>
      </c>
      <c r="AD41" s="15">
        <v>1</v>
      </c>
      <c r="AE41" s="15">
        <v>3</v>
      </c>
      <c r="AF41" s="15">
        <v>1</v>
      </c>
      <c r="AG41" s="14">
        <v>2</v>
      </c>
      <c r="AH41" s="14">
        <v>1</v>
      </c>
      <c r="AI41" s="16">
        <v>1.1409505340208952</v>
      </c>
      <c r="AJ41" s="16">
        <v>1.0681528607932926</v>
      </c>
      <c r="AK41" s="17">
        <v>-1</v>
      </c>
      <c r="AL41" s="17">
        <v>0</v>
      </c>
      <c r="AM41" s="17" t="s">
        <v>43</v>
      </c>
      <c r="AN41" s="13">
        <v>1</v>
      </c>
      <c r="AO41" s="14" t="s">
        <v>284</v>
      </c>
      <c r="AP41" s="15">
        <v>1</v>
      </c>
      <c r="AQ41" s="15">
        <v>3</v>
      </c>
      <c r="AR41" s="15">
        <v>1</v>
      </c>
      <c r="AS41" s="14">
        <v>2</v>
      </c>
      <c r="AT41" s="14">
        <v>1</v>
      </c>
      <c r="AU41" s="16">
        <v>1.1409505340208952</v>
      </c>
      <c r="AV41" s="16">
        <v>1.0681528607932926</v>
      </c>
      <c r="AW41" s="17">
        <v>-1</v>
      </c>
      <c r="AX41" s="17">
        <v>0</v>
      </c>
      <c r="AY41" s="17" t="s">
        <v>43</v>
      </c>
    </row>
    <row r="42" spans="1:51" ht="14.5" x14ac:dyDescent="0.35">
      <c r="A42">
        <v>45</v>
      </c>
      <c r="B42" t="s">
        <v>286</v>
      </c>
      <c r="C42" t="s">
        <v>287</v>
      </c>
      <c r="D42" s="13">
        <v>0.61975199999999997</v>
      </c>
      <c r="E42" s="15" t="s">
        <v>198</v>
      </c>
      <c r="F42" s="15">
        <v>2</v>
      </c>
      <c r="G42" s="15">
        <v>3</v>
      </c>
      <c r="H42" s="15">
        <v>1</v>
      </c>
      <c r="I42" s="14">
        <v>2</v>
      </c>
      <c r="J42" s="14">
        <v>1</v>
      </c>
      <c r="K42" s="16">
        <v>1.1766845455095114</v>
      </c>
      <c r="L42" s="16">
        <v>1.0847509140394911</v>
      </c>
      <c r="M42" s="17">
        <v>80.714602098934549</v>
      </c>
      <c r="N42" s="17">
        <v>49.522334770869108</v>
      </c>
      <c r="O42" s="17" t="s">
        <v>288</v>
      </c>
      <c r="P42" s="13">
        <v>1</v>
      </c>
      <c r="Q42" s="15" t="s">
        <v>95</v>
      </c>
      <c r="R42" s="15">
        <v>3</v>
      </c>
      <c r="S42" s="14">
        <v>1</v>
      </c>
      <c r="T42" s="15">
        <v>1</v>
      </c>
      <c r="U42" s="15">
        <v>3</v>
      </c>
      <c r="V42" s="14">
        <v>1</v>
      </c>
      <c r="W42" s="16">
        <v>1.3000688016831126</v>
      </c>
      <c r="X42" s="16">
        <v>1.1402055962339039</v>
      </c>
      <c r="Y42" s="17">
        <v>-1</v>
      </c>
      <c r="Z42" s="17">
        <v>0</v>
      </c>
      <c r="AA42" s="17" t="s">
        <v>43</v>
      </c>
      <c r="AB42" s="13">
        <v>0</v>
      </c>
      <c r="AC42" s="15" t="s">
        <v>271</v>
      </c>
      <c r="AD42" s="15">
        <v>1</v>
      </c>
      <c r="AE42" s="15">
        <v>1</v>
      </c>
      <c r="AF42" s="15">
        <v>1</v>
      </c>
      <c r="AG42" s="15">
        <v>1</v>
      </c>
      <c r="AH42" s="15">
        <v>1</v>
      </c>
      <c r="AI42" s="16">
        <v>1.05</v>
      </c>
      <c r="AJ42" s="16">
        <v>1.0246950765959599</v>
      </c>
      <c r="AK42" s="17">
        <v>0</v>
      </c>
      <c r="AL42" s="17">
        <v>-1</v>
      </c>
      <c r="AM42" s="17" t="s">
        <v>58</v>
      </c>
      <c r="AN42" s="13">
        <v>0.98</v>
      </c>
      <c r="AO42" s="15" t="s">
        <v>200</v>
      </c>
      <c r="AP42" s="15">
        <v>3</v>
      </c>
      <c r="AQ42" s="15">
        <v>1</v>
      </c>
      <c r="AR42" s="15">
        <v>1</v>
      </c>
      <c r="AS42" s="15">
        <v>3</v>
      </c>
      <c r="AT42" s="15">
        <v>1</v>
      </c>
      <c r="AU42" s="16">
        <v>1.3000688016831126</v>
      </c>
      <c r="AV42" s="16">
        <v>1.1402055962339039</v>
      </c>
      <c r="AW42" s="17">
        <v>2.9285119232191397</v>
      </c>
      <c r="AX42" s="17">
        <v>5.9765549453451881E-2</v>
      </c>
      <c r="AY42" s="17" t="s">
        <v>289</v>
      </c>
    </row>
    <row r="43" spans="1:51" ht="14.5" x14ac:dyDescent="0.35">
      <c r="A43">
        <v>44</v>
      </c>
      <c r="B43" t="s">
        <v>290</v>
      </c>
      <c r="C43" t="s">
        <v>291</v>
      </c>
      <c r="D43" s="13">
        <v>0.62607599999999997</v>
      </c>
      <c r="E43" s="15" t="s">
        <v>198</v>
      </c>
      <c r="F43" s="15">
        <v>2</v>
      </c>
      <c r="G43" s="15">
        <v>3</v>
      </c>
      <c r="H43" s="15">
        <v>1</v>
      </c>
      <c r="I43" s="14">
        <v>2</v>
      </c>
      <c r="J43" s="14">
        <v>1</v>
      </c>
      <c r="K43" s="16">
        <v>1.1766845455095114</v>
      </c>
      <c r="L43" s="16">
        <v>1.0847509140394911</v>
      </c>
      <c r="M43" s="17">
        <v>80.996192796078347</v>
      </c>
      <c r="N43" s="17">
        <v>48.374990248916752</v>
      </c>
      <c r="O43" s="17" t="s">
        <v>292</v>
      </c>
      <c r="P43" s="13">
        <v>1</v>
      </c>
      <c r="Q43" s="15" t="s">
        <v>95</v>
      </c>
      <c r="R43" s="15">
        <v>3</v>
      </c>
      <c r="S43" s="14">
        <v>1</v>
      </c>
      <c r="T43" s="15">
        <v>1</v>
      </c>
      <c r="U43" s="15">
        <v>3</v>
      </c>
      <c r="V43" s="14">
        <v>1</v>
      </c>
      <c r="W43" s="16">
        <v>1.3000688016831126</v>
      </c>
      <c r="X43" s="16">
        <v>1.1402055962339039</v>
      </c>
      <c r="Y43" s="17">
        <v>-1</v>
      </c>
      <c r="Z43" s="17">
        <v>0</v>
      </c>
      <c r="AA43" s="17" t="s">
        <v>43</v>
      </c>
      <c r="AB43" s="13">
        <v>0</v>
      </c>
      <c r="AC43" s="15" t="s">
        <v>271</v>
      </c>
      <c r="AD43" s="15">
        <v>1</v>
      </c>
      <c r="AE43" s="15">
        <v>1</v>
      </c>
      <c r="AF43" s="15">
        <v>1</v>
      </c>
      <c r="AG43" s="15">
        <v>1</v>
      </c>
      <c r="AH43" s="15">
        <v>1</v>
      </c>
      <c r="AI43" s="16">
        <v>1.05</v>
      </c>
      <c r="AJ43" s="16">
        <v>1.0246950765959599</v>
      </c>
      <c r="AK43" s="17">
        <v>0</v>
      </c>
      <c r="AL43" s="17">
        <v>-1</v>
      </c>
      <c r="AM43" s="17" t="s">
        <v>58</v>
      </c>
      <c r="AN43" s="13">
        <v>0.99</v>
      </c>
      <c r="AO43" s="15" t="s">
        <v>200</v>
      </c>
      <c r="AP43" s="15">
        <v>3</v>
      </c>
      <c r="AQ43" s="15">
        <v>1</v>
      </c>
      <c r="AR43" s="15">
        <v>1</v>
      </c>
      <c r="AS43" s="15">
        <v>3</v>
      </c>
      <c r="AT43" s="15">
        <v>1</v>
      </c>
      <c r="AU43" s="16">
        <v>1.3000688016831126</v>
      </c>
      <c r="AV43" s="16">
        <v>1.1402055962339039</v>
      </c>
      <c r="AW43" s="16">
        <v>1.0043422198808201</v>
      </c>
      <c r="AX43" s="17">
        <v>1.014487090788708E-2</v>
      </c>
      <c r="AY43" s="17" t="s">
        <v>293</v>
      </c>
    </row>
    <row r="44" spans="1:51" ht="14.5" x14ac:dyDescent="0.35">
      <c r="A44">
        <v>51</v>
      </c>
      <c r="B44" t="s">
        <v>294</v>
      </c>
      <c r="C44" t="s">
        <v>295</v>
      </c>
      <c r="D44" s="13">
        <v>0.83044444444444443</v>
      </c>
      <c r="E44" s="15" t="s">
        <v>296</v>
      </c>
      <c r="F44" s="15">
        <v>3</v>
      </c>
      <c r="G44" s="15">
        <v>1</v>
      </c>
      <c r="H44" s="15">
        <v>1</v>
      </c>
      <c r="I44" s="14">
        <v>2</v>
      </c>
      <c r="J44" s="14">
        <v>1</v>
      </c>
      <c r="K44" s="16">
        <v>1.2354522921220721</v>
      </c>
      <c r="L44" s="16">
        <v>1.1115090157628376</v>
      </c>
      <c r="M44" s="17">
        <v>36.785608115866296</v>
      </c>
      <c r="N44" s="17">
        <v>7.5106820959074092</v>
      </c>
      <c r="O44" s="17" t="s">
        <v>297</v>
      </c>
      <c r="P44" s="13">
        <v>0.96316758747697973</v>
      </c>
      <c r="Q44" s="15" t="s">
        <v>298</v>
      </c>
      <c r="R44" s="15">
        <v>2</v>
      </c>
      <c r="S44" s="14">
        <v>3</v>
      </c>
      <c r="T44" s="15">
        <v>1</v>
      </c>
      <c r="U44" s="15">
        <v>2</v>
      </c>
      <c r="V44" s="14">
        <v>1</v>
      </c>
      <c r="W44" s="16">
        <v>1.1766845455095114</v>
      </c>
      <c r="X44" s="16">
        <v>1.0847509140394911</v>
      </c>
      <c r="Y44" s="17">
        <v>18.065356065300808</v>
      </c>
      <c r="Z44" s="17">
        <v>0.69083579599620715</v>
      </c>
      <c r="AA44" s="17" t="s">
        <v>299</v>
      </c>
      <c r="AB44" s="13">
        <v>0.29032258064516131</v>
      </c>
      <c r="AC44" s="15" t="s">
        <v>298</v>
      </c>
      <c r="AD44" s="15">
        <v>2</v>
      </c>
      <c r="AE44" s="14">
        <v>3</v>
      </c>
      <c r="AF44" s="15">
        <v>1</v>
      </c>
      <c r="AG44" s="15">
        <v>2</v>
      </c>
      <c r="AH44" s="14">
        <v>1</v>
      </c>
      <c r="AI44" s="16">
        <v>1.1766845455095114</v>
      </c>
      <c r="AJ44" s="16">
        <v>1.0847509140394911</v>
      </c>
      <c r="AK44" s="17">
        <v>33.021149713773333</v>
      </c>
      <c r="AL44" s="17">
        <v>80.718365967001475</v>
      </c>
      <c r="AM44" s="17" t="s">
        <v>300</v>
      </c>
      <c r="AN44" s="13">
        <v>0.83003952569169959</v>
      </c>
      <c r="AO44" s="15" t="s">
        <v>298</v>
      </c>
      <c r="AP44" s="15">
        <v>2</v>
      </c>
      <c r="AQ44" s="14">
        <v>3</v>
      </c>
      <c r="AR44" s="15">
        <v>1</v>
      </c>
      <c r="AS44" s="15">
        <v>2</v>
      </c>
      <c r="AT44" s="14">
        <v>1</v>
      </c>
      <c r="AU44" s="16">
        <v>1.1766845455095114</v>
      </c>
      <c r="AV44" s="16">
        <v>1.0847509140394911</v>
      </c>
      <c r="AW44" s="17">
        <v>64.380334517770521</v>
      </c>
      <c r="AX44" s="17">
        <v>13.182639925067297</v>
      </c>
      <c r="AY44" s="17" t="s">
        <v>301</v>
      </c>
    </row>
    <row r="45" spans="1:51" ht="14.5" x14ac:dyDescent="0.35">
      <c r="A45">
        <v>21</v>
      </c>
      <c r="B45" t="s">
        <v>302</v>
      </c>
      <c r="C45" t="s">
        <v>303</v>
      </c>
      <c r="D45" s="21">
        <v>1.2609976827064825E-3</v>
      </c>
      <c r="E45" s="20" t="s">
        <v>304</v>
      </c>
      <c r="F45" s="15">
        <v>4</v>
      </c>
      <c r="G45" s="20">
        <v>1</v>
      </c>
      <c r="H45" s="20">
        <v>1</v>
      </c>
      <c r="I45" s="20">
        <v>3</v>
      </c>
      <c r="J45" s="20">
        <v>3</v>
      </c>
      <c r="K45" s="16">
        <v>1.5279171865856971</v>
      </c>
      <c r="L45" s="16">
        <v>1.2360894735356729</v>
      </c>
      <c r="M45" s="22">
        <v>-1.1470285270171981E-3</v>
      </c>
      <c r="N45" s="17">
        <v>-0.90847282466361501</v>
      </c>
      <c r="O45" s="17" t="s">
        <v>305</v>
      </c>
      <c r="P45" s="13">
        <v>0.95</v>
      </c>
      <c r="Q45" s="15" t="s">
        <v>72</v>
      </c>
      <c r="R45" s="15">
        <v>3</v>
      </c>
      <c r="S45" s="15">
        <v>1</v>
      </c>
      <c r="T45" s="15">
        <v>1</v>
      </c>
      <c r="U45" s="15">
        <v>3</v>
      </c>
      <c r="V45" s="15">
        <v>3</v>
      </c>
      <c r="W45" s="16">
        <v>1.3713425173473328</v>
      </c>
      <c r="X45" s="16">
        <v>1.1710433456312934</v>
      </c>
      <c r="Y45" s="17">
        <v>5.2197112731372268</v>
      </c>
      <c r="Z45" s="17">
        <v>0.27472164595459114</v>
      </c>
      <c r="AA45" s="17" t="s">
        <v>73</v>
      </c>
      <c r="AB45" s="13">
        <v>0</v>
      </c>
      <c r="AC45" s="15" t="s">
        <v>74</v>
      </c>
      <c r="AD45" s="15">
        <v>1</v>
      </c>
      <c r="AE45" s="15">
        <v>1</v>
      </c>
      <c r="AF45" s="15">
        <v>1</v>
      </c>
      <c r="AG45" s="15">
        <v>1</v>
      </c>
      <c r="AH45" s="15">
        <v>1</v>
      </c>
      <c r="AI45" s="16">
        <v>1.05</v>
      </c>
      <c r="AJ45" s="16">
        <v>1.0246950765959599</v>
      </c>
      <c r="AK45" s="17">
        <v>0</v>
      </c>
      <c r="AL45" s="17">
        <v>-1</v>
      </c>
      <c r="AM45" s="17" t="s">
        <v>58</v>
      </c>
      <c r="AN45" s="13">
        <v>0</v>
      </c>
      <c r="AO45" s="15" t="s">
        <v>306</v>
      </c>
      <c r="AP45" s="15">
        <v>1</v>
      </c>
      <c r="AQ45" s="20">
        <v>1</v>
      </c>
      <c r="AR45" s="20">
        <v>1</v>
      </c>
      <c r="AS45" s="20">
        <v>1</v>
      </c>
      <c r="AT45" s="20">
        <v>1</v>
      </c>
      <c r="AU45" s="16">
        <v>1.05</v>
      </c>
      <c r="AV45" s="16">
        <v>1.0246950765959599</v>
      </c>
      <c r="AW45" s="17">
        <v>0</v>
      </c>
      <c r="AX45" s="17">
        <v>-1</v>
      </c>
      <c r="AY45" s="17" t="s">
        <v>58</v>
      </c>
    </row>
    <row r="46" spans="1:51" ht="14.5" x14ac:dyDescent="0.35">
      <c r="A46">
        <v>34</v>
      </c>
      <c r="B46" t="s">
        <v>307</v>
      </c>
      <c r="C46" t="s">
        <v>308</v>
      </c>
      <c r="D46" s="13">
        <v>4.4998140572703613E-2</v>
      </c>
      <c r="E46" s="14" t="s">
        <v>309</v>
      </c>
      <c r="F46" s="15">
        <v>1</v>
      </c>
      <c r="G46" s="15">
        <v>3</v>
      </c>
      <c r="H46" s="15">
        <v>1</v>
      </c>
      <c r="I46" s="14">
        <v>2</v>
      </c>
      <c r="J46" s="14">
        <v>1</v>
      </c>
      <c r="K46" s="16">
        <v>1.1409505340208952</v>
      </c>
      <c r="L46" s="16">
        <v>1.0681528607932926</v>
      </c>
      <c r="M46" s="17">
        <v>1.6202737970160177</v>
      </c>
      <c r="N46" s="17">
        <v>34.387298435844073</v>
      </c>
      <c r="O46" s="17" t="s">
        <v>310</v>
      </c>
      <c r="P46" s="13">
        <v>0.84586466165413532</v>
      </c>
      <c r="Q46" s="14" t="s">
        <v>309</v>
      </c>
      <c r="R46" s="15">
        <v>1</v>
      </c>
      <c r="S46" s="14">
        <v>3</v>
      </c>
      <c r="T46" s="15">
        <v>1</v>
      </c>
      <c r="U46" s="15">
        <v>2</v>
      </c>
      <c r="V46" s="14">
        <v>1</v>
      </c>
      <c r="W46" s="16">
        <v>1.1409505340208952</v>
      </c>
      <c r="X46" s="16">
        <v>1.0681528607932926</v>
      </c>
      <c r="Y46" s="17">
        <v>94.126181136857795</v>
      </c>
      <c r="Z46" s="17">
        <v>17.151881896049645</v>
      </c>
      <c r="AA46" s="17" t="s">
        <v>311</v>
      </c>
      <c r="AB46" s="13">
        <v>0.24390243902439021</v>
      </c>
      <c r="AC46" s="14" t="s">
        <v>309</v>
      </c>
      <c r="AD46" s="15">
        <v>1</v>
      </c>
      <c r="AE46" s="15">
        <v>3</v>
      </c>
      <c r="AF46" s="15">
        <v>1</v>
      </c>
      <c r="AG46" s="14">
        <v>2</v>
      </c>
      <c r="AH46" s="14">
        <v>1</v>
      </c>
      <c r="AI46" s="16">
        <v>1.1409505340208952</v>
      </c>
      <c r="AJ46" s="16">
        <v>1.0681528607932926</v>
      </c>
      <c r="AK46" s="17">
        <v>38.490952500802955</v>
      </c>
      <c r="AL46" s="17">
        <v>119.32195275248918</v>
      </c>
      <c r="AM46" s="17" t="s">
        <v>312</v>
      </c>
      <c r="AN46" s="13">
        <v>1</v>
      </c>
      <c r="AO46" s="14" t="s">
        <v>309</v>
      </c>
      <c r="AP46" s="15">
        <v>1</v>
      </c>
      <c r="AQ46" s="15">
        <v>3</v>
      </c>
      <c r="AR46" s="15">
        <v>1</v>
      </c>
      <c r="AS46" s="14">
        <v>2</v>
      </c>
      <c r="AT46" s="14">
        <v>1</v>
      </c>
      <c r="AU46" s="16">
        <v>1.1409505340208952</v>
      </c>
      <c r="AV46" s="16">
        <v>1.0681528607932926</v>
      </c>
      <c r="AW46" s="17">
        <v>-1</v>
      </c>
      <c r="AX46" s="17">
        <v>0</v>
      </c>
      <c r="AY46" s="17" t="s">
        <v>43</v>
      </c>
    </row>
    <row r="47" spans="1:51" ht="14.5" x14ac:dyDescent="0.35">
      <c r="A47">
        <v>14</v>
      </c>
      <c r="B47" t="s">
        <v>313</v>
      </c>
      <c r="C47" t="s">
        <v>314</v>
      </c>
      <c r="D47" s="13">
        <v>0.8</v>
      </c>
      <c r="E47" s="15" t="s">
        <v>315</v>
      </c>
      <c r="F47" s="15">
        <v>3</v>
      </c>
      <c r="G47" s="15">
        <v>1</v>
      </c>
      <c r="H47" s="15">
        <v>1</v>
      </c>
      <c r="I47" s="15">
        <v>3</v>
      </c>
      <c r="J47" s="15">
        <v>1</v>
      </c>
      <c r="K47" s="16">
        <v>1.3000688016831126</v>
      </c>
      <c r="L47" s="16">
        <v>1.1402055962339039</v>
      </c>
      <c r="M47" s="17">
        <v>25.245893699086281</v>
      </c>
      <c r="N47" s="17">
        <v>6.3114734247715685</v>
      </c>
      <c r="O47" s="17" t="s">
        <v>230</v>
      </c>
      <c r="P47" s="13">
        <v>0.9</v>
      </c>
      <c r="Q47" s="15" t="s">
        <v>316</v>
      </c>
      <c r="R47" s="15">
        <v>3</v>
      </c>
      <c r="S47" s="15">
        <v>1</v>
      </c>
      <c r="T47" s="15">
        <v>1</v>
      </c>
      <c r="U47" s="15">
        <v>3</v>
      </c>
      <c r="V47" s="15">
        <v>1</v>
      </c>
      <c r="W47" s="16">
        <v>1.3000688016831126</v>
      </c>
      <c r="X47" s="16">
        <v>1.1402055962339039</v>
      </c>
      <c r="Y47" s="17">
        <v>15.58216710645304</v>
      </c>
      <c r="Z47" s="17">
        <v>1.731351900717004</v>
      </c>
      <c r="AA47" s="17" t="s">
        <v>66</v>
      </c>
      <c r="AB47" s="13">
        <v>0</v>
      </c>
      <c r="AC47" s="15" t="s">
        <v>74</v>
      </c>
      <c r="AD47" s="15">
        <v>1</v>
      </c>
      <c r="AE47" s="15">
        <v>1</v>
      </c>
      <c r="AF47" s="15">
        <v>1</v>
      </c>
      <c r="AG47" s="15">
        <v>1</v>
      </c>
      <c r="AH47" s="15">
        <v>1</v>
      </c>
      <c r="AI47" s="16">
        <v>1.05</v>
      </c>
      <c r="AJ47" s="16">
        <v>1.0246950765959599</v>
      </c>
      <c r="AK47" s="17">
        <v>0</v>
      </c>
      <c r="AL47" s="17">
        <v>-1</v>
      </c>
      <c r="AM47" s="17" t="s">
        <v>58</v>
      </c>
      <c r="AN47" s="13">
        <v>0</v>
      </c>
      <c r="AO47" s="15" t="s">
        <v>317</v>
      </c>
      <c r="AP47" s="15">
        <v>1</v>
      </c>
      <c r="AQ47" s="15">
        <v>1</v>
      </c>
      <c r="AR47" s="15">
        <v>1</v>
      </c>
      <c r="AS47" s="15">
        <v>1</v>
      </c>
      <c r="AT47" s="15">
        <v>1</v>
      </c>
      <c r="AU47" s="16">
        <v>1.05</v>
      </c>
      <c r="AV47" s="16">
        <v>1.0246950765959599</v>
      </c>
      <c r="AW47" s="17">
        <v>0</v>
      </c>
      <c r="AX47" s="17">
        <v>-1</v>
      </c>
      <c r="AY47" s="17" t="s">
        <v>58</v>
      </c>
    </row>
    <row r="48" spans="1:51" ht="14.5" x14ac:dyDescent="0.35">
      <c r="A48">
        <v>62</v>
      </c>
      <c r="B48" t="s">
        <v>318</v>
      </c>
      <c r="C48" t="s">
        <v>319</v>
      </c>
      <c r="D48" s="13">
        <v>0.62769185869621547</v>
      </c>
      <c r="E48" s="15" t="s">
        <v>107</v>
      </c>
      <c r="F48" s="15">
        <v>3</v>
      </c>
      <c r="G48" s="15">
        <v>1</v>
      </c>
      <c r="H48" s="15">
        <v>1</v>
      </c>
      <c r="I48" s="15">
        <v>3</v>
      </c>
      <c r="J48" s="15">
        <v>3</v>
      </c>
      <c r="K48" s="16">
        <v>1.3713425173473328</v>
      </c>
      <c r="L48" s="16">
        <v>1.1710433456312934</v>
      </c>
      <c r="M48" s="17">
        <v>19.428254083818572</v>
      </c>
      <c r="N48" s="17">
        <v>11.523643435090113</v>
      </c>
      <c r="O48" s="17" t="s">
        <v>320</v>
      </c>
      <c r="P48" s="13">
        <v>0.86363636363636365</v>
      </c>
      <c r="Q48" s="15" t="s">
        <v>109</v>
      </c>
      <c r="R48" s="15">
        <v>3</v>
      </c>
      <c r="S48" s="15">
        <v>3</v>
      </c>
      <c r="T48" s="15">
        <v>1</v>
      </c>
      <c r="U48" s="15">
        <v>3</v>
      </c>
      <c r="V48" s="15">
        <v>2</v>
      </c>
      <c r="W48" s="16">
        <v>1.3303783351797707</v>
      </c>
      <c r="X48" s="16">
        <v>1.1534202769068049</v>
      </c>
      <c r="Y48" s="17">
        <v>16.420786427081588</v>
      </c>
      <c r="Z48" s="17">
        <v>2.5927557516444608</v>
      </c>
      <c r="AA48" s="17" t="s">
        <v>321</v>
      </c>
      <c r="AB48" s="13">
        <v>0</v>
      </c>
      <c r="AC48" s="15" t="s">
        <v>109</v>
      </c>
      <c r="AD48" s="15">
        <v>1</v>
      </c>
      <c r="AE48" s="15">
        <v>3</v>
      </c>
      <c r="AF48" s="15">
        <v>1</v>
      </c>
      <c r="AG48" s="15">
        <v>3</v>
      </c>
      <c r="AH48" s="15">
        <v>2</v>
      </c>
      <c r="AI48" s="16">
        <v>1.2456465205819256</v>
      </c>
      <c r="AJ48" s="16">
        <v>1.1160853554195242</v>
      </c>
      <c r="AK48" s="17">
        <v>0</v>
      </c>
      <c r="AL48" s="17">
        <v>-1</v>
      </c>
      <c r="AM48" s="17" t="s">
        <v>58</v>
      </c>
      <c r="AN48" s="13">
        <v>0</v>
      </c>
      <c r="AO48" s="14" t="s">
        <v>144</v>
      </c>
      <c r="AP48" s="15">
        <v>3</v>
      </c>
      <c r="AQ48" s="15">
        <v>1</v>
      </c>
      <c r="AR48" s="15">
        <v>1</v>
      </c>
      <c r="AS48" s="15">
        <v>3</v>
      </c>
      <c r="AT48" s="15">
        <v>3</v>
      </c>
      <c r="AU48" s="16">
        <v>1.3713425173473328</v>
      </c>
      <c r="AV48" s="16">
        <v>1.1710433456312934</v>
      </c>
      <c r="AW48" s="17">
        <v>0</v>
      </c>
      <c r="AX48" s="17">
        <v>-1</v>
      </c>
      <c r="AY48" s="17" t="s">
        <v>58</v>
      </c>
    </row>
    <row r="49" spans="1:51" ht="14.5" x14ac:dyDescent="0.35">
      <c r="A49">
        <v>50</v>
      </c>
      <c r="B49" t="s">
        <v>322</v>
      </c>
      <c r="C49" t="s">
        <v>323</v>
      </c>
      <c r="D49" s="13">
        <v>0.88235294117647056</v>
      </c>
      <c r="E49" s="14" t="s">
        <v>324</v>
      </c>
      <c r="F49" s="15">
        <v>1</v>
      </c>
      <c r="G49" s="15">
        <v>4</v>
      </c>
      <c r="H49" s="15">
        <v>1</v>
      </c>
      <c r="I49" s="14">
        <v>2</v>
      </c>
      <c r="J49" s="14">
        <v>2</v>
      </c>
      <c r="K49" s="16">
        <v>1.2143010470622784</v>
      </c>
      <c r="L49" s="16">
        <v>1.1019532871507205</v>
      </c>
      <c r="M49" s="17">
        <v>34.364737709949509</v>
      </c>
      <c r="N49" s="17">
        <v>4.5819650279932693</v>
      </c>
      <c r="O49" s="17" t="s">
        <v>325</v>
      </c>
      <c r="P49" s="13">
        <v>0.98986125933831381</v>
      </c>
      <c r="Q49" s="14" t="s">
        <v>324</v>
      </c>
      <c r="R49" s="15">
        <v>1</v>
      </c>
      <c r="S49" s="14">
        <v>4</v>
      </c>
      <c r="T49" s="15">
        <v>1</v>
      </c>
      <c r="U49" s="15">
        <v>2</v>
      </c>
      <c r="V49" s="14">
        <v>2</v>
      </c>
      <c r="W49" s="16">
        <v>1.2143010470622784</v>
      </c>
      <c r="X49" s="16">
        <v>1.1019532871507205</v>
      </c>
      <c r="Y49" s="17">
        <v>2.8330145971623262</v>
      </c>
      <c r="Z49" s="17">
        <v>2.9017400186568162E-2</v>
      </c>
      <c r="AA49" s="17" t="s">
        <v>326</v>
      </c>
      <c r="AB49" s="13">
        <v>0.26315789473684209</v>
      </c>
      <c r="AC49" s="14" t="s">
        <v>324</v>
      </c>
      <c r="AD49" s="15">
        <v>1</v>
      </c>
      <c r="AE49" s="15">
        <v>4</v>
      </c>
      <c r="AF49" s="15">
        <v>1</v>
      </c>
      <c r="AG49" s="14">
        <v>2</v>
      </c>
      <c r="AH49" s="14">
        <v>2</v>
      </c>
      <c r="AI49" s="16">
        <v>1.2143010470622784</v>
      </c>
      <c r="AJ49" s="16">
        <v>1.1019532871507205</v>
      </c>
      <c r="AK49" s="17">
        <v>19.373373095897904</v>
      </c>
      <c r="AL49" s="17">
        <v>54.245444668514139</v>
      </c>
      <c r="AM49" s="17" t="s">
        <v>327</v>
      </c>
      <c r="AN49" s="13">
        <v>1</v>
      </c>
      <c r="AO49" s="14" t="s">
        <v>324</v>
      </c>
      <c r="AP49" s="15">
        <v>1</v>
      </c>
      <c r="AQ49" s="15">
        <v>4</v>
      </c>
      <c r="AR49" s="15">
        <v>1</v>
      </c>
      <c r="AS49" s="14">
        <v>2</v>
      </c>
      <c r="AT49" s="14">
        <v>2</v>
      </c>
      <c r="AU49" s="16">
        <v>1.2143010470622784</v>
      </c>
      <c r="AV49" s="16">
        <v>1.1019532871507205</v>
      </c>
      <c r="AW49" s="17">
        <v>-1</v>
      </c>
      <c r="AX49" s="17">
        <v>0</v>
      </c>
      <c r="AY49" s="17" t="s">
        <v>43</v>
      </c>
    </row>
    <row r="50" spans="1:51" ht="14.5" x14ac:dyDescent="0.35">
      <c r="A50">
        <v>38</v>
      </c>
      <c r="B50" t="s">
        <v>328</v>
      </c>
      <c r="C50" t="s">
        <v>329</v>
      </c>
      <c r="D50" s="13">
        <v>0.8</v>
      </c>
      <c r="E50" s="15" t="s">
        <v>330</v>
      </c>
      <c r="F50" s="15">
        <v>3</v>
      </c>
      <c r="G50" s="15">
        <v>3</v>
      </c>
      <c r="H50" s="15">
        <v>1</v>
      </c>
      <c r="I50" s="14">
        <v>3</v>
      </c>
      <c r="J50" s="14">
        <v>1</v>
      </c>
      <c r="K50" s="16">
        <v>1.3145177818010416</v>
      </c>
      <c r="L50" s="16">
        <v>1.1465242177124046</v>
      </c>
      <c r="M50" s="17">
        <v>23.047954708430922</v>
      </c>
      <c r="N50" s="17">
        <v>5.7619886771077287</v>
      </c>
      <c r="O50" s="17" t="s">
        <v>331</v>
      </c>
      <c r="P50" s="13">
        <v>0.9</v>
      </c>
      <c r="Q50" s="15" t="s">
        <v>72</v>
      </c>
      <c r="R50" s="15">
        <v>3</v>
      </c>
      <c r="S50" s="14">
        <v>1</v>
      </c>
      <c r="T50" s="15">
        <v>1</v>
      </c>
      <c r="U50" s="15">
        <v>3</v>
      </c>
      <c r="V50" s="14">
        <v>1</v>
      </c>
      <c r="W50" s="16">
        <v>1.3000688016831126</v>
      </c>
      <c r="X50" s="16">
        <v>1.1402055962339039</v>
      </c>
      <c r="Y50" s="17">
        <v>15.58216710645304</v>
      </c>
      <c r="Z50" s="17">
        <v>1.731351900717004</v>
      </c>
      <c r="AA50" s="17" t="s">
        <v>66</v>
      </c>
      <c r="AB50" s="13">
        <v>0</v>
      </c>
      <c r="AC50" s="15" t="s">
        <v>103</v>
      </c>
      <c r="AD50" s="15">
        <v>1</v>
      </c>
      <c r="AE50" s="15">
        <v>1</v>
      </c>
      <c r="AF50" s="15">
        <v>1</v>
      </c>
      <c r="AG50" s="15">
        <v>1</v>
      </c>
      <c r="AH50" s="15">
        <v>1</v>
      </c>
      <c r="AI50" s="16">
        <v>1.05</v>
      </c>
      <c r="AJ50" s="16">
        <v>1.0246950765959599</v>
      </c>
      <c r="AK50" s="17">
        <v>0</v>
      </c>
      <c r="AL50" s="17">
        <v>-1</v>
      </c>
      <c r="AM50" s="17" t="s">
        <v>58</v>
      </c>
      <c r="AN50" s="13">
        <v>0</v>
      </c>
      <c r="AO50" s="15" t="s">
        <v>332</v>
      </c>
      <c r="AP50" s="15">
        <v>1</v>
      </c>
      <c r="AQ50" s="15">
        <v>1</v>
      </c>
      <c r="AR50" s="15">
        <v>1</v>
      </c>
      <c r="AS50" s="15">
        <v>1</v>
      </c>
      <c r="AT50" s="15">
        <v>1</v>
      </c>
      <c r="AU50" s="16">
        <v>1.05</v>
      </c>
      <c r="AV50" s="16">
        <v>1.0246950765959599</v>
      </c>
      <c r="AW50" s="17">
        <v>0</v>
      </c>
      <c r="AX50" s="17">
        <v>-1</v>
      </c>
      <c r="AY50" s="17" t="s">
        <v>58</v>
      </c>
    </row>
    <row r="51" spans="1:51" ht="14.5" x14ac:dyDescent="0.35">
      <c r="A51">
        <v>73</v>
      </c>
      <c r="B51" t="s">
        <v>333</v>
      </c>
      <c r="C51" t="s">
        <v>334</v>
      </c>
      <c r="D51" s="13">
        <v>0.64768683274021355</v>
      </c>
      <c r="E51" s="14" t="s">
        <v>335</v>
      </c>
      <c r="F51" s="15">
        <v>1</v>
      </c>
      <c r="G51" s="15">
        <v>2</v>
      </c>
      <c r="H51" s="15">
        <v>1</v>
      </c>
      <c r="I51" s="14">
        <v>2</v>
      </c>
      <c r="J51" s="14">
        <v>1</v>
      </c>
      <c r="K51" s="16">
        <v>1.1174816203765749</v>
      </c>
      <c r="L51" s="16">
        <v>1.0571100322939779</v>
      </c>
      <c r="M51" s="17">
        <v>180.60906401150211</v>
      </c>
      <c r="N51" s="17">
        <v>98.243391962300592</v>
      </c>
      <c r="O51" s="17" t="s">
        <v>336</v>
      </c>
      <c r="P51" s="13">
        <v>0.76165803108808294</v>
      </c>
      <c r="Q51" s="15" t="s">
        <v>335</v>
      </c>
      <c r="R51" s="15">
        <v>1</v>
      </c>
      <c r="S51" s="14">
        <v>2</v>
      </c>
      <c r="T51" s="15">
        <v>1</v>
      </c>
      <c r="U51" s="15">
        <v>2</v>
      </c>
      <c r="V51" s="14">
        <v>1</v>
      </c>
      <c r="W51" s="16">
        <v>1.1174816203765749</v>
      </c>
      <c r="X51" s="16">
        <v>1.0571100322939779</v>
      </c>
      <c r="Y51" s="17">
        <v>168.81097120678817</v>
      </c>
      <c r="Z51" s="17">
        <v>52.825201874233016</v>
      </c>
      <c r="AA51" s="17" t="s">
        <v>337</v>
      </c>
      <c r="AB51" s="13">
        <v>0.54347826086956519</v>
      </c>
      <c r="AC51" s="15" t="s">
        <v>335</v>
      </c>
      <c r="AD51" s="15">
        <v>1</v>
      </c>
      <c r="AE51" s="15">
        <v>2</v>
      </c>
      <c r="AF51" s="15">
        <v>1</v>
      </c>
      <c r="AG51" s="14">
        <v>2</v>
      </c>
      <c r="AH51" s="14">
        <v>1</v>
      </c>
      <c r="AI51" s="16">
        <v>1.1174816203765749</v>
      </c>
      <c r="AJ51" s="16">
        <v>1.0571100322939779</v>
      </c>
      <c r="AK51" s="17">
        <v>164.82814785048697</v>
      </c>
      <c r="AL51" s="17">
        <v>138.45564419440905</v>
      </c>
      <c r="AM51" s="17" t="s">
        <v>338</v>
      </c>
      <c r="AN51" s="13">
        <v>1</v>
      </c>
      <c r="AO51" s="15" t="s">
        <v>335</v>
      </c>
      <c r="AP51" s="15">
        <v>1</v>
      </c>
      <c r="AQ51" s="15">
        <v>2</v>
      </c>
      <c r="AR51" s="15">
        <v>1</v>
      </c>
      <c r="AS51" s="14">
        <v>2</v>
      </c>
      <c r="AT51" s="14">
        <v>1</v>
      </c>
      <c r="AU51" s="16">
        <v>1.1174816203765749</v>
      </c>
      <c r="AV51" s="16">
        <v>1.0571100322939779</v>
      </c>
      <c r="AW51" s="17">
        <v>-1</v>
      </c>
      <c r="AX51" s="17">
        <v>0</v>
      </c>
      <c r="AY51" s="17" t="s">
        <v>43</v>
      </c>
    </row>
    <row r="52" spans="1:51" ht="14.5" x14ac:dyDescent="0.35">
      <c r="A52">
        <v>65</v>
      </c>
      <c r="B52" t="s">
        <v>339</v>
      </c>
      <c r="C52" t="s">
        <v>340</v>
      </c>
      <c r="D52" s="13">
        <v>0.646098758222026</v>
      </c>
      <c r="E52" s="15" t="s">
        <v>107</v>
      </c>
      <c r="F52" s="15">
        <v>3</v>
      </c>
      <c r="G52" s="15">
        <v>1</v>
      </c>
      <c r="H52" s="15">
        <v>1</v>
      </c>
      <c r="I52" s="15">
        <v>3</v>
      </c>
      <c r="J52" s="15">
        <v>3</v>
      </c>
      <c r="K52" s="16">
        <v>1.3713425173473328</v>
      </c>
      <c r="L52" s="16">
        <v>1.1710433456312934</v>
      </c>
      <c r="M52" s="17">
        <v>19.552792209602597</v>
      </c>
      <c r="N52" s="17">
        <v>10.710061511721932</v>
      </c>
      <c r="O52" s="17" t="s">
        <v>341</v>
      </c>
      <c r="P52" s="13">
        <v>0.8</v>
      </c>
      <c r="Q52" s="15" t="s">
        <v>109</v>
      </c>
      <c r="R52" s="15">
        <v>3</v>
      </c>
      <c r="S52" s="15">
        <v>3</v>
      </c>
      <c r="T52" s="15">
        <v>1</v>
      </c>
      <c r="U52" s="15">
        <v>3</v>
      </c>
      <c r="V52" s="15">
        <v>2</v>
      </c>
      <c r="W52" s="16">
        <v>1.3303783351797707</v>
      </c>
      <c r="X52" s="16">
        <v>1.1534202769068049</v>
      </c>
      <c r="Y52" s="17">
        <v>20.952262544849756</v>
      </c>
      <c r="Z52" s="17">
        <v>5.2380656362124371</v>
      </c>
      <c r="AA52" s="17" t="s">
        <v>148</v>
      </c>
      <c r="AB52" s="13">
        <v>0</v>
      </c>
      <c r="AC52" s="15" t="s">
        <v>109</v>
      </c>
      <c r="AD52" s="15">
        <v>1</v>
      </c>
      <c r="AE52" s="15">
        <v>3</v>
      </c>
      <c r="AF52" s="15">
        <v>1</v>
      </c>
      <c r="AG52" s="15">
        <v>3</v>
      </c>
      <c r="AH52" s="15">
        <v>2</v>
      </c>
      <c r="AI52" s="16">
        <v>1.2456465205819256</v>
      </c>
      <c r="AJ52" s="16">
        <v>1.1160853554195242</v>
      </c>
      <c r="AK52" s="17">
        <v>0</v>
      </c>
      <c r="AL52" s="17">
        <v>-1</v>
      </c>
      <c r="AM52" s="17" t="s">
        <v>58</v>
      </c>
      <c r="AN52" s="13">
        <v>1</v>
      </c>
      <c r="AO52" s="14" t="s">
        <v>149</v>
      </c>
      <c r="AP52" s="15">
        <v>1</v>
      </c>
      <c r="AQ52" s="15">
        <v>1</v>
      </c>
      <c r="AR52" s="15">
        <v>1</v>
      </c>
      <c r="AS52" s="15">
        <v>1</v>
      </c>
      <c r="AT52" s="15">
        <v>1</v>
      </c>
      <c r="AU52" s="16">
        <v>1.05</v>
      </c>
      <c r="AV52" s="16">
        <v>1.0246950765959599</v>
      </c>
      <c r="AW52" s="17">
        <v>-1</v>
      </c>
      <c r="AX52" s="17">
        <v>0</v>
      </c>
      <c r="AY52" s="17" t="s">
        <v>43</v>
      </c>
    </row>
    <row r="53" spans="1:51" ht="14.5" x14ac:dyDescent="0.35">
      <c r="A53">
        <v>52</v>
      </c>
      <c r="B53" t="s">
        <v>342</v>
      </c>
      <c r="C53" t="s">
        <v>343</v>
      </c>
      <c r="D53" s="13">
        <v>4.5004500450044997E-2</v>
      </c>
      <c r="E53" s="14" t="s">
        <v>344</v>
      </c>
      <c r="F53" s="15">
        <v>1</v>
      </c>
      <c r="G53" s="15">
        <v>3</v>
      </c>
      <c r="H53" s="15">
        <v>1</v>
      </c>
      <c r="I53" s="14">
        <v>2</v>
      </c>
      <c r="J53" s="14">
        <v>1</v>
      </c>
      <c r="K53" s="16">
        <v>1.1409505340208952</v>
      </c>
      <c r="L53" s="16">
        <v>1.0681528607932926</v>
      </c>
      <c r="M53" s="17">
        <v>1.6207271045567859</v>
      </c>
      <c r="N53" s="17">
        <v>34.391829158695003</v>
      </c>
      <c r="O53" s="17" t="s">
        <v>345</v>
      </c>
      <c r="P53" s="13">
        <v>0.62101910828025475</v>
      </c>
      <c r="Q53" s="14" t="s">
        <v>344</v>
      </c>
      <c r="R53" s="15">
        <v>1</v>
      </c>
      <c r="S53" s="14">
        <v>3</v>
      </c>
      <c r="T53" s="15">
        <v>1</v>
      </c>
      <c r="U53" s="15">
        <v>2</v>
      </c>
      <c r="V53" s="14">
        <v>1</v>
      </c>
      <c r="W53" s="16">
        <v>1.1409505340208952</v>
      </c>
      <c r="X53" s="16">
        <v>1.0681528607932926</v>
      </c>
      <c r="Y53" s="17">
        <v>125.2480586442753</v>
      </c>
      <c r="Z53" s="17">
        <v>76.4334306598398</v>
      </c>
      <c r="AA53" s="17" t="s">
        <v>346</v>
      </c>
      <c r="AB53" s="13">
        <v>0.53781512605042014</v>
      </c>
      <c r="AC53" s="14" t="s">
        <v>344</v>
      </c>
      <c r="AD53" s="15">
        <v>1</v>
      </c>
      <c r="AE53" s="15">
        <v>3</v>
      </c>
      <c r="AF53" s="15">
        <v>1</v>
      </c>
      <c r="AG53" s="14">
        <v>2</v>
      </c>
      <c r="AH53" s="14">
        <v>1</v>
      </c>
      <c r="AI53" s="16">
        <v>1.1409505340208952</v>
      </c>
      <c r="AJ53" s="16">
        <v>1.0681528607932926</v>
      </c>
      <c r="AK53" s="17">
        <v>114.58822409132877</v>
      </c>
      <c r="AL53" s="17">
        <v>98.474255078485683</v>
      </c>
      <c r="AM53" s="17" t="s">
        <v>347</v>
      </c>
      <c r="AN53" s="13">
        <v>1</v>
      </c>
      <c r="AO53" s="14" t="s">
        <v>344</v>
      </c>
      <c r="AP53" s="15">
        <v>1</v>
      </c>
      <c r="AQ53" s="15">
        <v>3</v>
      </c>
      <c r="AR53" s="15">
        <v>1</v>
      </c>
      <c r="AS53" s="14">
        <v>2</v>
      </c>
      <c r="AT53" s="14">
        <v>1</v>
      </c>
      <c r="AU53" s="16">
        <v>1.1409505340208952</v>
      </c>
      <c r="AV53" s="16">
        <v>1.0681528607932926</v>
      </c>
      <c r="AW53" s="17">
        <v>-1</v>
      </c>
      <c r="AX53" s="17">
        <v>0</v>
      </c>
      <c r="AY53" s="17" t="s">
        <v>43</v>
      </c>
    </row>
    <row r="54" spans="1:51" ht="14.5" x14ac:dyDescent="0.35">
      <c r="A54">
        <v>22</v>
      </c>
      <c r="B54" t="s">
        <v>348</v>
      </c>
      <c r="C54" t="s">
        <v>349</v>
      </c>
      <c r="D54" s="18">
        <v>0.85499999999999998</v>
      </c>
      <c r="E54" s="15" t="s">
        <v>350</v>
      </c>
      <c r="F54" s="15">
        <v>3</v>
      </c>
      <c r="G54" s="15">
        <v>4</v>
      </c>
      <c r="H54" s="15">
        <v>1</v>
      </c>
      <c r="I54" s="15">
        <v>2</v>
      </c>
      <c r="J54" s="15">
        <v>1</v>
      </c>
      <c r="K54" s="16">
        <v>1.2884684415322456</v>
      </c>
      <c r="L54" s="16">
        <v>1.135107237899682</v>
      </c>
      <c r="M54" s="17">
        <v>22.372527990602567</v>
      </c>
      <c r="N54" s="17">
        <v>3.7941714136109619</v>
      </c>
      <c r="O54" s="17" t="s">
        <v>351</v>
      </c>
      <c r="P54" s="13">
        <v>0.95</v>
      </c>
      <c r="Q54" s="15" t="s">
        <v>352</v>
      </c>
      <c r="R54" s="15">
        <v>3</v>
      </c>
      <c r="S54" s="15">
        <v>1</v>
      </c>
      <c r="T54" s="15">
        <v>1</v>
      </c>
      <c r="U54" s="15">
        <v>3</v>
      </c>
      <c r="V54" s="15">
        <v>1</v>
      </c>
      <c r="W54" s="16">
        <v>1.3000688016831126</v>
      </c>
      <c r="X54" s="16">
        <v>1.1402055962339039</v>
      </c>
      <c r="Y54" s="17">
        <v>8.2321949466505444</v>
      </c>
      <c r="Z54" s="17">
        <v>0.43327341824476595</v>
      </c>
      <c r="AA54" s="17" t="s">
        <v>73</v>
      </c>
      <c r="AB54" s="13">
        <v>0</v>
      </c>
      <c r="AC54" s="15" t="s">
        <v>353</v>
      </c>
      <c r="AD54" s="15">
        <v>1</v>
      </c>
      <c r="AE54" s="15">
        <v>1</v>
      </c>
      <c r="AF54" s="15">
        <v>1</v>
      </c>
      <c r="AG54" s="15">
        <v>1</v>
      </c>
      <c r="AH54" s="15">
        <v>1</v>
      </c>
      <c r="AI54" s="16">
        <v>1.05</v>
      </c>
      <c r="AJ54" s="16">
        <v>1.0246950765959599</v>
      </c>
      <c r="AK54" s="17">
        <v>0</v>
      </c>
      <c r="AL54" s="17">
        <v>-1</v>
      </c>
      <c r="AM54" s="17" t="s">
        <v>58</v>
      </c>
      <c r="AN54" s="13">
        <v>0.95</v>
      </c>
      <c r="AO54" s="15" t="s">
        <v>354</v>
      </c>
      <c r="AP54" s="15">
        <v>4</v>
      </c>
      <c r="AQ54" s="15">
        <v>1</v>
      </c>
      <c r="AR54" s="15">
        <v>1</v>
      </c>
      <c r="AS54" s="15">
        <v>3</v>
      </c>
      <c r="AT54" s="15">
        <v>1</v>
      </c>
      <c r="AU54" s="16">
        <v>1.4707782003422192</v>
      </c>
      <c r="AV54" s="16">
        <v>1.212756447248259</v>
      </c>
      <c r="AW54" s="17">
        <v>3.037601467121025</v>
      </c>
      <c r="AX54" s="17">
        <v>0.15987376142742252</v>
      </c>
      <c r="AY54" s="17" t="s">
        <v>73</v>
      </c>
    </row>
    <row r="55" spans="1:51" ht="14.5" x14ac:dyDescent="0.35">
      <c r="A55">
        <v>81</v>
      </c>
      <c r="B55" t="s">
        <v>355</v>
      </c>
      <c r="C55" t="s">
        <v>356</v>
      </c>
      <c r="D55" s="13">
        <v>0.7</v>
      </c>
      <c r="E55" s="14" t="s">
        <v>78</v>
      </c>
      <c r="F55" s="15">
        <v>3</v>
      </c>
      <c r="G55" s="14">
        <v>4</v>
      </c>
      <c r="H55" s="14">
        <v>1</v>
      </c>
      <c r="I55" s="14">
        <v>3</v>
      </c>
      <c r="J55" s="14">
        <v>1</v>
      </c>
      <c r="K55" s="16">
        <v>1.3462392336889575</v>
      </c>
      <c r="L55" s="16">
        <v>1.1602754990470829</v>
      </c>
      <c r="M55" s="17">
        <v>22.189855468283788</v>
      </c>
      <c r="N55" s="17">
        <v>9.5099380578359103</v>
      </c>
      <c r="O55" s="17" t="s">
        <v>357</v>
      </c>
      <c r="P55" s="13">
        <v>1</v>
      </c>
      <c r="Q55" s="15" t="s">
        <v>72</v>
      </c>
      <c r="R55" s="15">
        <v>3</v>
      </c>
      <c r="S55" s="14">
        <v>1</v>
      </c>
      <c r="T55" s="14">
        <v>1</v>
      </c>
      <c r="U55" s="14">
        <v>3</v>
      </c>
      <c r="V55" s="14">
        <v>1</v>
      </c>
      <c r="W55" s="16">
        <v>1.3000688016831126</v>
      </c>
      <c r="X55" s="16">
        <v>1.1402055962339039</v>
      </c>
      <c r="Y55" s="17">
        <v>-1</v>
      </c>
      <c r="Z55" s="17">
        <v>0</v>
      </c>
      <c r="AA55" s="17" t="s">
        <v>43</v>
      </c>
      <c r="AB55" s="13">
        <v>0</v>
      </c>
      <c r="AC55" s="15" t="s">
        <v>74</v>
      </c>
      <c r="AD55" s="15">
        <v>1</v>
      </c>
      <c r="AE55" s="15">
        <v>1</v>
      </c>
      <c r="AF55" s="15">
        <v>1</v>
      </c>
      <c r="AG55" s="15">
        <v>1</v>
      </c>
      <c r="AH55" s="15">
        <v>1</v>
      </c>
      <c r="AI55" s="16">
        <v>1.05</v>
      </c>
      <c r="AJ55" s="16">
        <v>1.0246950765959599</v>
      </c>
      <c r="AK55" s="17">
        <v>0</v>
      </c>
      <c r="AL55" s="17">
        <v>-1</v>
      </c>
      <c r="AM55" s="17" t="s">
        <v>58</v>
      </c>
      <c r="AN55" s="13">
        <v>0</v>
      </c>
      <c r="AO55" s="14" t="s">
        <v>358</v>
      </c>
      <c r="AP55" s="15">
        <v>1</v>
      </c>
      <c r="AQ55" s="14">
        <v>1</v>
      </c>
      <c r="AR55" s="14">
        <v>1</v>
      </c>
      <c r="AS55" s="14">
        <v>1</v>
      </c>
      <c r="AT55" s="14">
        <v>1</v>
      </c>
      <c r="AU55" s="16">
        <v>1.05</v>
      </c>
      <c r="AV55" s="16">
        <v>1.0246950765959599</v>
      </c>
      <c r="AW55" s="17">
        <v>0</v>
      </c>
      <c r="AX55" s="17">
        <v>-1</v>
      </c>
      <c r="AY55" s="17" t="s">
        <v>58</v>
      </c>
    </row>
    <row r="56" spans="1:51" ht="14.5" x14ac:dyDescent="0.35">
      <c r="A56">
        <v>69</v>
      </c>
      <c r="B56" t="s">
        <v>359</v>
      </c>
      <c r="C56" t="s">
        <v>360</v>
      </c>
      <c r="D56" s="13">
        <v>0.66776874123611263</v>
      </c>
      <c r="E56" s="15" t="s">
        <v>107</v>
      </c>
      <c r="F56" s="15">
        <v>4</v>
      </c>
      <c r="G56" s="15">
        <v>1</v>
      </c>
      <c r="H56" s="15">
        <v>1</v>
      </c>
      <c r="I56" s="15">
        <v>3</v>
      </c>
      <c r="J56" s="15">
        <v>3</v>
      </c>
      <c r="K56" s="16">
        <v>1.5279171865856971</v>
      </c>
      <c r="L56" s="16">
        <v>1.2360894735356729</v>
      </c>
      <c r="M56" s="17">
        <v>9.9638503075214313</v>
      </c>
      <c r="N56" s="17">
        <v>4.95725889126685</v>
      </c>
      <c r="O56" s="17" t="s">
        <v>361</v>
      </c>
      <c r="P56" s="13">
        <v>0.85</v>
      </c>
      <c r="Q56" s="15" t="s">
        <v>141</v>
      </c>
      <c r="R56" s="15">
        <v>3</v>
      </c>
      <c r="S56" s="15">
        <v>3</v>
      </c>
      <c r="T56" s="15">
        <v>1</v>
      </c>
      <c r="U56" s="15">
        <v>3</v>
      </c>
      <c r="V56" s="15">
        <v>3</v>
      </c>
      <c r="W56" s="16">
        <v>1.3840763218302521</v>
      </c>
      <c r="X56" s="16">
        <v>1.1764677308920344</v>
      </c>
      <c r="Y56" s="17">
        <v>13.070617457485042</v>
      </c>
      <c r="Z56" s="17">
        <v>2.3065795513208904</v>
      </c>
      <c r="AA56" s="17" t="s">
        <v>142</v>
      </c>
      <c r="AB56" s="13">
        <v>0</v>
      </c>
      <c r="AC56" s="14" t="s">
        <v>188</v>
      </c>
      <c r="AD56" s="15">
        <v>1</v>
      </c>
      <c r="AE56" s="15">
        <v>1</v>
      </c>
      <c r="AF56" s="15">
        <v>1</v>
      </c>
      <c r="AG56" s="15">
        <v>1</v>
      </c>
      <c r="AH56" s="15">
        <v>1</v>
      </c>
      <c r="AI56" s="16">
        <v>1.05</v>
      </c>
      <c r="AJ56" s="16">
        <v>1.0246950765959599</v>
      </c>
      <c r="AK56" s="17">
        <v>0</v>
      </c>
      <c r="AL56" s="17">
        <v>-1</v>
      </c>
      <c r="AM56" s="17" t="s">
        <v>58</v>
      </c>
      <c r="AN56" s="13">
        <v>0</v>
      </c>
      <c r="AO56" s="14" t="s">
        <v>188</v>
      </c>
      <c r="AP56" s="15">
        <v>1</v>
      </c>
      <c r="AQ56" s="15">
        <v>1</v>
      </c>
      <c r="AR56" s="15">
        <v>1</v>
      </c>
      <c r="AS56" s="15">
        <v>1</v>
      </c>
      <c r="AT56" s="15">
        <v>1</v>
      </c>
      <c r="AU56" s="16">
        <v>1.05</v>
      </c>
      <c r="AV56" s="16">
        <v>1.0246950765959599</v>
      </c>
      <c r="AW56" s="17">
        <v>0</v>
      </c>
      <c r="AX56" s="17">
        <v>-1</v>
      </c>
      <c r="AY56" s="17" t="s">
        <v>58</v>
      </c>
    </row>
    <row r="57" spans="1:51" ht="14.5" x14ac:dyDescent="0.35">
      <c r="A57">
        <v>23</v>
      </c>
      <c r="B57" t="s">
        <v>362</v>
      </c>
      <c r="C57" t="s">
        <v>363</v>
      </c>
      <c r="D57" s="13">
        <v>0.32871262663701512</v>
      </c>
      <c r="E57" s="15" t="s">
        <v>364</v>
      </c>
      <c r="F57" s="15">
        <v>3</v>
      </c>
      <c r="G57" s="15">
        <v>2</v>
      </c>
      <c r="H57" s="15">
        <v>2</v>
      </c>
      <c r="I57" s="15">
        <v>3</v>
      </c>
      <c r="J57" s="15">
        <v>2</v>
      </c>
      <c r="K57" s="16">
        <v>1.3205569097851895</v>
      </c>
      <c r="L57" s="16">
        <v>1.1491548676245467</v>
      </c>
      <c r="M57" s="17">
        <v>12.712752400274214</v>
      </c>
      <c r="N57" s="17">
        <v>25.961613505092799</v>
      </c>
      <c r="O57" s="17" t="s">
        <v>365</v>
      </c>
      <c r="P57" s="13">
        <v>0.67602017011855364</v>
      </c>
      <c r="Q57" s="15" t="s">
        <v>366</v>
      </c>
      <c r="R57" s="15">
        <v>2</v>
      </c>
      <c r="S57" s="15">
        <v>3</v>
      </c>
      <c r="T57" s="15">
        <v>2</v>
      </c>
      <c r="U57" s="15">
        <v>3</v>
      </c>
      <c r="V57" s="15">
        <v>2</v>
      </c>
      <c r="W57" s="16">
        <v>1.2728507410871461</v>
      </c>
      <c r="X57" s="16">
        <v>1.1282068698102961</v>
      </c>
      <c r="Y57" s="17">
        <v>35.354844000097174</v>
      </c>
      <c r="Z57" s="17">
        <v>16.943660634604768</v>
      </c>
      <c r="AA57" s="17" t="s">
        <v>367</v>
      </c>
      <c r="AB57" s="19">
        <v>8.1639485728642117E-3</v>
      </c>
      <c r="AC57" s="15" t="s">
        <v>366</v>
      </c>
      <c r="AD57" s="15">
        <v>2</v>
      </c>
      <c r="AE57" s="15">
        <v>3</v>
      </c>
      <c r="AF57" s="15">
        <v>2</v>
      </c>
      <c r="AG57" s="15">
        <v>3</v>
      </c>
      <c r="AH57" s="15">
        <v>2</v>
      </c>
      <c r="AI57" s="16">
        <v>1.2728507410871461</v>
      </c>
      <c r="AJ57" s="16">
        <v>1.1282068698102961</v>
      </c>
      <c r="AK57" s="22">
        <v>7.9231531537781695E-3</v>
      </c>
      <c r="AL57" s="22">
        <v>0.9625818767423665</v>
      </c>
      <c r="AM57" s="17" t="s">
        <v>368</v>
      </c>
      <c r="AN57" s="13">
        <v>0.95</v>
      </c>
      <c r="AO57" s="15" t="s">
        <v>72</v>
      </c>
      <c r="AP57" s="15">
        <v>4</v>
      </c>
      <c r="AQ57" s="15">
        <v>1</v>
      </c>
      <c r="AR57" s="15">
        <v>1</v>
      </c>
      <c r="AS57" s="15">
        <v>3</v>
      </c>
      <c r="AT57" s="15">
        <v>1</v>
      </c>
      <c r="AU57" s="16">
        <v>1.4707782003422192</v>
      </c>
      <c r="AV57" s="16">
        <v>1.212756447248259</v>
      </c>
      <c r="AW57" s="17">
        <v>3.037601467121025</v>
      </c>
      <c r="AX57" s="17">
        <v>0.15987376142742252</v>
      </c>
      <c r="AY57" s="17" t="s">
        <v>73</v>
      </c>
    </row>
    <row r="58" spans="1:51" ht="14.5" x14ac:dyDescent="0.35">
      <c r="A58">
        <v>74</v>
      </c>
      <c r="B58" t="s">
        <v>369</v>
      </c>
      <c r="C58" t="s">
        <v>370</v>
      </c>
      <c r="D58" s="13">
        <v>0.88571428571428568</v>
      </c>
      <c r="E58" s="14" t="s">
        <v>284</v>
      </c>
      <c r="F58" s="15">
        <v>2</v>
      </c>
      <c r="G58" s="15">
        <v>3</v>
      </c>
      <c r="H58" s="15">
        <v>1</v>
      </c>
      <c r="I58" s="14">
        <v>2</v>
      </c>
      <c r="J58" s="14">
        <v>1</v>
      </c>
      <c r="K58" s="16">
        <v>1.1766845455095114</v>
      </c>
      <c r="L58" s="16">
        <v>1.0847509140394911</v>
      </c>
      <c r="M58" s="17">
        <v>49.043008398162307</v>
      </c>
      <c r="N58" s="17">
        <v>6.3281301158919137</v>
      </c>
      <c r="O58" s="17" t="s">
        <v>371</v>
      </c>
      <c r="P58" s="13">
        <v>0.90322580645161288</v>
      </c>
      <c r="Q58" s="14" t="s">
        <v>284</v>
      </c>
      <c r="R58" s="15">
        <v>1</v>
      </c>
      <c r="S58" s="14">
        <v>3</v>
      </c>
      <c r="T58" s="15">
        <v>1</v>
      </c>
      <c r="U58" s="15">
        <v>2</v>
      </c>
      <c r="V58" s="14">
        <v>1</v>
      </c>
      <c r="W58" s="16">
        <v>1.1409505340208952</v>
      </c>
      <c r="X58" s="16">
        <v>1.0681528607932926</v>
      </c>
      <c r="Y58" s="17">
        <v>67.086618415261199</v>
      </c>
      <c r="Z58" s="17">
        <v>7.1878519730637018</v>
      </c>
      <c r="AA58" s="17" t="s">
        <v>372</v>
      </c>
      <c r="AB58" s="13">
        <v>1</v>
      </c>
      <c r="AC58" s="14" t="s">
        <v>284</v>
      </c>
      <c r="AD58" s="15">
        <v>1</v>
      </c>
      <c r="AE58" s="15">
        <v>3</v>
      </c>
      <c r="AF58" s="15">
        <v>1</v>
      </c>
      <c r="AG58" s="14">
        <v>2</v>
      </c>
      <c r="AH58" s="14">
        <v>1</v>
      </c>
      <c r="AI58" s="16">
        <v>1.1409505340208952</v>
      </c>
      <c r="AJ58" s="16">
        <v>1.0681528607932926</v>
      </c>
      <c r="AK58" s="17">
        <v>-1</v>
      </c>
      <c r="AL58" s="17">
        <v>0</v>
      </c>
      <c r="AM58" s="17" t="s">
        <v>43</v>
      </c>
      <c r="AN58" s="13">
        <v>1</v>
      </c>
      <c r="AO58" s="14" t="s">
        <v>284</v>
      </c>
      <c r="AP58" s="15">
        <v>1</v>
      </c>
      <c r="AQ58" s="15">
        <v>3</v>
      </c>
      <c r="AR58" s="15">
        <v>1</v>
      </c>
      <c r="AS58" s="14">
        <v>2</v>
      </c>
      <c r="AT58" s="14">
        <v>1</v>
      </c>
      <c r="AU58" s="16">
        <v>1.1409505340208952</v>
      </c>
      <c r="AV58" s="16">
        <v>1.0681528607932926</v>
      </c>
      <c r="AW58" s="17">
        <v>-1</v>
      </c>
      <c r="AX58" s="17">
        <v>0</v>
      </c>
      <c r="AY58" s="17" t="s">
        <v>43</v>
      </c>
    </row>
    <row r="59" spans="1:51" ht="14.5" x14ac:dyDescent="0.35">
      <c r="A59">
        <v>39</v>
      </c>
      <c r="B59" t="s">
        <v>373</v>
      </c>
      <c r="C59" t="s">
        <v>374</v>
      </c>
      <c r="D59" s="13">
        <v>0.66407609108685794</v>
      </c>
      <c r="E59" s="15" t="s">
        <v>107</v>
      </c>
      <c r="F59" s="15">
        <v>3</v>
      </c>
      <c r="G59" s="15">
        <v>1</v>
      </c>
      <c r="H59" s="15">
        <v>1</v>
      </c>
      <c r="I59" s="15">
        <v>3</v>
      </c>
      <c r="J59" s="15">
        <v>3</v>
      </c>
      <c r="K59" s="16">
        <v>1.3713425173473328</v>
      </c>
      <c r="L59" s="16">
        <v>1.1710433456312934</v>
      </c>
      <c r="M59" s="17">
        <v>19.590549982058779</v>
      </c>
      <c r="N59" s="17">
        <v>9.9099097468797677</v>
      </c>
      <c r="O59" s="17" t="s">
        <v>375</v>
      </c>
      <c r="P59" s="13">
        <v>0.84799999999999998</v>
      </c>
      <c r="Q59" s="15" t="s">
        <v>109</v>
      </c>
      <c r="R59" s="15">
        <v>1</v>
      </c>
      <c r="S59" s="15">
        <v>3</v>
      </c>
      <c r="T59" s="15">
        <v>1</v>
      </c>
      <c r="U59" s="15">
        <v>3</v>
      </c>
      <c r="V59" s="15">
        <v>2</v>
      </c>
      <c r="W59" s="16">
        <v>1.2456465205819256</v>
      </c>
      <c r="X59" s="16">
        <v>1.1160853554195242</v>
      </c>
      <c r="Y59" s="17">
        <v>31.596449746783726</v>
      </c>
      <c r="Z59" s="17">
        <v>5.6635145772536877</v>
      </c>
      <c r="AA59" s="17" t="s">
        <v>376</v>
      </c>
      <c r="AB59" s="13">
        <v>0</v>
      </c>
      <c r="AC59" s="15" t="s">
        <v>109</v>
      </c>
      <c r="AD59" s="15">
        <v>1</v>
      </c>
      <c r="AE59" s="15">
        <v>3</v>
      </c>
      <c r="AF59" s="15">
        <v>1</v>
      </c>
      <c r="AG59" s="15">
        <v>3</v>
      </c>
      <c r="AH59" s="15">
        <v>2</v>
      </c>
      <c r="AI59" s="16">
        <v>1.2456465205819256</v>
      </c>
      <c r="AJ59" s="16">
        <v>1.1160853554195242</v>
      </c>
      <c r="AK59" s="17">
        <v>0</v>
      </c>
      <c r="AL59" s="17">
        <v>-1</v>
      </c>
      <c r="AM59" s="17" t="s">
        <v>58</v>
      </c>
      <c r="AN59" s="13">
        <v>1</v>
      </c>
      <c r="AO59" s="14" t="s">
        <v>111</v>
      </c>
      <c r="AP59" s="15">
        <v>1</v>
      </c>
      <c r="AQ59" s="15">
        <v>1</v>
      </c>
      <c r="AR59" s="15">
        <v>1</v>
      </c>
      <c r="AS59" s="15">
        <v>1</v>
      </c>
      <c r="AT59" s="15">
        <v>1</v>
      </c>
      <c r="AU59" s="16">
        <v>1.05</v>
      </c>
      <c r="AV59" s="16">
        <v>1.0246950765959599</v>
      </c>
      <c r="AW59" s="17">
        <v>-1</v>
      </c>
      <c r="AX59" s="17">
        <v>0</v>
      </c>
      <c r="AY59" s="17" t="s">
        <v>43</v>
      </c>
    </row>
    <row r="60" spans="1:51" ht="14.5" x14ac:dyDescent="0.35">
      <c r="A60">
        <v>70</v>
      </c>
      <c r="B60" t="s">
        <v>377</v>
      </c>
      <c r="C60" t="s">
        <v>378</v>
      </c>
      <c r="D60" s="13">
        <v>0.66627271297591706</v>
      </c>
      <c r="E60" s="15" t="s">
        <v>107</v>
      </c>
      <c r="F60" s="15">
        <v>4</v>
      </c>
      <c r="G60" s="15">
        <v>1</v>
      </c>
      <c r="H60" s="15">
        <v>1</v>
      </c>
      <c r="I60" s="15">
        <v>3</v>
      </c>
      <c r="J60" s="15">
        <v>3</v>
      </c>
      <c r="K60" s="16">
        <v>1.5279171865856971</v>
      </c>
      <c r="L60" s="16">
        <v>1.2360894735356729</v>
      </c>
      <c r="M60" s="17">
        <v>9.9654224607932331</v>
      </c>
      <c r="N60" s="17">
        <v>4.9915497620110365</v>
      </c>
      <c r="O60" s="17" t="s">
        <v>379</v>
      </c>
      <c r="P60" s="13">
        <v>0.85</v>
      </c>
      <c r="Q60" s="15" t="s">
        <v>141</v>
      </c>
      <c r="R60" s="15">
        <v>3</v>
      </c>
      <c r="S60" s="15">
        <v>3</v>
      </c>
      <c r="T60" s="15">
        <v>1</v>
      </c>
      <c r="U60" s="15">
        <v>3</v>
      </c>
      <c r="V60" s="15">
        <v>3</v>
      </c>
      <c r="W60" s="16">
        <v>1.3840763218302521</v>
      </c>
      <c r="X60" s="16">
        <v>1.1764677308920344</v>
      </c>
      <c r="Y60" s="17">
        <v>13.070617457485042</v>
      </c>
      <c r="Z60" s="17">
        <v>2.3065795513208904</v>
      </c>
      <c r="AA60" s="17" t="s">
        <v>142</v>
      </c>
      <c r="AB60" s="13">
        <v>0</v>
      </c>
      <c r="AC60" s="14" t="s">
        <v>188</v>
      </c>
      <c r="AD60" s="15">
        <v>1</v>
      </c>
      <c r="AE60" s="15">
        <v>1</v>
      </c>
      <c r="AF60" s="15">
        <v>1</v>
      </c>
      <c r="AG60" s="15">
        <v>1</v>
      </c>
      <c r="AH60" s="15">
        <v>1</v>
      </c>
      <c r="AI60" s="16">
        <v>1.05</v>
      </c>
      <c r="AJ60" s="16">
        <v>1.0246950765959599</v>
      </c>
      <c r="AK60" s="17">
        <v>0</v>
      </c>
      <c r="AL60" s="17">
        <v>-1</v>
      </c>
      <c r="AM60" s="17" t="s">
        <v>58</v>
      </c>
      <c r="AN60" s="13">
        <v>0</v>
      </c>
      <c r="AO60" s="14" t="s">
        <v>188</v>
      </c>
      <c r="AP60" s="15">
        <v>1</v>
      </c>
      <c r="AQ60" s="15">
        <v>1</v>
      </c>
      <c r="AR60" s="15">
        <v>1</v>
      </c>
      <c r="AS60" s="15">
        <v>1</v>
      </c>
      <c r="AT60" s="15">
        <v>1</v>
      </c>
      <c r="AU60" s="16">
        <v>1.05</v>
      </c>
      <c r="AV60" s="16">
        <v>1.0246950765959599</v>
      </c>
      <c r="AW60" s="17">
        <v>0</v>
      </c>
      <c r="AX60" s="17">
        <v>-1</v>
      </c>
      <c r="AY60" s="17" t="s">
        <v>58</v>
      </c>
    </row>
    <row r="61" spans="1:51" ht="14.5" x14ac:dyDescent="0.35">
      <c r="A61">
        <v>30</v>
      </c>
      <c r="B61" t="s">
        <v>380</v>
      </c>
      <c r="C61" t="s">
        <v>381</v>
      </c>
      <c r="D61" s="13">
        <v>0.83780160857908847</v>
      </c>
      <c r="E61" s="14" t="s">
        <v>382</v>
      </c>
      <c r="F61" s="15">
        <v>1</v>
      </c>
      <c r="G61" s="15">
        <v>3</v>
      </c>
      <c r="H61" s="15">
        <v>1</v>
      </c>
      <c r="I61" s="14">
        <v>2</v>
      </c>
      <c r="J61" s="14">
        <v>1</v>
      </c>
      <c r="K61" s="16">
        <v>1.1409505340208952</v>
      </c>
      <c r="L61" s="16">
        <v>1.0681528607932926</v>
      </c>
      <c r="M61" s="17">
        <v>97.206133264302807</v>
      </c>
      <c r="N61" s="17">
        <v>18.819107399969024</v>
      </c>
      <c r="O61" s="17" t="s">
        <v>383</v>
      </c>
      <c r="P61" s="13">
        <v>0.77844311377245512</v>
      </c>
      <c r="Q61" s="14" t="s">
        <v>382</v>
      </c>
      <c r="R61" s="15">
        <v>1</v>
      </c>
      <c r="S61" s="14">
        <v>3</v>
      </c>
      <c r="T61" s="15">
        <v>1</v>
      </c>
      <c r="U61" s="15">
        <v>2</v>
      </c>
      <c r="V61" s="14">
        <v>1</v>
      </c>
      <c r="W61" s="16">
        <v>1.1409505340208952</v>
      </c>
      <c r="X61" s="16">
        <v>1.0681528607932926</v>
      </c>
      <c r="Y61" s="17">
        <v>114.84098727753249</v>
      </c>
      <c r="Z61" s="17">
        <v>32.685511763605398</v>
      </c>
      <c r="AA61" s="17" t="s">
        <v>384</v>
      </c>
      <c r="AB61" s="13">
        <v>0.91286307053941906</v>
      </c>
      <c r="AC61" s="14" t="s">
        <v>382</v>
      </c>
      <c r="AD61" s="15">
        <v>1</v>
      </c>
      <c r="AE61" s="15">
        <v>3</v>
      </c>
      <c r="AF61" s="15">
        <v>1</v>
      </c>
      <c r="AG61" s="14">
        <v>2</v>
      </c>
      <c r="AH61" s="14">
        <v>1</v>
      </c>
      <c r="AI61" s="16">
        <v>1.1409505340208952</v>
      </c>
      <c r="AJ61" s="16">
        <v>1.0681528607932926</v>
      </c>
      <c r="AK61" s="17">
        <v>61.619571717197687</v>
      </c>
      <c r="AL61" s="17">
        <v>5.8818682093688723</v>
      </c>
      <c r="AM61" s="17" t="s">
        <v>385</v>
      </c>
      <c r="AN61" s="13">
        <v>0.63840399002493764</v>
      </c>
      <c r="AO61" s="14" t="s">
        <v>382</v>
      </c>
      <c r="AP61" s="15">
        <v>1</v>
      </c>
      <c r="AQ61" s="15">
        <v>3</v>
      </c>
      <c r="AR61" s="15">
        <v>1</v>
      </c>
      <c r="AS61" s="14">
        <v>2</v>
      </c>
      <c r="AT61" s="14">
        <v>1</v>
      </c>
      <c r="AU61" s="16">
        <v>1.1409505340208952</v>
      </c>
      <c r="AV61" s="16">
        <v>1.0681528607932926</v>
      </c>
      <c r="AW61" s="17">
        <v>126.27474651577491</v>
      </c>
      <c r="AX61" s="17">
        <v>71.522805643700636</v>
      </c>
      <c r="AY61" s="17" t="s">
        <v>386</v>
      </c>
    </row>
    <row r="62" spans="1:51" ht="14.5" x14ac:dyDescent="0.35">
      <c r="A62">
        <v>40</v>
      </c>
      <c r="B62" t="s">
        <v>387</v>
      </c>
      <c r="C62" t="s">
        <v>388</v>
      </c>
      <c r="D62" s="18">
        <v>0.85499999999999998</v>
      </c>
      <c r="E62" s="15" t="s">
        <v>389</v>
      </c>
      <c r="F62" s="15">
        <v>2</v>
      </c>
      <c r="G62" s="15">
        <v>1</v>
      </c>
      <c r="H62" s="15">
        <v>2</v>
      </c>
      <c r="I62" s="14">
        <v>2</v>
      </c>
      <c r="J62" s="14">
        <v>1</v>
      </c>
      <c r="K62" s="16">
        <v>1.1576168639056454</v>
      </c>
      <c r="L62" s="16">
        <v>1.0759260494595553</v>
      </c>
      <c r="M62" s="17">
        <v>72.694312242624591</v>
      </c>
      <c r="N62" s="17">
        <v>12.328275175649786</v>
      </c>
      <c r="O62" s="17" t="s">
        <v>390</v>
      </c>
      <c r="P62" s="13">
        <v>0.95</v>
      </c>
      <c r="Q62" s="15" t="s">
        <v>72</v>
      </c>
      <c r="R62" s="15">
        <v>3</v>
      </c>
      <c r="S62" s="14">
        <v>1</v>
      </c>
      <c r="T62" s="15">
        <v>1</v>
      </c>
      <c r="U62" s="15">
        <v>3</v>
      </c>
      <c r="V62" s="14">
        <v>1</v>
      </c>
      <c r="W62" s="16">
        <v>1.3000688016831126</v>
      </c>
      <c r="X62" s="16">
        <v>1.1402055962339039</v>
      </c>
      <c r="Y62" s="17">
        <v>8.2321949466505444</v>
      </c>
      <c r="Z62" s="17">
        <v>0.43327341824476595</v>
      </c>
      <c r="AA62" s="17" t="s">
        <v>73</v>
      </c>
      <c r="AB62" s="13">
        <v>0</v>
      </c>
      <c r="AC62" s="14" t="s">
        <v>391</v>
      </c>
      <c r="AD62" s="15">
        <v>2</v>
      </c>
      <c r="AE62" s="15">
        <v>1</v>
      </c>
      <c r="AF62" s="15">
        <v>1</v>
      </c>
      <c r="AG62" s="14">
        <v>3</v>
      </c>
      <c r="AH62" s="14">
        <v>1</v>
      </c>
      <c r="AI62" s="16">
        <v>1.2354522921220721</v>
      </c>
      <c r="AJ62" s="16">
        <v>1.1115090157628376</v>
      </c>
      <c r="AK62" s="17">
        <v>0</v>
      </c>
      <c r="AL62" s="17">
        <v>-1</v>
      </c>
      <c r="AM62" s="17" t="s">
        <v>58</v>
      </c>
      <c r="AN62" s="13">
        <v>1</v>
      </c>
      <c r="AO62" s="15" t="s">
        <v>392</v>
      </c>
      <c r="AP62" s="15">
        <v>1</v>
      </c>
      <c r="AQ62" s="15">
        <v>1</v>
      </c>
      <c r="AR62" s="15">
        <v>1</v>
      </c>
      <c r="AS62" s="14">
        <v>1</v>
      </c>
      <c r="AT62" s="14">
        <v>1</v>
      </c>
      <c r="AU62" s="16">
        <v>1.05</v>
      </c>
      <c r="AV62" s="16">
        <v>1.0246950765959599</v>
      </c>
      <c r="AW62" s="17">
        <v>-1</v>
      </c>
      <c r="AX62" s="17">
        <v>0</v>
      </c>
      <c r="AY62" s="17" t="s">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37"/>
  <sheetViews>
    <sheetView workbookViewId="0">
      <selection activeCell="C22" sqref="C22"/>
    </sheetView>
  </sheetViews>
  <sheetFormatPr baseColWidth="10" defaultColWidth="12.6328125" defaultRowHeight="15.75" customHeight="1" x14ac:dyDescent="0.25"/>
  <cols>
    <col min="2" max="2" width="13.26953125" bestFit="1" customWidth="1"/>
    <col min="3" max="3" width="33.1796875" bestFit="1" customWidth="1"/>
    <col min="4" max="4" width="4.90625" bestFit="1" customWidth="1"/>
    <col min="5" max="5" width="17.26953125" bestFit="1" customWidth="1"/>
  </cols>
  <sheetData>
    <row r="1" spans="1:5" ht="13" x14ac:dyDescent="0.3">
      <c r="A1" s="2" t="s">
        <v>6</v>
      </c>
      <c r="B1" s="2" t="s">
        <v>7</v>
      </c>
      <c r="C1" s="2" t="s">
        <v>8</v>
      </c>
      <c r="D1" s="2" t="s">
        <v>9</v>
      </c>
      <c r="E1" s="2" t="s">
        <v>10</v>
      </c>
    </row>
    <row r="2" spans="1:5" ht="15.75" customHeight="1" x14ac:dyDescent="0.25">
      <c r="A2" s="4" t="s">
        <v>0</v>
      </c>
      <c r="B2" s="4" t="s">
        <v>11</v>
      </c>
      <c r="C2" s="4" t="s">
        <v>12</v>
      </c>
      <c r="D2" s="4">
        <v>2040</v>
      </c>
      <c r="E2" s="4">
        <v>9</v>
      </c>
    </row>
    <row r="3" spans="1:5" ht="15.75" customHeight="1" x14ac:dyDescent="0.25">
      <c r="A3" s="4" t="s">
        <v>0</v>
      </c>
      <c r="B3" s="4" t="s">
        <v>13</v>
      </c>
      <c r="C3" s="4" t="s">
        <v>12</v>
      </c>
      <c r="D3" s="4">
        <v>2040</v>
      </c>
      <c r="E3" s="4">
        <v>6.7</v>
      </c>
    </row>
    <row r="4" spans="1:5" ht="15.75" customHeight="1" x14ac:dyDescent="0.25">
      <c r="A4" s="4" t="s">
        <v>1</v>
      </c>
      <c r="B4" s="4" t="s">
        <v>11</v>
      </c>
      <c r="C4" s="4" t="s">
        <v>12</v>
      </c>
      <c r="D4" s="4">
        <v>2040</v>
      </c>
      <c r="E4" s="4">
        <v>289</v>
      </c>
    </row>
    <row r="5" spans="1:5" ht="15.75" customHeight="1" x14ac:dyDescent="0.25">
      <c r="A5" s="4" t="s">
        <v>1</v>
      </c>
      <c r="B5" s="4" t="s">
        <v>13</v>
      </c>
      <c r="C5" s="4" t="s">
        <v>12</v>
      </c>
      <c r="D5" s="4">
        <v>2040</v>
      </c>
      <c r="E5" s="4">
        <v>354</v>
      </c>
    </row>
    <row r="6" spans="1:5" ht="15.75" customHeight="1" x14ac:dyDescent="0.25">
      <c r="A6" s="4" t="s">
        <v>2</v>
      </c>
      <c r="B6" s="4" t="s">
        <v>11</v>
      </c>
      <c r="C6" s="4" t="s">
        <v>12</v>
      </c>
      <c r="D6" s="4">
        <v>2040</v>
      </c>
      <c r="E6" s="4">
        <v>254</v>
      </c>
    </row>
    <row r="7" spans="1:5" ht="15.75" customHeight="1" x14ac:dyDescent="0.25">
      <c r="A7" s="4" t="s">
        <v>2</v>
      </c>
      <c r="B7" s="4" t="s">
        <v>13</v>
      </c>
      <c r="C7" s="4" t="s">
        <v>12</v>
      </c>
      <c r="D7" s="4">
        <v>2040</v>
      </c>
      <c r="E7" s="4">
        <v>160</v>
      </c>
    </row>
    <row r="8" spans="1:5" ht="15.75" customHeight="1" x14ac:dyDescent="0.25">
      <c r="A8" s="4" t="s">
        <v>3</v>
      </c>
      <c r="B8" s="4" t="s">
        <v>11</v>
      </c>
      <c r="C8" s="4" t="s">
        <v>12</v>
      </c>
      <c r="D8" s="4">
        <v>2040</v>
      </c>
      <c r="E8" s="4">
        <v>120</v>
      </c>
    </row>
    <row r="9" spans="1:5" ht="15.75" customHeight="1" x14ac:dyDescent="0.25">
      <c r="A9" s="4" t="s">
        <v>3</v>
      </c>
      <c r="B9" s="4" t="s">
        <v>13</v>
      </c>
      <c r="C9" s="4" t="s">
        <v>12</v>
      </c>
      <c r="D9" s="4">
        <v>2040</v>
      </c>
      <c r="E9" s="4">
        <v>12</v>
      </c>
    </row>
    <row r="10" spans="1:5" ht="15.75" customHeight="1" x14ac:dyDescent="0.25">
      <c r="A10" s="4" t="s">
        <v>4</v>
      </c>
      <c r="B10" s="4" t="s">
        <v>11</v>
      </c>
      <c r="C10" s="4" t="s">
        <v>12</v>
      </c>
      <c r="D10" s="4">
        <v>2040</v>
      </c>
      <c r="E10" s="4">
        <v>1.3</v>
      </c>
    </row>
    <row r="11" spans="1:5" ht="15.75" customHeight="1" x14ac:dyDescent="0.25">
      <c r="A11" s="4" t="s">
        <v>4</v>
      </c>
      <c r="B11" s="4" t="s">
        <v>13</v>
      </c>
      <c r="C11" s="4" t="s">
        <v>12</v>
      </c>
      <c r="D11" s="4">
        <v>2040</v>
      </c>
      <c r="E11" s="4">
        <v>1.4</v>
      </c>
    </row>
    <row r="12" spans="1:5" ht="15.75" customHeight="1" x14ac:dyDescent="0.25">
      <c r="A12" s="4" t="s">
        <v>5</v>
      </c>
      <c r="B12" s="4" t="s">
        <v>11</v>
      </c>
      <c r="C12" s="4" t="s">
        <v>12</v>
      </c>
      <c r="D12" s="4">
        <v>2040</v>
      </c>
      <c r="E12" s="4">
        <v>87</v>
      </c>
    </row>
    <row r="13" spans="1:5" ht="15.75" customHeight="1" x14ac:dyDescent="0.25">
      <c r="A13" s="4" t="s">
        <v>5</v>
      </c>
      <c r="B13" s="4" t="s">
        <v>13</v>
      </c>
      <c r="C13" s="4" t="s">
        <v>12</v>
      </c>
      <c r="D13" s="4">
        <v>2040</v>
      </c>
      <c r="E13" s="4">
        <v>74</v>
      </c>
    </row>
    <row r="14" spans="1:5" ht="15.75" customHeight="1" x14ac:dyDescent="0.25">
      <c r="A14" s="1" t="s">
        <v>0</v>
      </c>
      <c r="B14" s="1" t="s">
        <v>11</v>
      </c>
      <c r="C14" s="1" t="s">
        <v>14</v>
      </c>
      <c r="D14" s="1">
        <v>2040</v>
      </c>
      <c r="E14" s="1">
        <v>22</v>
      </c>
    </row>
    <row r="15" spans="1:5" ht="15.75" customHeight="1" x14ac:dyDescent="0.25">
      <c r="A15" s="1" t="s">
        <v>0</v>
      </c>
      <c r="B15" s="1" t="s">
        <v>13</v>
      </c>
      <c r="C15" s="1" t="s">
        <v>14</v>
      </c>
      <c r="D15" s="1">
        <v>2040</v>
      </c>
      <c r="E15" s="1">
        <v>7</v>
      </c>
    </row>
    <row r="16" spans="1:5" ht="15.75" customHeight="1" x14ac:dyDescent="0.25">
      <c r="A16" s="1" t="s">
        <v>1</v>
      </c>
      <c r="B16" s="1" t="s">
        <v>11</v>
      </c>
      <c r="C16" s="1" t="s">
        <v>14</v>
      </c>
      <c r="D16" s="1">
        <v>2040</v>
      </c>
      <c r="E16" s="1">
        <v>809</v>
      </c>
    </row>
    <row r="17" spans="1:5" ht="15.75" customHeight="1" x14ac:dyDescent="0.25">
      <c r="A17" s="1" t="s">
        <v>1</v>
      </c>
      <c r="B17" s="1" t="s">
        <v>13</v>
      </c>
      <c r="C17" s="1" t="s">
        <v>14</v>
      </c>
      <c r="D17" s="1">
        <v>2040</v>
      </c>
      <c r="E17" s="1">
        <v>354</v>
      </c>
    </row>
    <row r="18" spans="1:5" ht="15.75" customHeight="1" x14ac:dyDescent="0.25">
      <c r="A18" s="1" t="s">
        <v>2</v>
      </c>
      <c r="B18" s="1" t="s">
        <v>11</v>
      </c>
      <c r="C18" s="1" t="s">
        <v>14</v>
      </c>
      <c r="D18" s="1">
        <v>2040</v>
      </c>
      <c r="E18" s="1">
        <v>643</v>
      </c>
    </row>
    <row r="19" spans="1:5" ht="15.75" customHeight="1" x14ac:dyDescent="0.25">
      <c r="A19" s="1" t="s">
        <v>2</v>
      </c>
      <c r="B19" s="1" t="s">
        <v>13</v>
      </c>
      <c r="C19" s="1" t="s">
        <v>14</v>
      </c>
      <c r="D19" s="1">
        <v>2040</v>
      </c>
      <c r="E19" s="1">
        <v>160</v>
      </c>
    </row>
    <row r="20" spans="1:5" ht="12.5" x14ac:dyDescent="0.25">
      <c r="A20" s="1" t="s">
        <v>3</v>
      </c>
      <c r="B20" s="1" t="s">
        <v>11</v>
      </c>
      <c r="C20" s="1" t="s">
        <v>14</v>
      </c>
      <c r="D20" s="1">
        <v>2040</v>
      </c>
      <c r="E20" s="1">
        <v>141</v>
      </c>
    </row>
    <row r="21" spans="1:5" ht="12.5" x14ac:dyDescent="0.25">
      <c r="A21" s="1" t="s">
        <v>3</v>
      </c>
      <c r="B21" s="1" t="s">
        <v>13</v>
      </c>
      <c r="C21" s="1" t="s">
        <v>14</v>
      </c>
      <c r="D21" s="1">
        <v>2040</v>
      </c>
      <c r="E21" s="1">
        <v>12</v>
      </c>
    </row>
    <row r="22" spans="1:5" ht="12.5" x14ac:dyDescent="0.25">
      <c r="A22" s="1" t="s">
        <v>4</v>
      </c>
      <c r="B22" s="1" t="s">
        <v>11</v>
      </c>
      <c r="C22" s="1" t="s">
        <v>14</v>
      </c>
      <c r="D22" s="1">
        <v>2040</v>
      </c>
      <c r="E22" s="1">
        <v>2.2999999999999998</v>
      </c>
    </row>
    <row r="23" spans="1:5" ht="12.5" x14ac:dyDescent="0.25">
      <c r="A23" s="1" t="s">
        <v>4</v>
      </c>
      <c r="B23" s="1" t="s">
        <v>13</v>
      </c>
      <c r="C23" s="1" t="s">
        <v>14</v>
      </c>
      <c r="D23" s="1">
        <v>2040</v>
      </c>
      <c r="E23" s="1">
        <v>1.4</v>
      </c>
    </row>
    <row r="24" spans="1:5" ht="12.5" x14ac:dyDescent="0.25">
      <c r="A24" s="1" t="s">
        <v>5</v>
      </c>
      <c r="B24" s="1" t="s">
        <v>11</v>
      </c>
      <c r="C24" s="1" t="s">
        <v>14</v>
      </c>
      <c r="D24" s="1">
        <v>2040</v>
      </c>
      <c r="E24" s="1">
        <v>441</v>
      </c>
    </row>
    <row r="25" spans="1:5" ht="12.5" x14ac:dyDescent="0.25">
      <c r="A25" s="1" t="s">
        <v>5</v>
      </c>
      <c r="B25" s="1" t="s">
        <v>13</v>
      </c>
      <c r="C25" s="1" t="s">
        <v>14</v>
      </c>
      <c r="D25" s="1">
        <v>2040</v>
      </c>
      <c r="E25" s="1">
        <v>74</v>
      </c>
    </row>
    <row r="26" spans="1:5" ht="12.5" x14ac:dyDescent="0.25">
      <c r="A26" s="1" t="s">
        <v>0</v>
      </c>
      <c r="B26" s="1" t="s">
        <v>11</v>
      </c>
      <c r="C26" s="1" t="s">
        <v>15</v>
      </c>
      <c r="D26" s="1">
        <v>2040</v>
      </c>
      <c r="E26" s="1">
        <v>6.8</v>
      </c>
    </row>
    <row r="27" spans="1:5" ht="12.5" x14ac:dyDescent="0.25">
      <c r="A27" s="1" t="s">
        <v>0</v>
      </c>
      <c r="B27" s="1" t="s">
        <v>13</v>
      </c>
      <c r="C27" s="1" t="s">
        <v>15</v>
      </c>
      <c r="D27" s="1">
        <v>2040</v>
      </c>
      <c r="E27" s="1">
        <v>5</v>
      </c>
    </row>
    <row r="28" spans="1:5" ht="12.5" x14ac:dyDescent="0.25">
      <c r="A28" s="1" t="s">
        <v>1</v>
      </c>
      <c r="B28" s="1" t="s">
        <v>11</v>
      </c>
      <c r="C28" s="1" t="s">
        <v>15</v>
      </c>
      <c r="D28" s="1">
        <v>2040</v>
      </c>
      <c r="E28" s="1">
        <v>217</v>
      </c>
    </row>
    <row r="29" spans="1:5" ht="12.5" x14ac:dyDescent="0.25">
      <c r="A29" s="1" t="s">
        <v>1</v>
      </c>
      <c r="B29" s="1" t="s">
        <v>13</v>
      </c>
      <c r="C29" s="1" t="s">
        <v>15</v>
      </c>
      <c r="D29" s="1">
        <v>2040</v>
      </c>
      <c r="E29" s="1">
        <v>266</v>
      </c>
    </row>
    <row r="30" spans="1:5" ht="12.5" x14ac:dyDescent="0.25">
      <c r="A30" s="1" t="s">
        <v>2</v>
      </c>
      <c r="B30" s="1" t="s">
        <v>11</v>
      </c>
      <c r="C30" s="1" t="s">
        <v>15</v>
      </c>
      <c r="D30" s="1">
        <v>2040</v>
      </c>
      <c r="E30" s="1">
        <v>191</v>
      </c>
    </row>
    <row r="31" spans="1:5" ht="12.5" x14ac:dyDescent="0.25">
      <c r="A31" s="1" t="s">
        <v>2</v>
      </c>
      <c r="B31" s="1" t="s">
        <v>13</v>
      </c>
      <c r="C31" s="1" t="s">
        <v>15</v>
      </c>
      <c r="D31" s="1">
        <v>2040</v>
      </c>
      <c r="E31" s="1">
        <v>120</v>
      </c>
    </row>
    <row r="32" spans="1:5" ht="12.5" x14ac:dyDescent="0.25">
      <c r="A32" s="1" t="s">
        <v>3</v>
      </c>
      <c r="B32" s="1" t="s">
        <v>11</v>
      </c>
      <c r="C32" s="1" t="s">
        <v>15</v>
      </c>
      <c r="D32" s="1">
        <v>2040</v>
      </c>
      <c r="E32" s="1">
        <v>90</v>
      </c>
    </row>
    <row r="33" spans="1:5" ht="12.5" x14ac:dyDescent="0.25">
      <c r="A33" s="1" t="s">
        <v>3</v>
      </c>
      <c r="B33" s="1" t="s">
        <v>13</v>
      </c>
      <c r="C33" s="1" t="s">
        <v>15</v>
      </c>
      <c r="D33" s="1">
        <v>2040</v>
      </c>
      <c r="E33" s="1">
        <v>9</v>
      </c>
    </row>
    <row r="34" spans="1:5" ht="12.5" x14ac:dyDescent="0.25">
      <c r="A34" s="1" t="s">
        <v>4</v>
      </c>
      <c r="B34" s="1" t="s">
        <v>11</v>
      </c>
      <c r="C34" s="1" t="s">
        <v>15</v>
      </c>
      <c r="D34" s="1">
        <v>2040</v>
      </c>
      <c r="E34" s="1">
        <v>1</v>
      </c>
    </row>
    <row r="35" spans="1:5" ht="12.5" x14ac:dyDescent="0.25">
      <c r="A35" s="1" t="s">
        <v>4</v>
      </c>
      <c r="B35" s="1" t="s">
        <v>13</v>
      </c>
      <c r="C35" s="1" t="s">
        <v>15</v>
      </c>
      <c r="D35" s="1">
        <v>2040</v>
      </c>
      <c r="E35" s="1">
        <v>1.03</v>
      </c>
    </row>
    <row r="36" spans="1:5" ht="12.5" x14ac:dyDescent="0.25">
      <c r="A36" s="1" t="s">
        <v>5</v>
      </c>
      <c r="B36" s="1" t="s">
        <v>11</v>
      </c>
      <c r="C36" s="1" t="s">
        <v>15</v>
      </c>
      <c r="D36" s="1">
        <v>2040</v>
      </c>
      <c r="E36" s="1">
        <v>66</v>
      </c>
    </row>
    <row r="37" spans="1:5" ht="12.5" x14ac:dyDescent="0.25">
      <c r="A37" s="1" t="s">
        <v>5</v>
      </c>
      <c r="B37" s="1" t="s">
        <v>13</v>
      </c>
      <c r="C37" s="1" t="s">
        <v>15</v>
      </c>
      <c r="D37" s="1">
        <v>2040</v>
      </c>
      <c r="E37" s="1">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README</vt:lpstr>
      <vt:lpstr>Production_mining</vt:lpstr>
      <vt:lpstr>Production_refining</vt:lpstr>
      <vt:lpstr>Chartier_Poncelet</vt:lpstr>
      <vt:lpstr>Demand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Marin Pellan</cp:lastModifiedBy>
  <dcterms:modified xsi:type="dcterms:W3CDTF">2025-11-11T18:20:10Z</dcterms:modified>
</cp:coreProperties>
</file>